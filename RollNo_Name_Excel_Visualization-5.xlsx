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Pivot Tables" sheetId="3" state="visible" r:id="rId5"/>
    <sheet name="Charts" sheetId="4" state="visible" r:id="rId6"/>
    <sheet name="Dashboard" sheetId="5" state="visible" r:id="rId7"/>
    <sheet name="Insigh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<sst xmlns="http://schemas.openxmlformats.org/spreadsheetml/2006/main" count="18394" uniqueCount="1773">
  <si>
    <t xml:space="preserve">Order_ID</t>
  </si>
  <si>
    <t xml:space="preserve">Order_Date</t>
  </si>
  <si>
    <t xml:space="preserve">City</t>
  </si>
  <si>
    <t xml:space="preserve">Cuisine</t>
  </si>
  <si>
    <t xml:space="preserve">Customer_Type</t>
  </si>
  <si>
    <t xml:space="preserve">Payment_Method</t>
  </si>
  <si>
    <t xml:space="preserve">Order_Value</t>
  </si>
  <si>
    <t xml:space="preserve">Discount</t>
  </si>
  <si>
    <t xml:space="preserve">Delivery_Fee</t>
  </si>
  <si>
    <t xml:space="preserve">Delivery_Time_Min</t>
  </si>
  <si>
    <t xml:space="preserve">Rating</t>
  </si>
  <si>
    <t xml:space="preserve">Order_Status</t>
  </si>
  <si>
    <t xml:space="preserve">FD100001</t>
  </si>
  <si>
    <t xml:space="preserve">Hyderabad</t>
  </si>
  <si>
    <t xml:space="preserve">South Indian</t>
  </si>
  <si>
    <t xml:space="preserve">New</t>
  </si>
  <si>
    <t xml:space="preserve">Credit Card</t>
  </si>
  <si>
    <t xml:space="preserve">Delivered</t>
  </si>
  <si>
    <t xml:space="preserve">FD100002</t>
  </si>
  <si>
    <t xml:space="preserve">Ahmedabad</t>
  </si>
  <si>
    <t xml:space="preserve">Pizza</t>
  </si>
  <si>
    <t xml:space="preserve">Returning</t>
  </si>
  <si>
    <t xml:space="preserve">UPI</t>
  </si>
  <si>
    <t xml:space="preserve">FD100003</t>
  </si>
  <si>
    <t xml:space="preserve">Delhi</t>
  </si>
  <si>
    <t xml:space="preserve">Biryani</t>
  </si>
  <si>
    <t xml:space="preserve">FD100004</t>
  </si>
  <si>
    <t xml:space="preserve">Bengaluru</t>
  </si>
  <si>
    <t xml:space="preserve">Chinese</t>
  </si>
  <si>
    <t xml:space="preserve">FD100005</t>
  </si>
  <si>
    <t xml:space="preserve">Chennai</t>
  </si>
  <si>
    <t xml:space="preserve">North Indian</t>
  </si>
  <si>
    <t xml:space="preserve">FD100006</t>
  </si>
  <si>
    <t xml:space="preserve">FD100007</t>
  </si>
  <si>
    <t xml:space="preserve">Debit Card</t>
  </si>
  <si>
    <t xml:space="preserve">FD100008</t>
  </si>
  <si>
    <t xml:space="preserve">Cash on Delivery</t>
  </si>
  <si>
    <t xml:space="preserve">FD100009</t>
  </si>
  <si>
    <t xml:space="preserve">FD100010</t>
  </si>
  <si>
    <t xml:space="preserve">FD100011</t>
  </si>
  <si>
    <t xml:space="preserve">Mumbai</t>
  </si>
  <si>
    <t xml:space="preserve">FD100012</t>
  </si>
  <si>
    <t xml:space="preserve">FD100013</t>
  </si>
  <si>
    <t xml:space="preserve">FD100014</t>
  </si>
  <si>
    <t xml:space="preserve">FD100015</t>
  </si>
  <si>
    <t xml:space="preserve">Pune</t>
  </si>
  <si>
    <t xml:space="preserve">FD100016</t>
  </si>
  <si>
    <t xml:space="preserve"> Delhi</t>
  </si>
  <si>
    <t xml:space="preserve">FD100017</t>
  </si>
  <si>
    <t xml:space="preserve">Healthy</t>
  </si>
  <si>
    <t xml:space="preserve">FD100018</t>
  </si>
  <si>
    <t xml:space="preserve">Kolkata</t>
  </si>
  <si>
    <t xml:space="preserve">FD100019</t>
  </si>
  <si>
    <t xml:space="preserve">FD100020</t>
  </si>
  <si>
    <t xml:space="preserve">Wallet</t>
  </si>
  <si>
    <t xml:space="preserve">FD100021</t>
  </si>
  <si>
    <t xml:space="preserve">Fast Food</t>
  </si>
  <si>
    <t xml:space="preserve">FD100022</t>
  </si>
  <si>
    <t xml:space="preserve">returning</t>
  </si>
  <si>
    <t xml:space="preserve">FD100023</t>
  </si>
  <si>
    <t xml:space="preserve">Pune </t>
  </si>
  <si>
    <t xml:space="preserve">FD100024</t>
  </si>
  <si>
    <t xml:space="preserve">FD100025</t>
  </si>
  <si>
    <t xml:space="preserve">HYDERABAD</t>
  </si>
  <si>
    <t xml:space="preserve">FD100026</t>
  </si>
  <si>
    <t xml:space="preserve">FD100027</t>
  </si>
  <si>
    <t xml:space="preserve">07-07-2025</t>
  </si>
  <si>
    <t xml:space="preserve">FD100028</t>
  </si>
  <si>
    <t xml:space="preserve">Cancelled</t>
  </si>
  <si>
    <t xml:space="preserve">FD100029</t>
  </si>
  <si>
    <t xml:space="preserve">FD100030</t>
  </si>
  <si>
    <t xml:space="preserve">DELHI</t>
  </si>
  <si>
    <t xml:space="preserve">FD100031</t>
  </si>
  <si>
    <t xml:space="preserve">FD100032</t>
  </si>
  <si>
    <t xml:space="preserve">FD100033</t>
  </si>
  <si>
    <t xml:space="preserve">FD100034</t>
  </si>
  <si>
    <t xml:space="preserve"> Hyderabad</t>
  </si>
  <si>
    <t xml:space="preserve">FD100035</t>
  </si>
  <si>
    <t xml:space="preserve">Desserts</t>
  </si>
  <si>
    <t xml:space="preserve">FD100036</t>
  </si>
  <si>
    <t xml:space="preserve">FD100037</t>
  </si>
  <si>
    <t xml:space="preserve">FD100038</t>
  </si>
  <si>
    <t xml:space="preserve">FD100039</t>
  </si>
  <si>
    <t xml:space="preserve">FD100040</t>
  </si>
  <si>
    <t xml:space="preserve">FD100041</t>
  </si>
  <si>
    <t xml:space="preserve">FD100042</t>
  </si>
  <si>
    <t xml:space="preserve">FD100043</t>
  </si>
  <si>
    <t xml:space="preserve">FD100044</t>
  </si>
  <si>
    <t xml:space="preserve">FD100045</t>
  </si>
  <si>
    <t xml:space="preserve">FD100046</t>
  </si>
  <si>
    <t xml:space="preserve">31-10-2025</t>
  </si>
  <si>
    <t xml:space="preserve">FD100047</t>
  </si>
  <si>
    <t xml:space="preserve">FD100048</t>
  </si>
  <si>
    <t xml:space="preserve">FD100049</t>
  </si>
  <si>
    <t xml:space="preserve">20-09-2025</t>
  </si>
  <si>
    <t xml:space="preserve">FD100050</t>
  </si>
  <si>
    <t xml:space="preserve">FD100051</t>
  </si>
  <si>
    <t xml:space="preserve">FD100052</t>
  </si>
  <si>
    <t xml:space="preserve">FD100053</t>
  </si>
  <si>
    <t xml:space="preserve">new</t>
  </si>
  <si>
    <t xml:space="preserve">FD100054</t>
  </si>
  <si>
    <t xml:space="preserve">FD100055</t>
  </si>
  <si>
    <t xml:space="preserve">FD100056</t>
  </si>
  <si>
    <t xml:space="preserve">FD100057</t>
  </si>
  <si>
    <t xml:space="preserve">FD100058</t>
  </si>
  <si>
    <t xml:space="preserve">12-08-2025</t>
  </si>
  <si>
    <t xml:space="preserve">FD100059</t>
  </si>
  <si>
    <t xml:space="preserve">FD100060</t>
  </si>
  <si>
    <t xml:space="preserve">20-02-2025</t>
  </si>
  <si>
    <t xml:space="preserve">FD100061</t>
  </si>
  <si>
    <t xml:space="preserve">FD100062</t>
  </si>
  <si>
    <t xml:space="preserve">09-07-2025</t>
  </si>
  <si>
    <t xml:space="preserve">FD100063</t>
  </si>
  <si>
    <t xml:space="preserve">FD100064</t>
  </si>
  <si>
    <t xml:space="preserve">FD100065</t>
  </si>
  <si>
    <t xml:space="preserve">FD100066</t>
  </si>
  <si>
    <t xml:space="preserve">FD100067</t>
  </si>
  <si>
    <t xml:space="preserve">FD100068</t>
  </si>
  <si>
    <t xml:space="preserve">FD100069</t>
  </si>
  <si>
    <t xml:space="preserve">FD100070</t>
  </si>
  <si>
    <t xml:space="preserve">FD100071</t>
  </si>
  <si>
    <t xml:space="preserve">FD100072</t>
  </si>
  <si>
    <t xml:space="preserve">FD100073</t>
  </si>
  <si>
    <t xml:space="preserve">Bengaluru </t>
  </si>
  <si>
    <t xml:space="preserve">FD100074</t>
  </si>
  <si>
    <t xml:space="preserve">FD100075</t>
  </si>
  <si>
    <t xml:space="preserve">FD100076</t>
  </si>
  <si>
    <t xml:space="preserve">delhi</t>
  </si>
  <si>
    <t xml:space="preserve">FD100077</t>
  </si>
  <si>
    <t xml:space="preserve">FD100078</t>
  </si>
  <si>
    <t xml:space="preserve">FD100079</t>
  </si>
  <si>
    <t xml:space="preserve">FD100080</t>
  </si>
  <si>
    <t xml:space="preserve">FD100081</t>
  </si>
  <si>
    <t xml:space="preserve">FD100082</t>
  </si>
  <si>
    <t xml:space="preserve">FD100083</t>
  </si>
  <si>
    <t xml:space="preserve">FD100084</t>
  </si>
  <si>
    <t xml:space="preserve">FD100085</t>
  </si>
  <si>
    <t xml:space="preserve">FD100086</t>
  </si>
  <si>
    <t xml:space="preserve">FD100087</t>
  </si>
  <si>
    <t xml:space="preserve">FD100088</t>
  </si>
  <si>
    <t xml:space="preserve">FD100089</t>
  </si>
  <si>
    <t xml:space="preserve">FD100090</t>
  </si>
  <si>
    <t xml:space="preserve">FD100091</t>
  </si>
  <si>
    <t xml:space="preserve">FD100092</t>
  </si>
  <si>
    <t xml:space="preserve">FD100093</t>
  </si>
  <si>
    <t xml:space="preserve">FD100094</t>
  </si>
  <si>
    <t xml:space="preserve">FD100095</t>
  </si>
  <si>
    <t xml:space="preserve">FD100096</t>
  </si>
  <si>
    <t xml:space="preserve">FD100097</t>
  </si>
  <si>
    <t xml:space="preserve">FD100098</t>
  </si>
  <si>
    <t xml:space="preserve">08-02-2025</t>
  </si>
  <si>
    <t xml:space="preserve">FD100099</t>
  </si>
  <si>
    <t xml:space="preserve">FD100100</t>
  </si>
  <si>
    <t xml:space="preserve">FD100101</t>
  </si>
  <si>
    <t xml:space="preserve">FD100102</t>
  </si>
  <si>
    <t xml:space="preserve">FD100103</t>
  </si>
  <si>
    <t xml:space="preserve">FD100104</t>
  </si>
  <si>
    <t xml:space="preserve">FD100105</t>
  </si>
  <si>
    <t xml:space="preserve">FD100106</t>
  </si>
  <si>
    <t xml:space="preserve">FD100107</t>
  </si>
  <si>
    <t xml:space="preserve">FD100108</t>
  </si>
  <si>
    <t xml:space="preserve">FD100109</t>
  </si>
  <si>
    <t xml:space="preserve">FD100110</t>
  </si>
  <si>
    <t xml:space="preserve">01-12-2025</t>
  </si>
  <si>
    <t xml:space="preserve">Bangalore</t>
  </si>
  <si>
    <t xml:space="preserve">FD100111</t>
  </si>
  <si>
    <t xml:space="preserve">FD100112</t>
  </si>
  <si>
    <t xml:space="preserve">FD100113</t>
  </si>
  <si>
    <t xml:space="preserve">FD100114</t>
  </si>
  <si>
    <t xml:space="preserve">FD100115</t>
  </si>
  <si>
    <t xml:space="preserve">FD100116</t>
  </si>
  <si>
    <t xml:space="preserve">FD100117</t>
  </si>
  <si>
    <t xml:space="preserve">16-10-2025</t>
  </si>
  <si>
    <t xml:space="preserve">FD100118</t>
  </si>
  <si>
    <t xml:space="preserve">FD100119</t>
  </si>
  <si>
    <t xml:space="preserve">FD100120</t>
  </si>
  <si>
    <t xml:space="preserve">FD100121</t>
  </si>
  <si>
    <t xml:space="preserve">FD100122</t>
  </si>
  <si>
    <t xml:space="preserve">FD100123</t>
  </si>
  <si>
    <t xml:space="preserve">FD100124</t>
  </si>
  <si>
    <t xml:space="preserve">FD100125</t>
  </si>
  <si>
    <t xml:space="preserve">FD100126</t>
  </si>
  <si>
    <t xml:space="preserve">17-07-2025</t>
  </si>
  <si>
    <t xml:space="preserve">FD100127</t>
  </si>
  <si>
    <t xml:space="preserve">FD100128</t>
  </si>
  <si>
    <t xml:space="preserve">MUMBAI</t>
  </si>
  <si>
    <t xml:space="preserve">FD100129</t>
  </si>
  <si>
    <t xml:space="preserve">FD100130</t>
  </si>
  <si>
    <t xml:space="preserve">FD100131</t>
  </si>
  <si>
    <t xml:space="preserve">FD100132</t>
  </si>
  <si>
    <t xml:space="preserve">FD100133</t>
  </si>
  <si>
    <t xml:space="preserve">FD100134</t>
  </si>
  <si>
    <t xml:space="preserve">FD100135</t>
  </si>
  <si>
    <t xml:space="preserve">FD100136</t>
  </si>
  <si>
    <t xml:space="preserve">FD100137</t>
  </si>
  <si>
    <t xml:space="preserve">19-12-2025</t>
  </si>
  <si>
    <t xml:space="preserve">FD100138</t>
  </si>
  <si>
    <t xml:space="preserve">FD100139</t>
  </si>
  <si>
    <t xml:space="preserve">FD100140</t>
  </si>
  <si>
    <t xml:space="preserve">FD100141</t>
  </si>
  <si>
    <t xml:space="preserve">FD100142</t>
  </si>
  <si>
    <t xml:space="preserve">FD100143</t>
  </si>
  <si>
    <t xml:space="preserve">12-12-2025</t>
  </si>
  <si>
    <t xml:space="preserve">FD100144</t>
  </si>
  <si>
    <t xml:space="preserve">FD100145</t>
  </si>
  <si>
    <t xml:space="preserve">FD100146</t>
  </si>
  <si>
    <t xml:space="preserve">23-04-2025</t>
  </si>
  <si>
    <t xml:space="preserve">FD100147</t>
  </si>
  <si>
    <t xml:space="preserve">FD100148</t>
  </si>
  <si>
    <t xml:space="preserve"> Chennai</t>
  </si>
  <si>
    <t xml:space="preserve">FD100149</t>
  </si>
  <si>
    <t xml:space="preserve">FD100150</t>
  </si>
  <si>
    <t xml:space="preserve">FD100151</t>
  </si>
  <si>
    <t xml:space="preserve">FD100152</t>
  </si>
  <si>
    <t xml:space="preserve">FD100153</t>
  </si>
  <si>
    <t xml:space="preserve">FD100154</t>
  </si>
  <si>
    <t xml:space="preserve">FD100155</t>
  </si>
  <si>
    <t xml:space="preserve">FD100156</t>
  </si>
  <si>
    <t xml:space="preserve">FD100157</t>
  </si>
  <si>
    <t xml:space="preserve">FD100158</t>
  </si>
  <si>
    <t xml:space="preserve">FD100159</t>
  </si>
  <si>
    <t xml:space="preserve">05-10-2025</t>
  </si>
  <si>
    <t xml:space="preserve">FD100160</t>
  </si>
  <si>
    <t xml:space="preserve">FD100161</t>
  </si>
  <si>
    <t xml:space="preserve">FD100162</t>
  </si>
  <si>
    <t xml:space="preserve">FD100163</t>
  </si>
  <si>
    <t xml:space="preserve">FD100164</t>
  </si>
  <si>
    <t xml:space="preserve">FD100165</t>
  </si>
  <si>
    <t xml:space="preserve">FD100166</t>
  </si>
  <si>
    <t xml:space="preserve">FD100167</t>
  </si>
  <si>
    <t xml:space="preserve">FD100168</t>
  </si>
  <si>
    <t xml:space="preserve">01-11-2025</t>
  </si>
  <si>
    <t xml:space="preserve">FD100169</t>
  </si>
  <si>
    <t xml:space="preserve">FD100170</t>
  </si>
  <si>
    <t xml:space="preserve">17-12-2025</t>
  </si>
  <si>
    <t xml:space="preserve">FD100171</t>
  </si>
  <si>
    <t xml:space="preserve">FD100172</t>
  </si>
  <si>
    <t xml:space="preserve">FD100173</t>
  </si>
  <si>
    <t xml:space="preserve">FD100174</t>
  </si>
  <si>
    <t xml:space="preserve">FD100175</t>
  </si>
  <si>
    <t xml:space="preserve">12-03-2025</t>
  </si>
  <si>
    <t xml:space="preserve">FD100176</t>
  </si>
  <si>
    <t xml:space="preserve">FD100177</t>
  </si>
  <si>
    <t xml:space="preserve">FD100178</t>
  </si>
  <si>
    <t xml:space="preserve">29-12-2025</t>
  </si>
  <si>
    <t xml:space="preserve">FD100179</t>
  </si>
  <si>
    <t xml:space="preserve">FD100180</t>
  </si>
  <si>
    <t xml:space="preserve">FD100181</t>
  </si>
  <si>
    <t xml:space="preserve">FD100182</t>
  </si>
  <si>
    <t xml:space="preserve">FD100183</t>
  </si>
  <si>
    <t xml:space="preserve">FD100184</t>
  </si>
  <si>
    <t xml:space="preserve">FD100185</t>
  </si>
  <si>
    <t xml:space="preserve">FD100186</t>
  </si>
  <si>
    <t xml:space="preserve">FD100187</t>
  </si>
  <si>
    <t xml:space="preserve">FD100188</t>
  </si>
  <si>
    <t xml:space="preserve">FD100189</t>
  </si>
  <si>
    <t xml:space="preserve">FD100190</t>
  </si>
  <si>
    <t xml:space="preserve">FD100191</t>
  </si>
  <si>
    <t xml:space="preserve">FD100192</t>
  </si>
  <si>
    <t xml:space="preserve">FD100193</t>
  </si>
  <si>
    <t xml:space="preserve">FD100194</t>
  </si>
  <si>
    <t xml:space="preserve">FD100195</t>
  </si>
  <si>
    <t xml:space="preserve">FD100196</t>
  </si>
  <si>
    <t xml:space="preserve">FD100197</t>
  </si>
  <si>
    <t xml:space="preserve">FD100198</t>
  </si>
  <si>
    <t xml:space="preserve">22-11-2025</t>
  </si>
  <si>
    <t xml:space="preserve">FD100199</t>
  </si>
  <si>
    <t xml:space="preserve">FD100200</t>
  </si>
  <si>
    <t xml:space="preserve">FD100201</t>
  </si>
  <si>
    <t xml:space="preserve">FD100202</t>
  </si>
  <si>
    <t xml:space="preserve">FD100203</t>
  </si>
  <si>
    <t xml:space="preserve">FD100204</t>
  </si>
  <si>
    <t xml:space="preserve">FD100205</t>
  </si>
  <si>
    <t xml:space="preserve">FD100206</t>
  </si>
  <si>
    <t xml:space="preserve">FD100207</t>
  </si>
  <si>
    <t xml:space="preserve">FD100208</t>
  </si>
  <si>
    <t xml:space="preserve">19-09-2025</t>
  </si>
  <si>
    <t xml:space="preserve">FD100209</t>
  </si>
  <si>
    <t xml:space="preserve">FD100210</t>
  </si>
  <si>
    <t xml:space="preserve">Delhi </t>
  </si>
  <si>
    <t xml:space="preserve">FD100211</t>
  </si>
  <si>
    <t xml:space="preserve">FD100212</t>
  </si>
  <si>
    <t xml:space="preserve">FD100213</t>
  </si>
  <si>
    <t xml:space="preserve">FD100214</t>
  </si>
  <si>
    <t xml:space="preserve">FD100215</t>
  </si>
  <si>
    <t xml:space="preserve">FD100216</t>
  </si>
  <si>
    <t xml:space="preserve">FD100217</t>
  </si>
  <si>
    <t xml:space="preserve">FD100218</t>
  </si>
  <si>
    <t xml:space="preserve">FD100219</t>
  </si>
  <si>
    <t xml:space="preserve">FD100220</t>
  </si>
  <si>
    <t xml:space="preserve">12-06-2025</t>
  </si>
  <si>
    <t xml:space="preserve">FD100221</t>
  </si>
  <si>
    <t xml:space="preserve">Mumbai </t>
  </si>
  <si>
    <t xml:space="preserve">FD100222</t>
  </si>
  <si>
    <t xml:space="preserve">FD100223</t>
  </si>
  <si>
    <t xml:space="preserve">FD100224</t>
  </si>
  <si>
    <t xml:space="preserve">FD100225</t>
  </si>
  <si>
    <t xml:space="preserve">FD100226</t>
  </si>
  <si>
    <t xml:space="preserve">FD100227</t>
  </si>
  <si>
    <t xml:space="preserve">FD100228</t>
  </si>
  <si>
    <t xml:space="preserve">FD100229</t>
  </si>
  <si>
    <t xml:space="preserve">FD100230</t>
  </si>
  <si>
    <t xml:space="preserve">FD100231</t>
  </si>
  <si>
    <t xml:space="preserve">FD100232</t>
  </si>
  <si>
    <t xml:space="preserve">FD100233</t>
  </si>
  <si>
    <t xml:space="preserve">FD100234</t>
  </si>
  <si>
    <t xml:space="preserve">FD100235</t>
  </si>
  <si>
    <t xml:space="preserve">PUNE</t>
  </si>
  <si>
    <t xml:space="preserve">FD100236</t>
  </si>
  <si>
    <t xml:space="preserve">FD100237</t>
  </si>
  <si>
    <t xml:space="preserve">FD100238</t>
  </si>
  <si>
    <t xml:space="preserve">FD100239</t>
  </si>
  <si>
    <t xml:space="preserve">FD100240</t>
  </si>
  <si>
    <t xml:space="preserve">FD100241</t>
  </si>
  <si>
    <t xml:space="preserve">FD100242</t>
  </si>
  <si>
    <t xml:space="preserve">FD100243</t>
  </si>
  <si>
    <t xml:space="preserve">FD100244</t>
  </si>
  <si>
    <t xml:space="preserve">FD100245</t>
  </si>
  <si>
    <t xml:space="preserve">FD100246</t>
  </si>
  <si>
    <t xml:space="preserve">FD100247</t>
  </si>
  <si>
    <t xml:space="preserve">24-08-2025</t>
  </si>
  <si>
    <t xml:space="preserve">FD100248</t>
  </si>
  <si>
    <t xml:space="preserve">FD100249</t>
  </si>
  <si>
    <t xml:space="preserve">FD100250</t>
  </si>
  <si>
    <t xml:space="preserve">FD100251</t>
  </si>
  <si>
    <t xml:space="preserve">FD100252</t>
  </si>
  <si>
    <t xml:space="preserve">FD100253</t>
  </si>
  <si>
    <t xml:space="preserve">FD100254</t>
  </si>
  <si>
    <t xml:space="preserve">FD100255</t>
  </si>
  <si>
    <t xml:space="preserve">FD100256</t>
  </si>
  <si>
    <t xml:space="preserve">FD100257</t>
  </si>
  <si>
    <t xml:space="preserve">FD100258</t>
  </si>
  <si>
    <t xml:space="preserve">FD100259</t>
  </si>
  <si>
    <t xml:space="preserve">FD100260</t>
  </si>
  <si>
    <t xml:space="preserve">FD100261</t>
  </si>
  <si>
    <t xml:space="preserve">FD100262</t>
  </si>
  <si>
    <t xml:space="preserve">FD100263</t>
  </si>
  <si>
    <t xml:space="preserve">FD100264</t>
  </si>
  <si>
    <t xml:space="preserve">FD100265</t>
  </si>
  <si>
    <t xml:space="preserve">FD100266</t>
  </si>
  <si>
    <t xml:space="preserve">FD100267</t>
  </si>
  <si>
    <t xml:space="preserve">FD100268</t>
  </si>
  <si>
    <t xml:space="preserve">FD100269</t>
  </si>
  <si>
    <t xml:space="preserve">FD100270</t>
  </si>
  <si>
    <t xml:space="preserve">FD100271</t>
  </si>
  <si>
    <t xml:space="preserve">FD100272</t>
  </si>
  <si>
    <t xml:space="preserve">FD100273</t>
  </si>
  <si>
    <t xml:space="preserve">FD100274</t>
  </si>
  <si>
    <t xml:space="preserve">FD100275</t>
  </si>
  <si>
    <t xml:space="preserve">FD100276</t>
  </si>
  <si>
    <t xml:space="preserve">FD100277</t>
  </si>
  <si>
    <t xml:space="preserve">FD100278</t>
  </si>
  <si>
    <t xml:space="preserve">FD100279</t>
  </si>
  <si>
    <t xml:space="preserve">FD100280</t>
  </si>
  <si>
    <t xml:space="preserve">15-11-2025</t>
  </si>
  <si>
    <t xml:space="preserve">bengaluru</t>
  </si>
  <si>
    <t xml:space="preserve">FD100281</t>
  </si>
  <si>
    <t xml:space="preserve">FD100282</t>
  </si>
  <si>
    <t xml:space="preserve">FD100283</t>
  </si>
  <si>
    <t xml:space="preserve">FD100284</t>
  </si>
  <si>
    <t xml:space="preserve">FD100285</t>
  </si>
  <si>
    <t xml:space="preserve">FD100286</t>
  </si>
  <si>
    <t xml:space="preserve">FD100287</t>
  </si>
  <si>
    <t xml:space="preserve">FD100288</t>
  </si>
  <si>
    <t xml:space="preserve">FD100289</t>
  </si>
  <si>
    <t xml:space="preserve">27-07-2025</t>
  </si>
  <si>
    <t xml:space="preserve">FD100290</t>
  </si>
  <si>
    <t xml:space="preserve">14-02-2025</t>
  </si>
  <si>
    <t xml:space="preserve">FD100291</t>
  </si>
  <si>
    <t xml:space="preserve">FD100292</t>
  </si>
  <si>
    <t xml:space="preserve">FD100293</t>
  </si>
  <si>
    <t xml:space="preserve">FD100294</t>
  </si>
  <si>
    <t xml:space="preserve">FD100295</t>
  </si>
  <si>
    <t xml:space="preserve">FD100296</t>
  </si>
  <si>
    <t xml:space="preserve">FD100297</t>
  </si>
  <si>
    <t xml:space="preserve">BENGALURU</t>
  </si>
  <si>
    <t xml:space="preserve">FD100298</t>
  </si>
  <si>
    <t xml:space="preserve">FD100299</t>
  </si>
  <si>
    <t xml:space="preserve">FD100300</t>
  </si>
  <si>
    <t xml:space="preserve">FD100301</t>
  </si>
  <si>
    <t xml:space="preserve">FD100302</t>
  </si>
  <si>
    <t xml:space="preserve">FD100303</t>
  </si>
  <si>
    <t xml:space="preserve">FD100304</t>
  </si>
  <si>
    <t xml:space="preserve">FD100305</t>
  </si>
  <si>
    <t xml:space="preserve">FD100306</t>
  </si>
  <si>
    <t xml:space="preserve">FD100307</t>
  </si>
  <si>
    <t xml:space="preserve">FD100308</t>
  </si>
  <si>
    <t xml:space="preserve">FD100309</t>
  </si>
  <si>
    <t xml:space="preserve">FD100310</t>
  </si>
  <si>
    <t xml:space="preserve">FD100311</t>
  </si>
  <si>
    <t xml:space="preserve">FD100312</t>
  </si>
  <si>
    <t xml:space="preserve">19-06-2025</t>
  </si>
  <si>
    <t xml:space="preserve">FD100313</t>
  </si>
  <si>
    <t xml:space="preserve">FD100314</t>
  </si>
  <si>
    <t xml:space="preserve">FD100315</t>
  </si>
  <si>
    <t xml:space="preserve">31-05-2025</t>
  </si>
  <si>
    <t xml:space="preserve">FD100316</t>
  </si>
  <si>
    <t xml:space="preserve">FD100317</t>
  </si>
  <si>
    <t xml:space="preserve">05-06-2025</t>
  </si>
  <si>
    <t xml:space="preserve">FD100318</t>
  </si>
  <si>
    <t xml:space="preserve">FD100319</t>
  </si>
  <si>
    <t xml:space="preserve">FD100320</t>
  </si>
  <si>
    <t xml:space="preserve">FD100321</t>
  </si>
  <si>
    <t xml:space="preserve">FD100322</t>
  </si>
  <si>
    <t xml:space="preserve">FD100323</t>
  </si>
  <si>
    <t xml:space="preserve">FD100324</t>
  </si>
  <si>
    <t xml:space="preserve">FD100325</t>
  </si>
  <si>
    <t xml:space="preserve">FD100326</t>
  </si>
  <si>
    <t xml:space="preserve">FD100327</t>
  </si>
  <si>
    <t xml:space="preserve">FD100328</t>
  </si>
  <si>
    <t xml:space="preserve">31-07-2025</t>
  </si>
  <si>
    <t xml:space="preserve">FD100329</t>
  </si>
  <si>
    <t xml:space="preserve">FD100330</t>
  </si>
  <si>
    <t xml:space="preserve">FD100331</t>
  </si>
  <si>
    <t xml:space="preserve">08-10-2025</t>
  </si>
  <si>
    <t xml:space="preserve">FD100332</t>
  </si>
  <si>
    <t xml:space="preserve">FD100333</t>
  </si>
  <si>
    <t xml:space="preserve">FD100334</t>
  </si>
  <si>
    <t xml:space="preserve">18-11-2025</t>
  </si>
  <si>
    <t xml:space="preserve">FD100335</t>
  </si>
  <si>
    <t xml:space="preserve">FD100336</t>
  </si>
  <si>
    <t xml:space="preserve">mumbai</t>
  </si>
  <si>
    <t xml:space="preserve">FD100337</t>
  </si>
  <si>
    <t xml:space="preserve">FD100338</t>
  </si>
  <si>
    <t xml:space="preserve">FD100339</t>
  </si>
  <si>
    <t xml:space="preserve">FD100340</t>
  </si>
  <si>
    <t xml:space="preserve">FD100341</t>
  </si>
  <si>
    <t xml:space="preserve">FD100342</t>
  </si>
  <si>
    <t xml:space="preserve">FD100343</t>
  </si>
  <si>
    <t xml:space="preserve">FD100344</t>
  </si>
  <si>
    <t xml:space="preserve">FD100345</t>
  </si>
  <si>
    <t xml:space="preserve">FD100346</t>
  </si>
  <si>
    <t xml:space="preserve">FD100347</t>
  </si>
  <si>
    <t xml:space="preserve">14-12-2025</t>
  </si>
  <si>
    <t xml:space="preserve">FD100348</t>
  </si>
  <si>
    <t xml:space="preserve">Hyderabad </t>
  </si>
  <si>
    <t xml:space="preserve">FD100349</t>
  </si>
  <si>
    <t xml:space="preserve">FD100350</t>
  </si>
  <si>
    <t xml:space="preserve">FD100351</t>
  </si>
  <si>
    <t xml:space="preserve">FD100352</t>
  </si>
  <si>
    <t xml:space="preserve">FD100353</t>
  </si>
  <si>
    <t xml:space="preserve">FD100354</t>
  </si>
  <si>
    <t xml:space="preserve">FD100355</t>
  </si>
  <si>
    <t xml:space="preserve">FD100356</t>
  </si>
  <si>
    <t xml:space="preserve">FD100357</t>
  </si>
  <si>
    <t xml:space="preserve">FD100358</t>
  </si>
  <si>
    <t xml:space="preserve">FD100359</t>
  </si>
  <si>
    <t xml:space="preserve">FD100360</t>
  </si>
  <si>
    <t xml:space="preserve">FD100361</t>
  </si>
  <si>
    <t xml:space="preserve">FD100362</t>
  </si>
  <si>
    <t xml:space="preserve">FD100363</t>
  </si>
  <si>
    <t xml:space="preserve">FD100364</t>
  </si>
  <si>
    <t xml:space="preserve">FD100365</t>
  </si>
  <si>
    <t xml:space="preserve">FD100366</t>
  </si>
  <si>
    <t xml:space="preserve">FD100367</t>
  </si>
  <si>
    <t xml:space="preserve">FD100368</t>
  </si>
  <si>
    <t xml:space="preserve">17-09-2025</t>
  </si>
  <si>
    <t xml:space="preserve">FD100369</t>
  </si>
  <si>
    <t xml:space="preserve">FD100370</t>
  </si>
  <si>
    <t xml:space="preserve">FD100371</t>
  </si>
  <si>
    <t xml:space="preserve">17-10-2025</t>
  </si>
  <si>
    <t xml:space="preserve">FD100372</t>
  </si>
  <si>
    <t xml:space="preserve">FD100373</t>
  </si>
  <si>
    <t xml:space="preserve">FD100374</t>
  </si>
  <si>
    <t xml:space="preserve">FD100375</t>
  </si>
  <si>
    <t xml:space="preserve">FD100376</t>
  </si>
  <si>
    <t xml:space="preserve">FD100377</t>
  </si>
  <si>
    <t xml:space="preserve">FD100378</t>
  </si>
  <si>
    <t xml:space="preserve">FD100379</t>
  </si>
  <si>
    <t xml:space="preserve">FD100380</t>
  </si>
  <si>
    <t xml:space="preserve">FD100381</t>
  </si>
  <si>
    <t xml:space="preserve">FD100382</t>
  </si>
  <si>
    <t xml:space="preserve">FD100383</t>
  </si>
  <si>
    <t xml:space="preserve">FD100384</t>
  </si>
  <si>
    <t xml:space="preserve">FD100385</t>
  </si>
  <si>
    <t xml:space="preserve">FD100386</t>
  </si>
  <si>
    <t xml:space="preserve">27-12-2025</t>
  </si>
  <si>
    <t xml:space="preserve">FD100387</t>
  </si>
  <si>
    <t xml:space="preserve">FD100388</t>
  </si>
  <si>
    <t xml:space="preserve">16-12-2025</t>
  </si>
  <si>
    <t xml:space="preserve">FD100389</t>
  </si>
  <si>
    <t xml:space="preserve">FD100390</t>
  </si>
  <si>
    <t xml:space="preserve">FD100391</t>
  </si>
  <si>
    <t xml:space="preserve">05-09-2025</t>
  </si>
  <si>
    <t xml:space="preserve">FD100392</t>
  </si>
  <si>
    <t xml:space="preserve">FD100393</t>
  </si>
  <si>
    <t xml:space="preserve">FD100394</t>
  </si>
  <si>
    <t xml:space="preserve">FD100395</t>
  </si>
  <si>
    <t xml:space="preserve">FD100396</t>
  </si>
  <si>
    <t xml:space="preserve">FD100397</t>
  </si>
  <si>
    <t xml:space="preserve">FD100398</t>
  </si>
  <si>
    <t xml:space="preserve">FD100399</t>
  </si>
  <si>
    <t xml:space="preserve">FD100400</t>
  </si>
  <si>
    <t xml:space="preserve">FD100401</t>
  </si>
  <si>
    <t xml:space="preserve">06-05-2025</t>
  </si>
  <si>
    <t xml:space="preserve">FD100402</t>
  </si>
  <si>
    <t xml:space="preserve">FD100403</t>
  </si>
  <si>
    <t xml:space="preserve">FD100404</t>
  </si>
  <si>
    <t xml:space="preserve">FD100405</t>
  </si>
  <si>
    <t xml:space="preserve">FD100406</t>
  </si>
  <si>
    <t xml:space="preserve">FD100407</t>
  </si>
  <si>
    <t xml:space="preserve">FD100408</t>
  </si>
  <si>
    <t xml:space="preserve">FD100409</t>
  </si>
  <si>
    <t xml:space="preserve">FD100410</t>
  </si>
  <si>
    <t xml:space="preserve">FD100411</t>
  </si>
  <si>
    <t xml:space="preserve">FD100412</t>
  </si>
  <si>
    <t xml:space="preserve">FD100413</t>
  </si>
  <si>
    <t xml:space="preserve">FD100414</t>
  </si>
  <si>
    <t xml:space="preserve">FD100415</t>
  </si>
  <si>
    <t xml:space="preserve">FD100416</t>
  </si>
  <si>
    <t xml:space="preserve">FD100417</t>
  </si>
  <si>
    <t xml:space="preserve">FD100418</t>
  </si>
  <si>
    <t xml:space="preserve">FD100419</t>
  </si>
  <si>
    <t xml:space="preserve">FD100420</t>
  </si>
  <si>
    <t xml:space="preserve">FD100421</t>
  </si>
  <si>
    <t xml:space="preserve">FD100422</t>
  </si>
  <si>
    <t xml:space="preserve">FD100423</t>
  </si>
  <si>
    <t xml:space="preserve">FD100424</t>
  </si>
  <si>
    <t xml:space="preserve">24-01-2025</t>
  </si>
  <si>
    <t xml:space="preserve">FD100425</t>
  </si>
  <si>
    <t xml:space="preserve">FD100426</t>
  </si>
  <si>
    <t xml:space="preserve">FD100427</t>
  </si>
  <si>
    <t xml:space="preserve">FD100428</t>
  </si>
  <si>
    <t xml:space="preserve">FD100429</t>
  </si>
  <si>
    <t xml:space="preserve">FD100430</t>
  </si>
  <si>
    <t xml:space="preserve">FD100431</t>
  </si>
  <si>
    <t xml:space="preserve">FD100432</t>
  </si>
  <si>
    <t xml:space="preserve">FD100433</t>
  </si>
  <si>
    <t xml:space="preserve">FD100434</t>
  </si>
  <si>
    <t xml:space="preserve">FD100435</t>
  </si>
  <si>
    <t xml:space="preserve">FD100436</t>
  </si>
  <si>
    <t xml:space="preserve">FD100437</t>
  </si>
  <si>
    <t xml:space="preserve">FD100438</t>
  </si>
  <si>
    <t xml:space="preserve">FD100439</t>
  </si>
  <si>
    <t xml:space="preserve">FD100440</t>
  </si>
  <si>
    <t xml:space="preserve">FD100441</t>
  </si>
  <si>
    <t xml:space="preserve">FD100442</t>
  </si>
  <si>
    <t xml:space="preserve">08-03-2025</t>
  </si>
  <si>
    <t xml:space="preserve">FD100443</t>
  </si>
  <si>
    <t xml:space="preserve">FD100444</t>
  </si>
  <si>
    <t xml:space="preserve">FD100445</t>
  </si>
  <si>
    <t xml:space="preserve">24-04-2025</t>
  </si>
  <si>
    <t xml:space="preserve">FD100446</t>
  </si>
  <si>
    <t xml:space="preserve">FD100447</t>
  </si>
  <si>
    <t xml:space="preserve">FD100448</t>
  </si>
  <si>
    <t xml:space="preserve">FD100449</t>
  </si>
  <si>
    <t xml:space="preserve">FD100450</t>
  </si>
  <si>
    <t xml:space="preserve">FD100451</t>
  </si>
  <si>
    <t xml:space="preserve">FD100452</t>
  </si>
  <si>
    <t xml:space="preserve">FD100453</t>
  </si>
  <si>
    <t xml:space="preserve">29-09-2025</t>
  </si>
  <si>
    <t xml:space="preserve">FD100454</t>
  </si>
  <si>
    <t xml:space="preserve">16-03-2025</t>
  </si>
  <si>
    <t xml:space="preserve">FD100455</t>
  </si>
  <si>
    <t xml:space="preserve">FD100456</t>
  </si>
  <si>
    <t xml:space="preserve">FD100457</t>
  </si>
  <si>
    <t xml:space="preserve">FD100458</t>
  </si>
  <si>
    <t xml:space="preserve">FD100459</t>
  </si>
  <si>
    <t xml:space="preserve">FD100460</t>
  </si>
  <si>
    <t xml:space="preserve">FD100461</t>
  </si>
  <si>
    <t xml:space="preserve">FD100462</t>
  </si>
  <si>
    <t xml:space="preserve">04-03-2025</t>
  </si>
  <si>
    <t xml:space="preserve">FD100463</t>
  </si>
  <si>
    <t xml:space="preserve">FD100464</t>
  </si>
  <si>
    <t xml:space="preserve">FD100465</t>
  </si>
  <si>
    <t xml:space="preserve">FD100466</t>
  </si>
  <si>
    <t xml:space="preserve">26-09-2025</t>
  </si>
  <si>
    <t xml:space="preserve">FD100467</t>
  </si>
  <si>
    <t xml:space="preserve">FD100468</t>
  </si>
  <si>
    <t xml:space="preserve">13-12-2025</t>
  </si>
  <si>
    <t xml:space="preserve">FD100469</t>
  </si>
  <si>
    <t xml:space="preserve">FD100470</t>
  </si>
  <si>
    <t xml:space="preserve">FD100471</t>
  </si>
  <si>
    <t xml:space="preserve">FD100472</t>
  </si>
  <si>
    <t xml:space="preserve">FD100473</t>
  </si>
  <si>
    <t xml:space="preserve">FD100474</t>
  </si>
  <si>
    <t xml:space="preserve">FD100475</t>
  </si>
  <si>
    <t xml:space="preserve">FD100476</t>
  </si>
  <si>
    <t xml:space="preserve">07-05-2025</t>
  </si>
  <si>
    <t xml:space="preserve">FD100477</t>
  </si>
  <si>
    <t xml:space="preserve">FD100478</t>
  </si>
  <si>
    <t xml:space="preserve">FD100479</t>
  </si>
  <si>
    <t xml:space="preserve">04-09-2025</t>
  </si>
  <si>
    <t xml:space="preserve">FD100480</t>
  </si>
  <si>
    <t xml:space="preserve">FD100481</t>
  </si>
  <si>
    <t xml:space="preserve">FD100482</t>
  </si>
  <si>
    <t xml:space="preserve">FD100483</t>
  </si>
  <si>
    <t xml:space="preserve">FD100484</t>
  </si>
  <si>
    <t xml:space="preserve">12-05-2025</t>
  </si>
  <si>
    <t xml:space="preserve">FD100485</t>
  </si>
  <si>
    <t xml:space="preserve">17-01-2025</t>
  </si>
  <si>
    <t xml:space="preserve">FD100486</t>
  </si>
  <si>
    <t xml:space="preserve">FD100487</t>
  </si>
  <si>
    <t xml:space="preserve">FD100488</t>
  </si>
  <si>
    <t xml:space="preserve">06-04-2025</t>
  </si>
  <si>
    <t xml:space="preserve">FD100489</t>
  </si>
  <si>
    <t xml:space="preserve">14-08-2025</t>
  </si>
  <si>
    <t xml:space="preserve">FD100490</t>
  </si>
  <si>
    <t xml:space="preserve">FD100491</t>
  </si>
  <si>
    <t xml:space="preserve">FD100492</t>
  </si>
  <si>
    <t xml:space="preserve">09-09-2025</t>
  </si>
  <si>
    <t xml:space="preserve">FD100493</t>
  </si>
  <si>
    <t xml:space="preserve">FD100494</t>
  </si>
  <si>
    <t xml:space="preserve">FD100495</t>
  </si>
  <si>
    <t xml:space="preserve">FD100496</t>
  </si>
  <si>
    <t xml:space="preserve">FD100497</t>
  </si>
  <si>
    <t xml:space="preserve">FD100498</t>
  </si>
  <si>
    <t xml:space="preserve">FD100499</t>
  </si>
  <si>
    <t xml:space="preserve">FD100500</t>
  </si>
  <si>
    <t xml:space="preserve">FD100501</t>
  </si>
  <si>
    <t xml:space="preserve">FD100502</t>
  </si>
  <si>
    <t xml:space="preserve">FD100503</t>
  </si>
  <si>
    <t xml:space="preserve">FD100504</t>
  </si>
  <si>
    <t xml:space="preserve">FD100505</t>
  </si>
  <si>
    <t xml:space="preserve">FD100506</t>
  </si>
  <si>
    <t xml:space="preserve">FD100507</t>
  </si>
  <si>
    <t xml:space="preserve">FD100508</t>
  </si>
  <si>
    <t xml:space="preserve">FD100509</t>
  </si>
  <si>
    <t xml:space="preserve">FD100510</t>
  </si>
  <si>
    <t xml:space="preserve">FD100511</t>
  </si>
  <si>
    <t xml:space="preserve">FD100512</t>
  </si>
  <si>
    <t xml:space="preserve">FD100513</t>
  </si>
  <si>
    <t xml:space="preserve">FD100514</t>
  </si>
  <si>
    <t xml:space="preserve">FD100515</t>
  </si>
  <si>
    <t xml:space="preserve">FD100516</t>
  </si>
  <si>
    <t xml:space="preserve">FD100517</t>
  </si>
  <si>
    <t xml:space="preserve">FD100518</t>
  </si>
  <si>
    <t xml:space="preserve">FD100519</t>
  </si>
  <si>
    <t xml:space="preserve">FD100520</t>
  </si>
  <si>
    <t xml:space="preserve">FD100521</t>
  </si>
  <si>
    <t xml:space="preserve">FD100522</t>
  </si>
  <si>
    <t xml:space="preserve">FD100523</t>
  </si>
  <si>
    <t xml:space="preserve">FD100524</t>
  </si>
  <si>
    <t xml:space="preserve">FD100525</t>
  </si>
  <si>
    <t xml:space="preserve">FD100526</t>
  </si>
  <si>
    <t xml:space="preserve">FD100527</t>
  </si>
  <si>
    <t xml:space="preserve">FD100528</t>
  </si>
  <si>
    <t xml:space="preserve">FD100529</t>
  </si>
  <si>
    <t xml:space="preserve">FD100530</t>
  </si>
  <si>
    <t xml:space="preserve">FD100531</t>
  </si>
  <si>
    <t xml:space="preserve">FD100532</t>
  </si>
  <si>
    <t xml:space="preserve">FD100533</t>
  </si>
  <si>
    <t xml:space="preserve">FD100534</t>
  </si>
  <si>
    <t xml:space="preserve">FD100535</t>
  </si>
  <si>
    <t xml:space="preserve">FD100536</t>
  </si>
  <si>
    <t xml:space="preserve">FD100537</t>
  </si>
  <si>
    <t xml:space="preserve">FD100538</t>
  </si>
  <si>
    <t xml:space="preserve">FD100539</t>
  </si>
  <si>
    <t xml:space="preserve">FD100540</t>
  </si>
  <si>
    <t xml:space="preserve">10-11-2025</t>
  </si>
  <si>
    <t xml:space="preserve">FD100541</t>
  </si>
  <si>
    <t xml:space="preserve">FD100542</t>
  </si>
  <si>
    <t xml:space="preserve">FD100543</t>
  </si>
  <si>
    <t xml:space="preserve">FD100544</t>
  </si>
  <si>
    <t xml:space="preserve">FD100545</t>
  </si>
  <si>
    <t xml:space="preserve">FD100546</t>
  </si>
  <si>
    <t xml:space="preserve">FD100547</t>
  </si>
  <si>
    <t xml:space="preserve">FD100548</t>
  </si>
  <si>
    <t xml:space="preserve">FD100549</t>
  </si>
  <si>
    <t xml:space="preserve">FD100550</t>
  </si>
  <si>
    <t xml:space="preserve">25-06-2025</t>
  </si>
  <si>
    <t xml:space="preserve">FD100551</t>
  </si>
  <si>
    <t xml:space="preserve">FD100552</t>
  </si>
  <si>
    <t xml:space="preserve">FD100553</t>
  </si>
  <si>
    <t xml:space="preserve">FD100554</t>
  </si>
  <si>
    <t xml:space="preserve"> Pune</t>
  </si>
  <si>
    <t xml:space="preserve">FD100555</t>
  </si>
  <si>
    <t xml:space="preserve">FD100556</t>
  </si>
  <si>
    <t xml:space="preserve">FD100557</t>
  </si>
  <si>
    <t xml:space="preserve">03-05-2025</t>
  </si>
  <si>
    <t xml:space="preserve">Ahmedabad </t>
  </si>
  <si>
    <t xml:space="preserve">FD100558</t>
  </si>
  <si>
    <t xml:space="preserve">FD100559</t>
  </si>
  <si>
    <t xml:space="preserve">18-08-2025</t>
  </si>
  <si>
    <t xml:space="preserve">FD100560</t>
  </si>
  <si>
    <t xml:space="preserve">FD100561</t>
  </si>
  <si>
    <t xml:space="preserve">FD100562</t>
  </si>
  <si>
    <t xml:space="preserve">FD100563</t>
  </si>
  <si>
    <t xml:space="preserve">FD100564</t>
  </si>
  <si>
    <t xml:space="preserve">FD100565</t>
  </si>
  <si>
    <t xml:space="preserve">FD100566</t>
  </si>
  <si>
    <t xml:space="preserve">FD100567</t>
  </si>
  <si>
    <t xml:space="preserve">FD100568</t>
  </si>
  <si>
    <t xml:space="preserve">FD100569</t>
  </si>
  <si>
    <t xml:space="preserve">FD100570</t>
  </si>
  <si>
    <t xml:space="preserve">FD100571</t>
  </si>
  <si>
    <t xml:space="preserve">FD100572</t>
  </si>
  <si>
    <t xml:space="preserve">13-11-2025</t>
  </si>
  <si>
    <t xml:space="preserve">FD100573</t>
  </si>
  <si>
    <t xml:space="preserve">13-07-2025</t>
  </si>
  <si>
    <t xml:space="preserve">FD100574</t>
  </si>
  <si>
    <t xml:space="preserve">FD100575</t>
  </si>
  <si>
    <t xml:space="preserve">FD100576</t>
  </si>
  <si>
    <t xml:space="preserve">FD100577</t>
  </si>
  <si>
    <t xml:space="preserve">AHMEDABAD</t>
  </si>
  <si>
    <t xml:space="preserve">FD100578</t>
  </si>
  <si>
    <t xml:space="preserve">FD100579</t>
  </si>
  <si>
    <t xml:space="preserve">14-11-2025</t>
  </si>
  <si>
    <t xml:space="preserve">FD100580</t>
  </si>
  <si>
    <t xml:space="preserve">FD100581</t>
  </si>
  <si>
    <t xml:space="preserve">FD100582</t>
  </si>
  <si>
    <t xml:space="preserve">FD100583</t>
  </si>
  <si>
    <t xml:space="preserve">FD100584</t>
  </si>
  <si>
    <t xml:space="preserve">FD100585</t>
  </si>
  <si>
    <t xml:space="preserve">FD100586</t>
  </si>
  <si>
    <t xml:space="preserve">03-09-2025</t>
  </si>
  <si>
    <t xml:space="preserve">FD100587</t>
  </si>
  <si>
    <t xml:space="preserve">FD100588</t>
  </si>
  <si>
    <t xml:space="preserve">FD100589</t>
  </si>
  <si>
    <t xml:space="preserve">FD100590</t>
  </si>
  <si>
    <t xml:space="preserve">FD100591</t>
  </si>
  <si>
    <t xml:space="preserve">FD100592</t>
  </si>
  <si>
    <t xml:space="preserve">FD100593</t>
  </si>
  <si>
    <t xml:space="preserve">FD100594</t>
  </si>
  <si>
    <t xml:space="preserve">23-08-2025</t>
  </si>
  <si>
    <t xml:space="preserve">FD100595</t>
  </si>
  <si>
    <t xml:space="preserve">pune</t>
  </si>
  <si>
    <t xml:space="preserve">FD100596</t>
  </si>
  <si>
    <t xml:space="preserve">FD100597</t>
  </si>
  <si>
    <t xml:space="preserve">FD100598</t>
  </si>
  <si>
    <t xml:space="preserve">FD100599</t>
  </si>
  <si>
    <t xml:space="preserve">FD100600</t>
  </si>
  <si>
    <t xml:space="preserve">FD100601</t>
  </si>
  <si>
    <t xml:space="preserve">FD100602</t>
  </si>
  <si>
    <t xml:space="preserve">FD100603</t>
  </si>
  <si>
    <t xml:space="preserve">FD100604</t>
  </si>
  <si>
    <t xml:space="preserve">FD100605</t>
  </si>
  <si>
    <t xml:space="preserve">FD100606</t>
  </si>
  <si>
    <t xml:space="preserve">FD100607</t>
  </si>
  <si>
    <t xml:space="preserve">FD100608</t>
  </si>
  <si>
    <t xml:space="preserve">FD100609</t>
  </si>
  <si>
    <t xml:space="preserve">FD100610</t>
  </si>
  <si>
    <t xml:space="preserve">FD100611</t>
  </si>
  <si>
    <t xml:space="preserve">FD100612</t>
  </si>
  <si>
    <t xml:space="preserve">FD100613</t>
  </si>
  <si>
    <t xml:space="preserve">FD100614</t>
  </si>
  <si>
    <t xml:space="preserve">FD100615</t>
  </si>
  <si>
    <t xml:space="preserve">FD100616</t>
  </si>
  <si>
    <t xml:space="preserve">FD100617</t>
  </si>
  <si>
    <t xml:space="preserve">FD100618</t>
  </si>
  <si>
    <t xml:space="preserve">FD100619</t>
  </si>
  <si>
    <t xml:space="preserve">FD100620</t>
  </si>
  <si>
    <t xml:space="preserve">FD100621</t>
  </si>
  <si>
    <t xml:space="preserve">FD100622</t>
  </si>
  <si>
    <t xml:space="preserve">FD100623</t>
  </si>
  <si>
    <t xml:space="preserve">FD100624</t>
  </si>
  <si>
    <t xml:space="preserve">FD100625</t>
  </si>
  <si>
    <t xml:space="preserve">FD100626</t>
  </si>
  <si>
    <t xml:space="preserve">FD100627</t>
  </si>
  <si>
    <t xml:space="preserve">FD100628</t>
  </si>
  <si>
    <t xml:space="preserve">FD100629</t>
  </si>
  <si>
    <t xml:space="preserve">FD100630</t>
  </si>
  <si>
    <t xml:space="preserve">FD100631</t>
  </si>
  <si>
    <t xml:space="preserve">FD100632</t>
  </si>
  <si>
    <t xml:space="preserve">FD100633</t>
  </si>
  <si>
    <t xml:space="preserve">FD100634</t>
  </si>
  <si>
    <t xml:space="preserve">FD100635</t>
  </si>
  <si>
    <t xml:space="preserve">FD100636</t>
  </si>
  <si>
    <t xml:space="preserve">FD100637</t>
  </si>
  <si>
    <t xml:space="preserve">FD100638</t>
  </si>
  <si>
    <t xml:space="preserve">FD100639</t>
  </si>
  <si>
    <t xml:space="preserve">CHENNAI</t>
  </si>
  <si>
    <t xml:space="preserve">FD100640</t>
  </si>
  <si>
    <t xml:space="preserve">FD100641</t>
  </si>
  <si>
    <t xml:space="preserve">FD100642</t>
  </si>
  <si>
    <t xml:space="preserve">FD100643</t>
  </si>
  <si>
    <t xml:space="preserve">FD100644</t>
  </si>
  <si>
    <t xml:space="preserve">FD100645</t>
  </si>
  <si>
    <t xml:space="preserve">FD100646</t>
  </si>
  <si>
    <t xml:space="preserve">FD100647</t>
  </si>
  <si>
    <t xml:space="preserve">FD100648</t>
  </si>
  <si>
    <t xml:space="preserve">FD100649</t>
  </si>
  <si>
    <t xml:space="preserve">FD100650</t>
  </si>
  <si>
    <t xml:space="preserve">FD100651</t>
  </si>
  <si>
    <t xml:space="preserve">FD100652</t>
  </si>
  <si>
    <t xml:space="preserve">FD100653</t>
  </si>
  <si>
    <t xml:space="preserve">FD100654</t>
  </si>
  <si>
    <t xml:space="preserve">FD100655</t>
  </si>
  <si>
    <t xml:space="preserve">FD100656</t>
  </si>
  <si>
    <t xml:space="preserve">FD100657</t>
  </si>
  <si>
    <t xml:space="preserve">FD100658</t>
  </si>
  <si>
    <t xml:space="preserve">FD100659</t>
  </si>
  <si>
    <t xml:space="preserve">FD100660</t>
  </si>
  <si>
    <t xml:space="preserve">FD100661</t>
  </si>
  <si>
    <t xml:space="preserve">FD100662</t>
  </si>
  <si>
    <t xml:space="preserve">FD100663</t>
  </si>
  <si>
    <t xml:space="preserve">FD100664</t>
  </si>
  <si>
    <t xml:space="preserve">07-02-2025</t>
  </si>
  <si>
    <t xml:space="preserve">FD100665</t>
  </si>
  <si>
    <t xml:space="preserve">FD100666</t>
  </si>
  <si>
    <t xml:space="preserve">FD100667</t>
  </si>
  <si>
    <t xml:space="preserve">FD100668</t>
  </si>
  <si>
    <t xml:space="preserve">FD100669</t>
  </si>
  <si>
    <t xml:space="preserve">FD100670</t>
  </si>
  <si>
    <t xml:space="preserve">FD100671</t>
  </si>
  <si>
    <t xml:space="preserve">FD100672</t>
  </si>
  <si>
    <t xml:space="preserve">FD100673</t>
  </si>
  <si>
    <t xml:space="preserve">FD100674</t>
  </si>
  <si>
    <t xml:space="preserve">FD100675</t>
  </si>
  <si>
    <t xml:space="preserve">FD100676</t>
  </si>
  <si>
    <t xml:space="preserve"> Bengaluru</t>
  </si>
  <si>
    <t xml:space="preserve">FD100677</t>
  </si>
  <si>
    <t xml:space="preserve">FD100678</t>
  </si>
  <si>
    <t xml:space="preserve">FD100679</t>
  </si>
  <si>
    <t xml:space="preserve">FD100680</t>
  </si>
  <si>
    <t xml:space="preserve">FD100681</t>
  </si>
  <si>
    <t xml:space="preserve">FD100682</t>
  </si>
  <si>
    <t xml:space="preserve">ahmedabad</t>
  </si>
  <si>
    <t xml:space="preserve">FD100683</t>
  </si>
  <si>
    <t xml:space="preserve">08-01-2025</t>
  </si>
  <si>
    <t xml:space="preserve">FD100684</t>
  </si>
  <si>
    <t xml:space="preserve">FD100685</t>
  </si>
  <si>
    <t xml:space="preserve">FD100686</t>
  </si>
  <si>
    <t xml:space="preserve">22-05-2025</t>
  </si>
  <si>
    <t xml:space="preserve">FD100687</t>
  </si>
  <si>
    <t xml:space="preserve">FD100688</t>
  </si>
  <si>
    <t xml:space="preserve">FD100689</t>
  </si>
  <si>
    <t xml:space="preserve">FD100690</t>
  </si>
  <si>
    <t xml:space="preserve">FD100691</t>
  </si>
  <si>
    <t xml:space="preserve">FD100692</t>
  </si>
  <si>
    <t xml:space="preserve">FD100693</t>
  </si>
  <si>
    <t xml:space="preserve">FD100694</t>
  </si>
  <si>
    <t xml:space="preserve">FD100695</t>
  </si>
  <si>
    <t xml:space="preserve">FD100696</t>
  </si>
  <si>
    <t xml:space="preserve">FD100697</t>
  </si>
  <si>
    <t xml:space="preserve">FD100698</t>
  </si>
  <si>
    <t xml:space="preserve">FD100699</t>
  </si>
  <si>
    <t xml:space="preserve">FD100700</t>
  </si>
  <si>
    <t xml:space="preserve">FD100701</t>
  </si>
  <si>
    <t xml:space="preserve">12-04-2025</t>
  </si>
  <si>
    <t xml:space="preserve">FD100702</t>
  </si>
  <si>
    <t xml:space="preserve">FD100703</t>
  </si>
  <si>
    <t xml:space="preserve">FD100704</t>
  </si>
  <si>
    <t xml:space="preserve">FD100705</t>
  </si>
  <si>
    <t xml:space="preserve">FD100706</t>
  </si>
  <si>
    <t xml:space="preserve">FD100707</t>
  </si>
  <si>
    <t xml:space="preserve">FD100708</t>
  </si>
  <si>
    <t xml:space="preserve">FD100709</t>
  </si>
  <si>
    <t xml:space="preserve">FD100710</t>
  </si>
  <si>
    <t xml:space="preserve">FD100711</t>
  </si>
  <si>
    <t xml:space="preserve">FD100712</t>
  </si>
  <si>
    <t xml:space="preserve">FD100713</t>
  </si>
  <si>
    <t xml:space="preserve">FD100714</t>
  </si>
  <si>
    <t xml:space="preserve">FD100715</t>
  </si>
  <si>
    <t xml:space="preserve">FD100716</t>
  </si>
  <si>
    <t xml:space="preserve">FD100717</t>
  </si>
  <si>
    <t xml:space="preserve">FD100718</t>
  </si>
  <si>
    <t xml:space="preserve">FD100719</t>
  </si>
  <si>
    <t xml:space="preserve">FD100720</t>
  </si>
  <si>
    <t xml:space="preserve">FD100721</t>
  </si>
  <si>
    <t xml:space="preserve">FD100722</t>
  </si>
  <si>
    <t xml:space="preserve">FD100723</t>
  </si>
  <si>
    <t xml:space="preserve">FD100724</t>
  </si>
  <si>
    <t xml:space="preserve">FD100725</t>
  </si>
  <si>
    <t xml:space="preserve">15-02-2025</t>
  </si>
  <si>
    <t xml:space="preserve">FD100726</t>
  </si>
  <si>
    <t xml:space="preserve">FD100727</t>
  </si>
  <si>
    <t xml:space="preserve">FD100728</t>
  </si>
  <si>
    <t xml:space="preserve">FD100729</t>
  </si>
  <si>
    <t xml:space="preserve">FD100730</t>
  </si>
  <si>
    <t xml:space="preserve">FD100731</t>
  </si>
  <si>
    <t xml:space="preserve">10-05-2025</t>
  </si>
  <si>
    <t xml:space="preserve">FD100732</t>
  </si>
  <si>
    <t xml:space="preserve">FD100733</t>
  </si>
  <si>
    <t xml:space="preserve">FD100734</t>
  </si>
  <si>
    <t xml:space="preserve">07-06-2025</t>
  </si>
  <si>
    <t xml:space="preserve">FD100735</t>
  </si>
  <si>
    <t xml:space="preserve">FD100736</t>
  </si>
  <si>
    <t xml:space="preserve">FD100737</t>
  </si>
  <si>
    <t xml:space="preserve">FD100738</t>
  </si>
  <si>
    <t xml:space="preserve">FD100739</t>
  </si>
  <si>
    <t xml:space="preserve">FD100740</t>
  </si>
  <si>
    <t xml:space="preserve">FD100741</t>
  </si>
  <si>
    <t xml:space="preserve">FD100742</t>
  </si>
  <si>
    <t xml:space="preserve">FD100743</t>
  </si>
  <si>
    <t xml:space="preserve">FD100744</t>
  </si>
  <si>
    <t xml:space="preserve">FD100745</t>
  </si>
  <si>
    <t xml:space="preserve">FD100746</t>
  </si>
  <si>
    <t xml:space="preserve">FD100747</t>
  </si>
  <si>
    <t xml:space="preserve">FD100748</t>
  </si>
  <si>
    <t xml:space="preserve">FD100749</t>
  </si>
  <si>
    <t xml:space="preserve">FD100750</t>
  </si>
  <si>
    <t xml:space="preserve">FD100751</t>
  </si>
  <si>
    <t xml:space="preserve">FD100752</t>
  </si>
  <si>
    <t xml:space="preserve">FD100753</t>
  </si>
  <si>
    <t xml:space="preserve">FD100754</t>
  </si>
  <si>
    <t xml:space="preserve">FD100755</t>
  </si>
  <si>
    <t xml:space="preserve">FD100756</t>
  </si>
  <si>
    <t xml:space="preserve">FD100757</t>
  </si>
  <si>
    <t xml:space="preserve">FD100758</t>
  </si>
  <si>
    <t xml:space="preserve">10-12-2025</t>
  </si>
  <si>
    <t xml:space="preserve">FD100759</t>
  </si>
  <si>
    <t xml:space="preserve">FD100760</t>
  </si>
  <si>
    <t xml:space="preserve">FD100761</t>
  </si>
  <si>
    <t xml:space="preserve">FD100762</t>
  </si>
  <si>
    <t xml:space="preserve">FD100763</t>
  </si>
  <si>
    <t xml:space="preserve">FD100764</t>
  </si>
  <si>
    <t xml:space="preserve">FD100765</t>
  </si>
  <si>
    <t xml:space="preserve">FD100766</t>
  </si>
  <si>
    <t xml:space="preserve">FD100767</t>
  </si>
  <si>
    <t xml:space="preserve">FD100768</t>
  </si>
  <si>
    <t xml:space="preserve">FD100769</t>
  </si>
  <si>
    <t xml:space="preserve">FD100770</t>
  </si>
  <si>
    <t xml:space="preserve">FD100771</t>
  </si>
  <si>
    <t xml:space="preserve">FD100772</t>
  </si>
  <si>
    <t xml:space="preserve">FD100773</t>
  </si>
  <si>
    <t xml:space="preserve">20-08-2025</t>
  </si>
  <si>
    <t xml:space="preserve">FD100774</t>
  </si>
  <si>
    <t xml:space="preserve">FD100775</t>
  </si>
  <si>
    <t xml:space="preserve">FD100776</t>
  </si>
  <si>
    <t xml:space="preserve">FD100777</t>
  </si>
  <si>
    <t xml:space="preserve">FD100778</t>
  </si>
  <si>
    <t xml:space="preserve">FD100779</t>
  </si>
  <si>
    <t xml:space="preserve">FD100780</t>
  </si>
  <si>
    <t xml:space="preserve">FD100781</t>
  </si>
  <si>
    <t xml:space="preserve">FD100782</t>
  </si>
  <si>
    <t xml:space="preserve">FD100783</t>
  </si>
  <si>
    <t xml:space="preserve">FD100784</t>
  </si>
  <si>
    <t xml:space="preserve">FD100785</t>
  </si>
  <si>
    <t xml:space="preserve">FD100786</t>
  </si>
  <si>
    <t xml:space="preserve">FD100787</t>
  </si>
  <si>
    <t xml:space="preserve">FD100788</t>
  </si>
  <si>
    <t xml:space="preserve">FD100789</t>
  </si>
  <si>
    <t xml:space="preserve">FD100790</t>
  </si>
  <si>
    <t xml:space="preserve">FD100791</t>
  </si>
  <si>
    <t xml:space="preserve">FD100792</t>
  </si>
  <si>
    <t xml:space="preserve">hyderabad</t>
  </si>
  <si>
    <t xml:space="preserve">FD100793</t>
  </si>
  <si>
    <t xml:space="preserve">FD100794</t>
  </si>
  <si>
    <t xml:space="preserve">FD100795</t>
  </si>
  <si>
    <t xml:space="preserve">FD100796</t>
  </si>
  <si>
    <t xml:space="preserve">FD100797</t>
  </si>
  <si>
    <t xml:space="preserve">FD100798</t>
  </si>
  <si>
    <t xml:space="preserve">FD100799</t>
  </si>
  <si>
    <t xml:space="preserve">FD100800</t>
  </si>
  <si>
    <t xml:space="preserve">FD100801</t>
  </si>
  <si>
    <t xml:space="preserve">FD100802</t>
  </si>
  <si>
    <t xml:space="preserve">FD100803</t>
  </si>
  <si>
    <t xml:space="preserve">FD100804</t>
  </si>
  <si>
    <t xml:space="preserve">FD100805</t>
  </si>
  <si>
    <t xml:space="preserve">FD100806</t>
  </si>
  <si>
    <t xml:space="preserve">FD100807</t>
  </si>
  <si>
    <t xml:space="preserve">FD100808</t>
  </si>
  <si>
    <t xml:space="preserve">FD100809</t>
  </si>
  <si>
    <t xml:space="preserve">FD100810</t>
  </si>
  <si>
    <t xml:space="preserve">FD100811</t>
  </si>
  <si>
    <t xml:space="preserve">FD100812</t>
  </si>
  <si>
    <t xml:space="preserve">FD100813</t>
  </si>
  <si>
    <t xml:space="preserve">FD100814</t>
  </si>
  <si>
    <t xml:space="preserve">FD100815</t>
  </si>
  <si>
    <t xml:space="preserve">FD100816</t>
  </si>
  <si>
    <t xml:space="preserve">FD100817</t>
  </si>
  <si>
    <t xml:space="preserve">FD100818</t>
  </si>
  <si>
    <t xml:space="preserve">FD100819</t>
  </si>
  <si>
    <t xml:space="preserve">FD100820</t>
  </si>
  <si>
    <t xml:space="preserve">25-04-2025</t>
  </si>
  <si>
    <t xml:space="preserve">FD100821</t>
  </si>
  <si>
    <t xml:space="preserve">FD100822</t>
  </si>
  <si>
    <t xml:space="preserve">FD100823</t>
  </si>
  <si>
    <t xml:space="preserve">FD100824</t>
  </si>
  <si>
    <t xml:space="preserve">FD100825</t>
  </si>
  <si>
    <t xml:space="preserve">FD100826</t>
  </si>
  <si>
    <t xml:space="preserve">FD100827</t>
  </si>
  <si>
    <t xml:space="preserve">FD100828</t>
  </si>
  <si>
    <t xml:space="preserve"> Mumbai</t>
  </si>
  <si>
    <t xml:space="preserve">FD100829</t>
  </si>
  <si>
    <t xml:space="preserve">FD100830</t>
  </si>
  <si>
    <t xml:space="preserve">18-04-2025</t>
  </si>
  <si>
    <t xml:space="preserve">FD100831</t>
  </si>
  <si>
    <t xml:space="preserve">FD100832</t>
  </si>
  <si>
    <t xml:space="preserve">FD100833</t>
  </si>
  <si>
    <t xml:space="preserve">FD100834</t>
  </si>
  <si>
    <t xml:space="preserve">FD100835</t>
  </si>
  <si>
    <t xml:space="preserve">FD100836</t>
  </si>
  <si>
    <t xml:space="preserve">FD100837</t>
  </si>
  <si>
    <t xml:space="preserve">FD100838</t>
  </si>
  <si>
    <t xml:space="preserve">26-12-2025</t>
  </si>
  <si>
    <t xml:space="preserve">FD100839</t>
  </si>
  <si>
    <t xml:space="preserve">FD100840</t>
  </si>
  <si>
    <t xml:space="preserve">FD100841</t>
  </si>
  <si>
    <t xml:space="preserve">FD100842</t>
  </si>
  <si>
    <t xml:space="preserve">FD100843</t>
  </si>
  <si>
    <t xml:space="preserve">FD100844</t>
  </si>
  <si>
    <t xml:space="preserve">FD100845</t>
  </si>
  <si>
    <t xml:space="preserve">FD100846</t>
  </si>
  <si>
    <t xml:space="preserve">FD100847</t>
  </si>
  <si>
    <t xml:space="preserve">FD100848</t>
  </si>
  <si>
    <t xml:space="preserve">FD100849</t>
  </si>
  <si>
    <t xml:space="preserve">FD100850</t>
  </si>
  <si>
    <t xml:space="preserve">FD100851</t>
  </si>
  <si>
    <t xml:space="preserve">FD100852</t>
  </si>
  <si>
    <t xml:space="preserve">FD100853</t>
  </si>
  <si>
    <t xml:space="preserve">FD100854</t>
  </si>
  <si>
    <t xml:space="preserve">FD100855</t>
  </si>
  <si>
    <t xml:space="preserve">FD100856</t>
  </si>
  <si>
    <t xml:space="preserve">FD100857</t>
  </si>
  <si>
    <t xml:space="preserve">07-10-2025</t>
  </si>
  <si>
    <t xml:space="preserve">FD100858</t>
  </si>
  <si>
    <t xml:space="preserve">FD100859</t>
  </si>
  <si>
    <t xml:space="preserve">FD100860</t>
  </si>
  <si>
    <t xml:space="preserve">FD100861</t>
  </si>
  <si>
    <t xml:space="preserve">FD100862</t>
  </si>
  <si>
    <t xml:space="preserve">FD100863</t>
  </si>
  <si>
    <t xml:space="preserve">FD100864</t>
  </si>
  <si>
    <t xml:space="preserve">FD100865</t>
  </si>
  <si>
    <t xml:space="preserve">FD100866</t>
  </si>
  <si>
    <t xml:space="preserve">FD100867</t>
  </si>
  <si>
    <t xml:space="preserve">FD100868</t>
  </si>
  <si>
    <t xml:space="preserve">FD100869</t>
  </si>
  <si>
    <t xml:space="preserve">13-02-2025</t>
  </si>
  <si>
    <t xml:space="preserve">FD100870</t>
  </si>
  <si>
    <t xml:space="preserve">29-03-2025</t>
  </si>
  <si>
    <t xml:space="preserve">FD100871</t>
  </si>
  <si>
    <t xml:space="preserve">FD100872</t>
  </si>
  <si>
    <t xml:space="preserve">FD100873</t>
  </si>
  <si>
    <t xml:space="preserve">FD100874</t>
  </si>
  <si>
    <t xml:space="preserve">FD100875</t>
  </si>
  <si>
    <t xml:space="preserve">FD100876</t>
  </si>
  <si>
    <t xml:space="preserve">FD100877</t>
  </si>
  <si>
    <t xml:space="preserve">FD100878</t>
  </si>
  <si>
    <t xml:space="preserve">FD100879</t>
  </si>
  <si>
    <t xml:space="preserve">FD100880</t>
  </si>
  <si>
    <t xml:space="preserve">FD100881</t>
  </si>
  <si>
    <t xml:space="preserve">FD100882</t>
  </si>
  <si>
    <t xml:space="preserve">FD100883</t>
  </si>
  <si>
    <t xml:space="preserve">FD100884</t>
  </si>
  <si>
    <t xml:space="preserve">FD100885</t>
  </si>
  <si>
    <t xml:space="preserve">FD100886</t>
  </si>
  <si>
    <t xml:space="preserve">FD100887</t>
  </si>
  <si>
    <t xml:space="preserve">FD100888</t>
  </si>
  <si>
    <t xml:space="preserve">FD100889</t>
  </si>
  <si>
    <t xml:space="preserve">FD100890</t>
  </si>
  <si>
    <t xml:space="preserve">FD100891</t>
  </si>
  <si>
    <t xml:space="preserve">FD100892</t>
  </si>
  <si>
    <t xml:space="preserve">FD100893</t>
  </si>
  <si>
    <t xml:space="preserve">13-04-2025</t>
  </si>
  <si>
    <t xml:space="preserve">FD100894</t>
  </si>
  <si>
    <t xml:space="preserve">FD100895</t>
  </si>
  <si>
    <t xml:space="preserve">FD100896</t>
  </si>
  <si>
    <t xml:space="preserve">FD100897</t>
  </si>
  <si>
    <t xml:space="preserve">FD100898</t>
  </si>
  <si>
    <t xml:space="preserve">FD100899</t>
  </si>
  <si>
    <t xml:space="preserve">FD100900</t>
  </si>
  <si>
    <t xml:space="preserve">FD100901</t>
  </si>
  <si>
    <t xml:space="preserve">FD100902</t>
  </si>
  <si>
    <t xml:space="preserve">FD100903</t>
  </si>
  <si>
    <t xml:space="preserve">FD100904</t>
  </si>
  <si>
    <t xml:space="preserve">FD100905</t>
  </si>
  <si>
    <t xml:space="preserve">FD100906</t>
  </si>
  <si>
    <t xml:space="preserve">FD100907</t>
  </si>
  <si>
    <t xml:space="preserve">FD100908</t>
  </si>
  <si>
    <t xml:space="preserve">FD100909</t>
  </si>
  <si>
    <t xml:space="preserve">FD100910</t>
  </si>
  <si>
    <t xml:space="preserve">FD100911</t>
  </si>
  <si>
    <t xml:space="preserve">FD100912</t>
  </si>
  <si>
    <t xml:space="preserve">FD100913</t>
  </si>
  <si>
    <t xml:space="preserve">FD100914</t>
  </si>
  <si>
    <t xml:space="preserve">FD100915</t>
  </si>
  <si>
    <t xml:space="preserve">FD100916</t>
  </si>
  <si>
    <t xml:space="preserve">FD100917</t>
  </si>
  <si>
    <t xml:space="preserve">FD100918</t>
  </si>
  <si>
    <t xml:space="preserve">FD100919</t>
  </si>
  <si>
    <t xml:space="preserve">FD100920</t>
  </si>
  <si>
    <t xml:space="preserve">07-08-2025</t>
  </si>
  <si>
    <t xml:space="preserve">FD100921</t>
  </si>
  <si>
    <t xml:space="preserve">FD100922</t>
  </si>
  <si>
    <t xml:space="preserve">FD100923</t>
  </si>
  <si>
    <t xml:space="preserve">FD100924</t>
  </si>
  <si>
    <t xml:space="preserve">FD100925</t>
  </si>
  <si>
    <t xml:space="preserve">FD100926</t>
  </si>
  <si>
    <t xml:space="preserve">17-04-2025</t>
  </si>
  <si>
    <t xml:space="preserve">FD100927</t>
  </si>
  <si>
    <t xml:space="preserve">FD100928</t>
  </si>
  <si>
    <t xml:space="preserve">FD100929</t>
  </si>
  <si>
    <t xml:space="preserve">FD100930</t>
  </si>
  <si>
    <t xml:space="preserve">FD100931</t>
  </si>
  <si>
    <t xml:space="preserve">FD100932</t>
  </si>
  <si>
    <t xml:space="preserve">FD100933</t>
  </si>
  <si>
    <t xml:space="preserve">FD100934</t>
  </si>
  <si>
    <t xml:space="preserve">FD100935</t>
  </si>
  <si>
    <t xml:space="preserve">20-10-2025</t>
  </si>
  <si>
    <t xml:space="preserve">FD100936</t>
  </si>
  <si>
    <t xml:space="preserve">FD100937</t>
  </si>
  <si>
    <t xml:space="preserve">FD100938</t>
  </si>
  <si>
    <t xml:space="preserve">FD100939</t>
  </si>
  <si>
    <t xml:space="preserve">FD100940</t>
  </si>
  <si>
    <t xml:space="preserve">FD100941</t>
  </si>
  <si>
    <t xml:space="preserve">FD100942</t>
  </si>
  <si>
    <t xml:space="preserve">FD100943</t>
  </si>
  <si>
    <t xml:space="preserve">FD100944</t>
  </si>
  <si>
    <t xml:space="preserve">FD100945</t>
  </si>
  <si>
    <t xml:space="preserve">FD100946</t>
  </si>
  <si>
    <t xml:space="preserve">FD100947</t>
  </si>
  <si>
    <t xml:space="preserve">30-09-2025</t>
  </si>
  <si>
    <t xml:space="preserve">FD100948</t>
  </si>
  <si>
    <t xml:space="preserve">FD100949</t>
  </si>
  <si>
    <t xml:space="preserve">FD100950</t>
  </si>
  <si>
    <t xml:space="preserve">FD100951</t>
  </si>
  <si>
    <t xml:space="preserve">FD100952</t>
  </si>
  <si>
    <t xml:space="preserve">15-04-2025</t>
  </si>
  <si>
    <t xml:space="preserve">FD100953</t>
  </si>
  <si>
    <t xml:space="preserve">FD100954</t>
  </si>
  <si>
    <t xml:space="preserve">FD100955</t>
  </si>
  <si>
    <t xml:space="preserve">FD100956</t>
  </si>
  <si>
    <t xml:space="preserve">FD100957</t>
  </si>
  <si>
    <t xml:space="preserve">22-10-2025</t>
  </si>
  <si>
    <t xml:space="preserve">FD100958</t>
  </si>
  <si>
    <t xml:space="preserve">FD100959</t>
  </si>
  <si>
    <t xml:space="preserve">FD100960</t>
  </si>
  <si>
    <t xml:space="preserve">FD100961</t>
  </si>
  <si>
    <t xml:space="preserve">01-08-2025</t>
  </si>
  <si>
    <t xml:space="preserve">FD100962</t>
  </si>
  <si>
    <t xml:space="preserve">FD100963</t>
  </si>
  <si>
    <t xml:space="preserve">FD100964</t>
  </si>
  <si>
    <t xml:space="preserve">FD100965</t>
  </si>
  <si>
    <t xml:space="preserve">FD100966</t>
  </si>
  <si>
    <t xml:space="preserve">FD100967</t>
  </si>
  <si>
    <t xml:space="preserve">FD100968</t>
  </si>
  <si>
    <t xml:space="preserve">FD100969</t>
  </si>
  <si>
    <t xml:space="preserve">FD100970</t>
  </si>
  <si>
    <t xml:space="preserve">FD100971</t>
  </si>
  <si>
    <t xml:space="preserve">FD100972</t>
  </si>
  <si>
    <t xml:space="preserve">FD100973</t>
  </si>
  <si>
    <t xml:space="preserve">FD100974</t>
  </si>
  <si>
    <t xml:space="preserve">FD100975</t>
  </si>
  <si>
    <t xml:space="preserve">FD100976</t>
  </si>
  <si>
    <t xml:space="preserve">FD100977</t>
  </si>
  <si>
    <t xml:space="preserve">FD100978</t>
  </si>
  <si>
    <t xml:space="preserve">FD100979</t>
  </si>
  <si>
    <t xml:space="preserve">FD100980</t>
  </si>
  <si>
    <t xml:space="preserve">FD100981</t>
  </si>
  <si>
    <t xml:space="preserve">FD100982</t>
  </si>
  <si>
    <t xml:space="preserve">FD100983</t>
  </si>
  <si>
    <t xml:space="preserve">FD100984</t>
  </si>
  <si>
    <t xml:space="preserve">FD100985</t>
  </si>
  <si>
    <t xml:space="preserve">FD100986</t>
  </si>
  <si>
    <t xml:space="preserve">FD100987</t>
  </si>
  <si>
    <t xml:space="preserve">FD100988</t>
  </si>
  <si>
    <t xml:space="preserve">FD100989</t>
  </si>
  <si>
    <t xml:space="preserve">FD100990</t>
  </si>
  <si>
    <t xml:space="preserve">FD100991</t>
  </si>
  <si>
    <t xml:space="preserve">FD100992</t>
  </si>
  <si>
    <t xml:space="preserve">FD100993</t>
  </si>
  <si>
    <t xml:space="preserve">FD100994</t>
  </si>
  <si>
    <t xml:space="preserve">FD100995</t>
  </si>
  <si>
    <t xml:space="preserve">FD100996</t>
  </si>
  <si>
    <t xml:space="preserve">FD100997</t>
  </si>
  <si>
    <t xml:space="preserve">FD100998</t>
  </si>
  <si>
    <t xml:space="preserve">FD100999</t>
  </si>
  <si>
    <t xml:space="preserve">FD101000</t>
  </si>
  <si>
    <t xml:space="preserve">28-04-2025</t>
  </si>
  <si>
    <t xml:space="preserve">FD101001</t>
  </si>
  <si>
    <t xml:space="preserve">FD101002</t>
  </si>
  <si>
    <t xml:space="preserve">FD101003</t>
  </si>
  <si>
    <t xml:space="preserve">FD101004</t>
  </si>
  <si>
    <t xml:space="preserve">07-03-2025</t>
  </si>
  <si>
    <t xml:space="preserve">FD101005</t>
  </si>
  <si>
    <t xml:space="preserve">FD101006</t>
  </si>
  <si>
    <t xml:space="preserve">FD101007</t>
  </si>
  <si>
    <t xml:space="preserve">FD101008</t>
  </si>
  <si>
    <t xml:space="preserve">FD101009</t>
  </si>
  <si>
    <t xml:space="preserve">FD101010</t>
  </si>
  <si>
    <t xml:space="preserve">FD101011</t>
  </si>
  <si>
    <t xml:space="preserve">FD101012</t>
  </si>
  <si>
    <t xml:space="preserve">FD101013</t>
  </si>
  <si>
    <t xml:space="preserve">FD101014</t>
  </si>
  <si>
    <t xml:space="preserve">FD101015</t>
  </si>
  <si>
    <t xml:space="preserve">FD101016</t>
  </si>
  <si>
    <t xml:space="preserve">FD101017</t>
  </si>
  <si>
    <t xml:space="preserve">FD101018</t>
  </si>
  <si>
    <t xml:space="preserve">FD101019</t>
  </si>
  <si>
    <t xml:space="preserve">FD101020</t>
  </si>
  <si>
    <t xml:space="preserve">FD101021</t>
  </si>
  <si>
    <t xml:space="preserve">FD101022</t>
  </si>
  <si>
    <t xml:space="preserve">FD101023</t>
  </si>
  <si>
    <t xml:space="preserve">FD101024</t>
  </si>
  <si>
    <t xml:space="preserve">FD101025</t>
  </si>
  <si>
    <t xml:space="preserve">FD101026</t>
  </si>
  <si>
    <t xml:space="preserve">FD101027</t>
  </si>
  <si>
    <t xml:space="preserve">FD101028</t>
  </si>
  <si>
    <t xml:space="preserve">FD101029</t>
  </si>
  <si>
    <t xml:space="preserve">FD101030</t>
  </si>
  <si>
    <t xml:space="preserve">FD101031</t>
  </si>
  <si>
    <t xml:space="preserve">FD101032</t>
  </si>
  <si>
    <t xml:space="preserve">FD101033</t>
  </si>
  <si>
    <t xml:space="preserve">FD101034</t>
  </si>
  <si>
    <t xml:space="preserve">FD101035</t>
  </si>
  <si>
    <t xml:space="preserve">FD101036</t>
  </si>
  <si>
    <t xml:space="preserve">FD101037</t>
  </si>
  <si>
    <t xml:space="preserve">FD101038</t>
  </si>
  <si>
    <t xml:space="preserve">15-06-2025</t>
  </si>
  <si>
    <t xml:space="preserve">FD101039</t>
  </si>
  <si>
    <t xml:space="preserve">FD101040</t>
  </si>
  <si>
    <t xml:space="preserve">FD101041</t>
  </si>
  <si>
    <t xml:space="preserve">FD101042</t>
  </si>
  <si>
    <t xml:space="preserve">FD101043</t>
  </si>
  <si>
    <t xml:space="preserve">FD101044</t>
  </si>
  <si>
    <t xml:space="preserve">FD101045</t>
  </si>
  <si>
    <t xml:space="preserve">FD101046</t>
  </si>
  <si>
    <t xml:space="preserve">FD101047</t>
  </si>
  <si>
    <t xml:space="preserve">FD101048</t>
  </si>
  <si>
    <t xml:space="preserve">FD101049</t>
  </si>
  <si>
    <t xml:space="preserve">FD101050</t>
  </si>
  <si>
    <t xml:space="preserve">FD101051</t>
  </si>
  <si>
    <t xml:space="preserve">FD101052</t>
  </si>
  <si>
    <t xml:space="preserve">FD101053</t>
  </si>
  <si>
    <t xml:space="preserve">FD101054</t>
  </si>
  <si>
    <t xml:space="preserve">FD101055</t>
  </si>
  <si>
    <t xml:space="preserve">29-04-2025</t>
  </si>
  <si>
    <t xml:space="preserve">FD101056</t>
  </si>
  <si>
    <t xml:space="preserve">FD101057</t>
  </si>
  <si>
    <t xml:space="preserve">FD101058</t>
  </si>
  <si>
    <t xml:space="preserve">28-03-2025</t>
  </si>
  <si>
    <t xml:space="preserve">FD101059</t>
  </si>
  <si>
    <t xml:space="preserve">FD101060</t>
  </si>
  <si>
    <t xml:space="preserve">FD101061</t>
  </si>
  <si>
    <t xml:space="preserve">FD101062</t>
  </si>
  <si>
    <t xml:space="preserve">FD101063</t>
  </si>
  <si>
    <t xml:space="preserve">FD101064</t>
  </si>
  <si>
    <t xml:space="preserve">FD101065</t>
  </si>
  <si>
    <t xml:space="preserve">FD101066</t>
  </si>
  <si>
    <t xml:space="preserve">FD101067</t>
  </si>
  <si>
    <t xml:space="preserve">FD101068</t>
  </si>
  <si>
    <t xml:space="preserve">FD101069</t>
  </si>
  <si>
    <t xml:space="preserve">FD101070</t>
  </si>
  <si>
    <t xml:space="preserve">FD101071</t>
  </si>
  <si>
    <t xml:space="preserve">FD101072</t>
  </si>
  <si>
    <t xml:space="preserve">FD101073</t>
  </si>
  <si>
    <t xml:space="preserve">FD101074</t>
  </si>
  <si>
    <t xml:space="preserve">FD101075</t>
  </si>
  <si>
    <t xml:space="preserve">FD101076</t>
  </si>
  <si>
    <t xml:space="preserve">FD101077</t>
  </si>
  <si>
    <t xml:space="preserve">FD101078</t>
  </si>
  <si>
    <t xml:space="preserve">FD101079</t>
  </si>
  <si>
    <t xml:space="preserve">FD101080</t>
  </si>
  <si>
    <t xml:space="preserve">18-05-2025</t>
  </si>
  <si>
    <t xml:space="preserve">FD101081</t>
  </si>
  <si>
    <t xml:space="preserve">FD101082</t>
  </si>
  <si>
    <t xml:space="preserve">FD101083</t>
  </si>
  <si>
    <t xml:space="preserve">FD101084</t>
  </si>
  <si>
    <t xml:space="preserve">FD101085</t>
  </si>
  <si>
    <t xml:space="preserve">FD101086</t>
  </si>
  <si>
    <t xml:space="preserve">FD101087</t>
  </si>
  <si>
    <t xml:space="preserve">FD101088</t>
  </si>
  <si>
    <t xml:space="preserve">FD101089</t>
  </si>
  <si>
    <t xml:space="preserve">FD101090</t>
  </si>
  <si>
    <t xml:space="preserve">FD101091</t>
  </si>
  <si>
    <t xml:space="preserve">FD101092</t>
  </si>
  <si>
    <t xml:space="preserve">FD101093</t>
  </si>
  <si>
    <t xml:space="preserve">FD101094</t>
  </si>
  <si>
    <t xml:space="preserve">FD101095</t>
  </si>
  <si>
    <t xml:space="preserve">FD101096</t>
  </si>
  <si>
    <t xml:space="preserve">FD101097</t>
  </si>
  <si>
    <t xml:space="preserve">FD101098</t>
  </si>
  <si>
    <t xml:space="preserve">FD101099</t>
  </si>
  <si>
    <t xml:space="preserve">FD101100</t>
  </si>
  <si>
    <t xml:space="preserve">FD101101</t>
  </si>
  <si>
    <t xml:space="preserve">FD101102</t>
  </si>
  <si>
    <t xml:space="preserve">FD101103</t>
  </si>
  <si>
    <t xml:space="preserve">FD101104</t>
  </si>
  <si>
    <t xml:space="preserve">FD101105</t>
  </si>
  <si>
    <t xml:space="preserve">FD101106</t>
  </si>
  <si>
    <t xml:space="preserve">FD101107</t>
  </si>
  <si>
    <t xml:space="preserve">FD101108</t>
  </si>
  <si>
    <t xml:space="preserve">FD101109</t>
  </si>
  <si>
    <t xml:space="preserve">FD101110</t>
  </si>
  <si>
    <t xml:space="preserve">24-03-2025</t>
  </si>
  <si>
    <t xml:space="preserve">FD101111</t>
  </si>
  <si>
    <t xml:space="preserve">FD101112</t>
  </si>
  <si>
    <t xml:space="preserve">FD101113</t>
  </si>
  <si>
    <t xml:space="preserve">FD101114</t>
  </si>
  <si>
    <t xml:space="preserve">FD101115</t>
  </si>
  <si>
    <t xml:space="preserve">FD101116</t>
  </si>
  <si>
    <t xml:space="preserve">FD101117</t>
  </si>
  <si>
    <t xml:space="preserve">FD101118</t>
  </si>
  <si>
    <t xml:space="preserve">FD101119</t>
  </si>
  <si>
    <t xml:space="preserve">FD101120</t>
  </si>
  <si>
    <t xml:space="preserve">FD101121</t>
  </si>
  <si>
    <t xml:space="preserve">FD101122</t>
  </si>
  <si>
    <t xml:space="preserve">FD101123</t>
  </si>
  <si>
    <t xml:space="preserve">FD101124</t>
  </si>
  <si>
    <t xml:space="preserve">FD101125</t>
  </si>
  <si>
    <t xml:space="preserve">FD101126</t>
  </si>
  <si>
    <t xml:space="preserve">FD101127</t>
  </si>
  <si>
    <t xml:space="preserve">FD101128</t>
  </si>
  <si>
    <t xml:space="preserve">21-09-2025</t>
  </si>
  <si>
    <t xml:space="preserve">FD101129</t>
  </si>
  <si>
    <t xml:space="preserve">FD101130</t>
  </si>
  <si>
    <t xml:space="preserve">FD101131</t>
  </si>
  <si>
    <t xml:space="preserve">FD101132</t>
  </si>
  <si>
    <t xml:space="preserve">FD101133</t>
  </si>
  <si>
    <t xml:space="preserve">FD101134</t>
  </si>
  <si>
    <t xml:space="preserve">FD101135</t>
  </si>
  <si>
    <t xml:space="preserve">FD101136</t>
  </si>
  <si>
    <t xml:space="preserve">FD101137</t>
  </si>
  <si>
    <t xml:space="preserve">FD101138</t>
  </si>
  <si>
    <t xml:space="preserve">FD101139</t>
  </si>
  <si>
    <t xml:space="preserve">FD101140</t>
  </si>
  <si>
    <t xml:space="preserve">FD101141</t>
  </si>
  <si>
    <t xml:space="preserve">FD101142</t>
  </si>
  <si>
    <t xml:space="preserve">FD101143</t>
  </si>
  <si>
    <t xml:space="preserve">FD101144</t>
  </si>
  <si>
    <t xml:space="preserve">05-11-2025</t>
  </si>
  <si>
    <t xml:space="preserve">FD101145</t>
  </si>
  <si>
    <t xml:space="preserve">FD101146</t>
  </si>
  <si>
    <t xml:space="preserve">FD101147</t>
  </si>
  <si>
    <t xml:space="preserve">FD101148</t>
  </si>
  <si>
    <t xml:space="preserve">FD101149</t>
  </si>
  <si>
    <t xml:space="preserve">FD101150</t>
  </si>
  <si>
    <t xml:space="preserve">28-11-2025</t>
  </si>
  <si>
    <t xml:space="preserve">FD101151</t>
  </si>
  <si>
    <t xml:space="preserve">FD101152</t>
  </si>
  <si>
    <t xml:space="preserve">FD101153</t>
  </si>
  <si>
    <t xml:space="preserve">FD101154</t>
  </si>
  <si>
    <t xml:space="preserve">FD101155</t>
  </si>
  <si>
    <t xml:space="preserve">FD101156</t>
  </si>
  <si>
    <t xml:space="preserve">FD101157</t>
  </si>
  <si>
    <t xml:space="preserve">FD101158</t>
  </si>
  <si>
    <t xml:space="preserve">FD101159</t>
  </si>
  <si>
    <t xml:space="preserve">FD101160</t>
  </si>
  <si>
    <t xml:space="preserve">FD101161</t>
  </si>
  <si>
    <t xml:space="preserve">FD101162</t>
  </si>
  <si>
    <t xml:space="preserve">FD101163</t>
  </si>
  <si>
    <t xml:space="preserve">FD101164</t>
  </si>
  <si>
    <t xml:space="preserve">FD101165</t>
  </si>
  <si>
    <t xml:space="preserve">FD101166</t>
  </si>
  <si>
    <t xml:space="preserve">FD101167</t>
  </si>
  <si>
    <t xml:space="preserve">FD101168</t>
  </si>
  <si>
    <t xml:space="preserve">FD101169</t>
  </si>
  <si>
    <t xml:space="preserve">FD101170</t>
  </si>
  <si>
    <t xml:space="preserve">FD101171</t>
  </si>
  <si>
    <t xml:space="preserve">FD101172</t>
  </si>
  <si>
    <t xml:space="preserve">FD101173</t>
  </si>
  <si>
    <t xml:space="preserve">19-04-2025</t>
  </si>
  <si>
    <t xml:space="preserve">FD101174</t>
  </si>
  <si>
    <t xml:space="preserve">FD101175</t>
  </si>
  <si>
    <t xml:space="preserve">FD101176</t>
  </si>
  <si>
    <t xml:space="preserve">13-10-2025</t>
  </si>
  <si>
    <t xml:space="preserve">FD101177</t>
  </si>
  <si>
    <t xml:space="preserve">FD101178</t>
  </si>
  <si>
    <t xml:space="preserve">FD101179</t>
  </si>
  <si>
    <t xml:space="preserve">FD101180</t>
  </si>
  <si>
    <t xml:space="preserve">FD101181</t>
  </si>
  <si>
    <t xml:space="preserve">FD101182</t>
  </si>
  <si>
    <t xml:space="preserve">FD101183</t>
  </si>
  <si>
    <t xml:space="preserve">FD101184</t>
  </si>
  <si>
    <t xml:space="preserve">FD101185</t>
  </si>
  <si>
    <t xml:space="preserve">FD101186</t>
  </si>
  <si>
    <t xml:space="preserve">FD101187</t>
  </si>
  <si>
    <t xml:space="preserve">FD101188</t>
  </si>
  <si>
    <t xml:space="preserve">28-12-2025</t>
  </si>
  <si>
    <t xml:space="preserve">FD101189</t>
  </si>
  <si>
    <t xml:space="preserve">01-03-2025</t>
  </si>
  <si>
    <t xml:space="preserve">FD101190</t>
  </si>
  <si>
    <t xml:space="preserve">FD101191</t>
  </si>
  <si>
    <t xml:space="preserve">FD101192</t>
  </si>
  <si>
    <t xml:space="preserve">FD101193</t>
  </si>
  <si>
    <t xml:space="preserve">FD101194</t>
  </si>
  <si>
    <t xml:space="preserve">FD101195</t>
  </si>
  <si>
    <t xml:space="preserve">FD101196</t>
  </si>
  <si>
    <t xml:space="preserve">FD101197</t>
  </si>
  <si>
    <t xml:space="preserve">FD101198</t>
  </si>
  <si>
    <t xml:space="preserve">FD101199</t>
  </si>
  <si>
    <t xml:space="preserve">FD101200</t>
  </si>
  <si>
    <t xml:space="preserve">FD101201</t>
  </si>
  <si>
    <t xml:space="preserve">FD101202</t>
  </si>
  <si>
    <t xml:space="preserve">FD101203</t>
  </si>
  <si>
    <t xml:space="preserve">FD101204</t>
  </si>
  <si>
    <t xml:space="preserve">FD101205</t>
  </si>
  <si>
    <t xml:space="preserve">FD101206</t>
  </si>
  <si>
    <t xml:space="preserve">FD101207</t>
  </si>
  <si>
    <t xml:space="preserve">FD101208</t>
  </si>
  <si>
    <t xml:space="preserve">FD101209</t>
  </si>
  <si>
    <t xml:space="preserve">20-04-2025</t>
  </si>
  <si>
    <t xml:space="preserve">FD101210</t>
  </si>
  <si>
    <t xml:space="preserve">FD101211</t>
  </si>
  <si>
    <t xml:space="preserve">FD101212</t>
  </si>
  <si>
    <t xml:space="preserve">FD101213</t>
  </si>
  <si>
    <t xml:space="preserve">FD101214</t>
  </si>
  <si>
    <t xml:space="preserve">FD101215</t>
  </si>
  <si>
    <t xml:space="preserve">FD101216</t>
  </si>
  <si>
    <t xml:space="preserve">FD101217</t>
  </si>
  <si>
    <t xml:space="preserve">FD101218</t>
  </si>
  <si>
    <t xml:space="preserve">FD101219</t>
  </si>
  <si>
    <t xml:space="preserve">FD101220</t>
  </si>
  <si>
    <t xml:space="preserve">FD101221</t>
  </si>
  <si>
    <t xml:space="preserve">FD101222</t>
  </si>
  <si>
    <t xml:space="preserve">FD101223</t>
  </si>
  <si>
    <t xml:space="preserve">FD101224</t>
  </si>
  <si>
    <t xml:space="preserve">FD101225</t>
  </si>
  <si>
    <t xml:space="preserve">FD101226</t>
  </si>
  <si>
    <t xml:space="preserve">FD101227</t>
  </si>
  <si>
    <t xml:space="preserve">FD101228</t>
  </si>
  <si>
    <t xml:space="preserve">FD101229</t>
  </si>
  <si>
    <t xml:space="preserve">FD101230</t>
  </si>
  <si>
    <t xml:space="preserve">FD101231</t>
  </si>
  <si>
    <t xml:space="preserve">FD101232</t>
  </si>
  <si>
    <t xml:space="preserve">FD101233</t>
  </si>
  <si>
    <t xml:space="preserve">25-03-2025</t>
  </si>
  <si>
    <t xml:space="preserve">FD101234</t>
  </si>
  <si>
    <t xml:space="preserve">FD101235</t>
  </si>
  <si>
    <t xml:space="preserve">FD101236</t>
  </si>
  <si>
    <t xml:space="preserve">FD101237</t>
  </si>
  <si>
    <t xml:space="preserve">FD101238</t>
  </si>
  <si>
    <t xml:space="preserve">FD101239</t>
  </si>
  <si>
    <t xml:space="preserve">17-03-2025</t>
  </si>
  <si>
    <t xml:space="preserve">FD101240</t>
  </si>
  <si>
    <t xml:space="preserve">28-02-2025</t>
  </si>
  <si>
    <t xml:space="preserve">FD101241</t>
  </si>
  <si>
    <t xml:space="preserve">FD101242</t>
  </si>
  <si>
    <t xml:space="preserve">FD101243</t>
  </si>
  <si>
    <t xml:space="preserve">FD101244</t>
  </si>
  <si>
    <t xml:space="preserve">FD101245</t>
  </si>
  <si>
    <t xml:space="preserve">FD101246</t>
  </si>
  <si>
    <t xml:space="preserve">FD101247</t>
  </si>
  <si>
    <t xml:space="preserve">FD101248</t>
  </si>
  <si>
    <t xml:space="preserve">FD101249</t>
  </si>
  <si>
    <t xml:space="preserve">FD101250</t>
  </si>
  <si>
    <t xml:space="preserve">FD101251</t>
  </si>
  <si>
    <t xml:space="preserve">FD101252</t>
  </si>
  <si>
    <t xml:space="preserve">FD101253</t>
  </si>
  <si>
    <t xml:space="preserve">FD101254</t>
  </si>
  <si>
    <t xml:space="preserve">FD101255</t>
  </si>
  <si>
    <t xml:space="preserve">23-02-2025</t>
  </si>
  <si>
    <t xml:space="preserve">FD101256</t>
  </si>
  <si>
    <t xml:space="preserve">FD101257</t>
  </si>
  <si>
    <t xml:space="preserve">FD101258</t>
  </si>
  <si>
    <t xml:space="preserve">FD101259</t>
  </si>
  <si>
    <t xml:space="preserve">FD101260</t>
  </si>
  <si>
    <t xml:space="preserve">FD101261</t>
  </si>
  <si>
    <t xml:space="preserve">FD101262</t>
  </si>
  <si>
    <t xml:space="preserve">FD101263</t>
  </si>
  <si>
    <t xml:space="preserve">FD101264</t>
  </si>
  <si>
    <t xml:space="preserve">FD101265</t>
  </si>
  <si>
    <t xml:space="preserve">FD101266</t>
  </si>
  <si>
    <t xml:space="preserve">FD101267</t>
  </si>
  <si>
    <t xml:space="preserve">FD101268</t>
  </si>
  <si>
    <t xml:space="preserve">FD101269</t>
  </si>
  <si>
    <t xml:space="preserve">FD101270</t>
  </si>
  <si>
    <t xml:space="preserve">FD101271</t>
  </si>
  <si>
    <t xml:space="preserve">FD101272</t>
  </si>
  <si>
    <t xml:space="preserve">FD101273</t>
  </si>
  <si>
    <t xml:space="preserve">FD101274</t>
  </si>
  <si>
    <t xml:space="preserve">FD101275</t>
  </si>
  <si>
    <t xml:space="preserve">FD101276</t>
  </si>
  <si>
    <t xml:space="preserve">FD101277</t>
  </si>
  <si>
    <t xml:space="preserve">FD101278</t>
  </si>
  <si>
    <t xml:space="preserve">FD101279</t>
  </si>
  <si>
    <t xml:space="preserve">FD101280</t>
  </si>
  <si>
    <t xml:space="preserve">FD101281</t>
  </si>
  <si>
    <t xml:space="preserve">FD101282</t>
  </si>
  <si>
    <t xml:space="preserve">FD101283</t>
  </si>
  <si>
    <t xml:space="preserve">FD101284</t>
  </si>
  <si>
    <t xml:space="preserve">FD101285</t>
  </si>
  <si>
    <t xml:space="preserve">FD101286</t>
  </si>
  <si>
    <t xml:space="preserve">FD101287</t>
  </si>
  <si>
    <t xml:space="preserve">FD101288</t>
  </si>
  <si>
    <t xml:space="preserve">FD101289</t>
  </si>
  <si>
    <t xml:space="preserve">FD101290</t>
  </si>
  <si>
    <t xml:space="preserve">FD101291</t>
  </si>
  <si>
    <t xml:space="preserve">FD101292</t>
  </si>
  <si>
    <t xml:space="preserve">FD101293</t>
  </si>
  <si>
    <t xml:space="preserve">FD101294</t>
  </si>
  <si>
    <t xml:space="preserve">FD101295</t>
  </si>
  <si>
    <t xml:space="preserve">FD101296</t>
  </si>
  <si>
    <t xml:space="preserve">FD101297</t>
  </si>
  <si>
    <t xml:space="preserve">FD101298</t>
  </si>
  <si>
    <t xml:space="preserve">FD101299</t>
  </si>
  <si>
    <t xml:space="preserve">FD101300</t>
  </si>
  <si>
    <t xml:space="preserve">FD101301</t>
  </si>
  <si>
    <t xml:space="preserve">FD101302</t>
  </si>
  <si>
    <t xml:space="preserve">FD101303</t>
  </si>
  <si>
    <t xml:space="preserve">FD101304</t>
  </si>
  <si>
    <t xml:space="preserve">FD101305</t>
  </si>
  <si>
    <t xml:space="preserve">FD101306</t>
  </si>
  <si>
    <t xml:space="preserve">FD101307</t>
  </si>
  <si>
    <t xml:space="preserve">FD101308</t>
  </si>
  <si>
    <t xml:space="preserve">FD101309</t>
  </si>
  <si>
    <t xml:space="preserve">FD101310</t>
  </si>
  <si>
    <t xml:space="preserve">FD101311</t>
  </si>
  <si>
    <t xml:space="preserve">FD101312</t>
  </si>
  <si>
    <t xml:space="preserve">08-12-2025</t>
  </si>
  <si>
    <t xml:space="preserve">FD101313</t>
  </si>
  <si>
    <t xml:space="preserve">FD101314</t>
  </si>
  <si>
    <t xml:space="preserve">FD101315</t>
  </si>
  <si>
    <t xml:space="preserve">FD101316</t>
  </si>
  <si>
    <t xml:space="preserve">FD101317</t>
  </si>
  <si>
    <t xml:space="preserve">FD101318</t>
  </si>
  <si>
    <t xml:space="preserve">FD101319</t>
  </si>
  <si>
    <t xml:space="preserve">FD101320</t>
  </si>
  <si>
    <t xml:space="preserve">FD101321</t>
  </si>
  <si>
    <t xml:space="preserve">FD101322</t>
  </si>
  <si>
    <t xml:space="preserve">FD101323</t>
  </si>
  <si>
    <t xml:space="preserve">FD101324</t>
  </si>
  <si>
    <t xml:space="preserve">25-10-2025</t>
  </si>
  <si>
    <t xml:space="preserve">FD101325</t>
  </si>
  <si>
    <t xml:space="preserve">FD101326</t>
  </si>
  <si>
    <t xml:space="preserve">FD101327</t>
  </si>
  <si>
    <t xml:space="preserve">FD101328</t>
  </si>
  <si>
    <t xml:space="preserve">11-08-2025</t>
  </si>
  <si>
    <t xml:space="preserve">FD101329</t>
  </si>
  <si>
    <t xml:space="preserve">FD101330</t>
  </si>
  <si>
    <t xml:space="preserve">11-03-2025</t>
  </si>
  <si>
    <t xml:space="preserve">FD101331</t>
  </si>
  <si>
    <t xml:space="preserve">FD101332</t>
  </si>
  <si>
    <t xml:space="preserve">FD101333</t>
  </si>
  <si>
    <t xml:space="preserve">FD101334</t>
  </si>
  <si>
    <t xml:space="preserve">FD101335</t>
  </si>
  <si>
    <t xml:space="preserve">FD101336</t>
  </si>
  <si>
    <t xml:space="preserve">FD101337</t>
  </si>
  <si>
    <t xml:space="preserve">FD101338</t>
  </si>
  <si>
    <t xml:space="preserve">FD101339</t>
  </si>
  <si>
    <t xml:space="preserve">FD101340</t>
  </si>
  <si>
    <t xml:space="preserve">FD101341</t>
  </si>
  <si>
    <t xml:space="preserve">FD101342</t>
  </si>
  <si>
    <t xml:space="preserve">FD101343</t>
  </si>
  <si>
    <t xml:space="preserve">12-07-2025</t>
  </si>
  <si>
    <t xml:space="preserve">FD101344</t>
  </si>
  <si>
    <t xml:space="preserve">FD101345</t>
  </si>
  <si>
    <t xml:space="preserve">FD101346</t>
  </si>
  <si>
    <t xml:space="preserve">FD101347</t>
  </si>
  <si>
    <t xml:space="preserve">FD101348</t>
  </si>
  <si>
    <t xml:space="preserve">FD101349</t>
  </si>
  <si>
    <t xml:space="preserve">FD101350</t>
  </si>
  <si>
    <t xml:space="preserve">FD101351</t>
  </si>
  <si>
    <t xml:space="preserve">27-10-2025</t>
  </si>
  <si>
    <t xml:space="preserve">FD101352</t>
  </si>
  <si>
    <t xml:space="preserve">FD101353</t>
  </si>
  <si>
    <t xml:space="preserve">FD101354</t>
  </si>
  <si>
    <t xml:space="preserve">FD101355</t>
  </si>
  <si>
    <t xml:space="preserve">FD101356</t>
  </si>
  <si>
    <t xml:space="preserve">FD101357</t>
  </si>
  <si>
    <t xml:space="preserve">FD101358</t>
  </si>
  <si>
    <t xml:space="preserve">FD101359</t>
  </si>
  <si>
    <t xml:space="preserve">FD101360</t>
  </si>
  <si>
    <t xml:space="preserve">FD101361</t>
  </si>
  <si>
    <t xml:space="preserve">FD101362</t>
  </si>
  <si>
    <t xml:space="preserve">FD101363</t>
  </si>
  <si>
    <t xml:space="preserve">FD101364</t>
  </si>
  <si>
    <t xml:space="preserve">FD101365</t>
  </si>
  <si>
    <t xml:space="preserve">FD101366</t>
  </si>
  <si>
    <t xml:space="preserve">FD101367</t>
  </si>
  <si>
    <t xml:space="preserve">FD101368</t>
  </si>
  <si>
    <t xml:space="preserve">FD101369</t>
  </si>
  <si>
    <t xml:space="preserve">FD101370</t>
  </si>
  <si>
    <t xml:space="preserve">FD101371</t>
  </si>
  <si>
    <t xml:space="preserve">FD101372</t>
  </si>
  <si>
    <t xml:space="preserve">FD101373</t>
  </si>
  <si>
    <t xml:space="preserve">FD101374</t>
  </si>
  <si>
    <t xml:space="preserve">FD101375</t>
  </si>
  <si>
    <t xml:space="preserve">FD101376</t>
  </si>
  <si>
    <t xml:space="preserve">FD101377</t>
  </si>
  <si>
    <t xml:space="preserve">FD101378</t>
  </si>
  <si>
    <t xml:space="preserve">21-11-2025</t>
  </si>
  <si>
    <t xml:space="preserve">FD101379</t>
  </si>
  <si>
    <t xml:space="preserve">FD101380</t>
  </si>
  <si>
    <t xml:space="preserve">FD101381</t>
  </si>
  <si>
    <t xml:space="preserve">FD101382</t>
  </si>
  <si>
    <t xml:space="preserve">FD101383</t>
  </si>
  <si>
    <t xml:space="preserve">FD101384</t>
  </si>
  <si>
    <t xml:space="preserve">FD101385</t>
  </si>
  <si>
    <t xml:space="preserve">FD101386</t>
  </si>
  <si>
    <t xml:space="preserve">FD101387</t>
  </si>
  <si>
    <t xml:space="preserve">FD101388</t>
  </si>
  <si>
    <t xml:space="preserve">FD101389</t>
  </si>
  <si>
    <t xml:space="preserve">FD101390</t>
  </si>
  <si>
    <t xml:space="preserve">FD101391</t>
  </si>
  <si>
    <t xml:space="preserve">FD101392</t>
  </si>
  <si>
    <t xml:space="preserve">FD101393</t>
  </si>
  <si>
    <t xml:space="preserve">21-02-2025</t>
  </si>
  <si>
    <t xml:space="preserve">FD101394</t>
  </si>
  <si>
    <t xml:space="preserve">FD101395</t>
  </si>
  <si>
    <t xml:space="preserve">FD101396</t>
  </si>
  <si>
    <t xml:space="preserve">FD101397</t>
  </si>
  <si>
    <t xml:space="preserve">FD101398</t>
  </si>
  <si>
    <t xml:space="preserve">FD101399</t>
  </si>
  <si>
    <t xml:space="preserve">FD101400</t>
  </si>
  <si>
    <t xml:space="preserve">FD101401</t>
  </si>
  <si>
    <t xml:space="preserve">29-06-2025</t>
  </si>
  <si>
    <t xml:space="preserve">FD101402</t>
  </si>
  <si>
    <t xml:space="preserve">FD101403</t>
  </si>
  <si>
    <t xml:space="preserve">FD101404</t>
  </si>
  <si>
    <t xml:space="preserve">FD101405</t>
  </si>
  <si>
    <t xml:space="preserve">22-03-2025</t>
  </si>
  <si>
    <t xml:space="preserve">FD101406</t>
  </si>
  <si>
    <t xml:space="preserve">FD101407</t>
  </si>
  <si>
    <t xml:space="preserve">20-12-2025</t>
  </si>
  <si>
    <t xml:space="preserve">FD101408</t>
  </si>
  <si>
    <t xml:space="preserve">FD101409</t>
  </si>
  <si>
    <t xml:space="preserve">FD101410</t>
  </si>
  <si>
    <t xml:space="preserve">FD101411</t>
  </si>
  <si>
    <t xml:space="preserve">FD101412</t>
  </si>
  <si>
    <t xml:space="preserve">FD101413</t>
  </si>
  <si>
    <t xml:space="preserve">FD101414</t>
  </si>
  <si>
    <t xml:space="preserve">FD101415</t>
  </si>
  <si>
    <t xml:space="preserve">FD101416</t>
  </si>
  <si>
    <t xml:space="preserve">FD101417</t>
  </si>
  <si>
    <t xml:space="preserve">FD101418</t>
  </si>
  <si>
    <t xml:space="preserve">FD101419</t>
  </si>
  <si>
    <t xml:space="preserve">FD101420</t>
  </si>
  <si>
    <t xml:space="preserve">FD101421</t>
  </si>
  <si>
    <t xml:space="preserve">FD101422</t>
  </si>
  <si>
    <t xml:space="preserve">FD101423</t>
  </si>
  <si>
    <t xml:space="preserve">FD101424</t>
  </si>
  <si>
    <t xml:space="preserve">FD101425</t>
  </si>
  <si>
    <t xml:space="preserve">FD101426</t>
  </si>
  <si>
    <t xml:space="preserve">09-06-2025</t>
  </si>
  <si>
    <t xml:space="preserve">FD101427</t>
  </si>
  <si>
    <t xml:space="preserve">FD101428</t>
  </si>
  <si>
    <t xml:space="preserve">FD101429</t>
  </si>
  <si>
    <t xml:space="preserve">FD101430</t>
  </si>
  <si>
    <t xml:space="preserve">FD101431</t>
  </si>
  <si>
    <t xml:space="preserve">FD101432</t>
  </si>
  <si>
    <t xml:space="preserve">FD101433</t>
  </si>
  <si>
    <t xml:space="preserve">FD101434</t>
  </si>
  <si>
    <t xml:space="preserve">FD101435</t>
  </si>
  <si>
    <t xml:space="preserve">FD101436</t>
  </si>
  <si>
    <t xml:space="preserve">FD101437</t>
  </si>
  <si>
    <t xml:space="preserve">FD101438</t>
  </si>
  <si>
    <t xml:space="preserve">FD101439</t>
  </si>
  <si>
    <t xml:space="preserve">FD101440</t>
  </si>
  <si>
    <t xml:space="preserve">FD101441</t>
  </si>
  <si>
    <t xml:space="preserve">FD101442</t>
  </si>
  <si>
    <t xml:space="preserve">FD101443</t>
  </si>
  <si>
    <t xml:space="preserve">FD101444</t>
  </si>
  <si>
    <t xml:space="preserve">FD101445</t>
  </si>
  <si>
    <t xml:space="preserve">FD101446</t>
  </si>
  <si>
    <t xml:space="preserve">FD101447</t>
  </si>
  <si>
    <t xml:space="preserve">FD101448</t>
  </si>
  <si>
    <t xml:space="preserve">FD101449</t>
  </si>
  <si>
    <t xml:space="preserve">Kolkata </t>
  </si>
  <si>
    <t xml:space="preserve">FD101450</t>
  </si>
  <si>
    <t xml:space="preserve">FD101451</t>
  </si>
  <si>
    <t xml:space="preserve">FD101452</t>
  </si>
  <si>
    <t xml:space="preserve">FD101453</t>
  </si>
  <si>
    <t xml:space="preserve">FD101454</t>
  </si>
  <si>
    <t xml:space="preserve">15-12-2025</t>
  </si>
  <si>
    <t xml:space="preserve">FD101455</t>
  </si>
  <si>
    <t xml:space="preserve">FD101456</t>
  </si>
  <si>
    <t xml:space="preserve">FD101457</t>
  </si>
  <si>
    <t xml:space="preserve">FD101458</t>
  </si>
  <si>
    <t xml:space="preserve">FD101459</t>
  </si>
  <si>
    <t xml:space="preserve">FD101460</t>
  </si>
  <si>
    <t xml:space="preserve">FD101461</t>
  </si>
  <si>
    <t xml:space="preserve">FD101462</t>
  </si>
  <si>
    <t xml:space="preserve">FD101463</t>
  </si>
  <si>
    <t xml:space="preserve">FD101464</t>
  </si>
  <si>
    <t xml:space="preserve">FD101465</t>
  </si>
  <si>
    <t xml:space="preserve">11-09-2025</t>
  </si>
  <si>
    <t xml:space="preserve">FD101466</t>
  </si>
  <si>
    <t xml:space="preserve">FD101467</t>
  </si>
  <si>
    <t xml:space="preserve">FD101468</t>
  </si>
  <si>
    <t xml:space="preserve">FD101469</t>
  </si>
  <si>
    <t xml:space="preserve">FD101470</t>
  </si>
  <si>
    <t xml:space="preserve">FD101471</t>
  </si>
  <si>
    <t xml:space="preserve">FD101472</t>
  </si>
  <si>
    <t xml:space="preserve">FD101473</t>
  </si>
  <si>
    <t xml:space="preserve">FD101474</t>
  </si>
  <si>
    <t xml:space="preserve">FD101475</t>
  </si>
  <si>
    <t xml:space="preserve">FD101476</t>
  </si>
  <si>
    <t xml:space="preserve">FD101477</t>
  </si>
  <si>
    <t xml:space="preserve">FD101478</t>
  </si>
  <si>
    <t xml:space="preserve">FD101479</t>
  </si>
  <si>
    <t xml:space="preserve">14-07-2025</t>
  </si>
  <si>
    <t xml:space="preserve">FD101480</t>
  </si>
  <si>
    <t xml:space="preserve">FD101481</t>
  </si>
  <si>
    <t xml:space="preserve">21-06-2025</t>
  </si>
  <si>
    <t xml:space="preserve">FD101482</t>
  </si>
  <si>
    <t xml:space="preserve">FD101483</t>
  </si>
  <si>
    <t xml:space="preserve">FD101484</t>
  </si>
  <si>
    <t xml:space="preserve">FD101485</t>
  </si>
  <si>
    <t xml:space="preserve">FD101486</t>
  </si>
  <si>
    <t xml:space="preserve">FD101487</t>
  </si>
  <si>
    <t xml:space="preserve">FD101488</t>
  </si>
  <si>
    <t xml:space="preserve">08-07-2025</t>
  </si>
  <si>
    <t xml:space="preserve">FD101489</t>
  </si>
  <si>
    <t xml:space="preserve">FD101490</t>
  </si>
  <si>
    <t xml:space="preserve">FD101491</t>
  </si>
  <si>
    <t xml:space="preserve">FD101492</t>
  </si>
  <si>
    <t xml:space="preserve">FD101493</t>
  </si>
  <si>
    <t xml:space="preserve">FD101494</t>
  </si>
  <si>
    <t xml:space="preserve">FD101495</t>
  </si>
  <si>
    <t xml:space="preserve">FD101496</t>
  </si>
  <si>
    <t xml:space="preserve">FD101497</t>
  </si>
  <si>
    <t xml:space="preserve">FD101498</t>
  </si>
  <si>
    <t xml:space="preserve">FD101499</t>
  </si>
  <si>
    <t xml:space="preserve">FD101500</t>
  </si>
  <si>
    <t xml:space="preserve">Month</t>
  </si>
  <si>
    <t xml:space="preserve">Weekday</t>
  </si>
  <si>
    <t xml:space="preserve">Net_Revenue</t>
  </si>
  <si>
    <t xml:space="preserve">Unknown</t>
  </si>
  <si>
    <t xml:space="preserve">PIVOT-STYLE SUMMARY TABLES (live formulas on tblOrders – respond to Dashboard filters)</t>
  </si>
  <si>
    <t xml:space="preserve">City filter</t>
  </si>
  <si>
    <t xml:space="preserve">← criteria driven by Dashboard dropdowns ('*' = All)</t>
  </si>
  <si>
    <t xml:space="preserve">Cuisine filter</t>
  </si>
  <si>
    <t xml:space="preserve">Customer filter</t>
  </si>
  <si>
    <t xml:space="preserve">PIVOT 1 – Sales by City</t>
  </si>
  <si>
    <t xml:space="preserve">Orders</t>
  </si>
  <si>
    <t xml:space="preserve">Net Revenue (₹)</t>
  </si>
  <si>
    <t xml:space="preserve">Avg Order Value (₹)</t>
  </si>
  <si>
    <t xml:space="preserve">Avg Delivery Time (min)</t>
  </si>
  <si>
    <t xml:space="preserve">Avg Rating</t>
  </si>
  <si>
    <t xml:space="preserve">Grand Total</t>
  </si>
  <si>
    <t xml:space="preserve">PIVOT 2 – Sales by Cuisine</t>
  </si>
  <si>
    <t xml:space="preserve">PIVOT 3 – Monthly Trend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</si>
  <si>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</si>
  <si>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</si>
  <si>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</si>
  <si>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</si>
  <si>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</si>
  <si>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</si>
  <si>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</si>
  <si>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</si>
  <si>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</si>
  <si>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</si>
  <si>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</si>
  <si>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</si>
  <si>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PIVOT 4 – Payment Method Analysis</t>
  </si>
  <si>
    <t xml:space="preserve">Payment Method</t>
  </si>
  <si>
    <t xml:space="preserve">% of Orders</t>
  </si>
  <si>
    <t xml:space="preserve">PIVOT 5 – Orders by Weekday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</si>
  <si>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</si>
  <si>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</si>
  <si>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</si>
  <si>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</si>
  <si>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</si>
  <si>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</si>
  <si>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</si>
  <si>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PIVOT 6 – Cancellation Analysis by City</t>
  </si>
  <si>
    <t xml:space="preserve">Orders Placed</t>
  </si>
  <si>
    <t xml:space="preserve">Cancellation Rate</t>
  </si>
  <si>
    <t xml:space="preserve">PIVOT 7 – New vs Returning Customers</t>
  </si>
  <si>
    <t xml:space="preserve">Customer Type</t>
  </si>
  <si>
    <t xml:space="preserve">CHARTS (linked to Pivot Tables – change Dashboard filters to update)</t>
  </si>
  <si>
    <t xml:space="preserve">🍔 FOOD DELIVERY SALES DASHBOARD – 2025</t>
  </si>
  <si>
    <t xml:space="preserve">FILTERS (select from dropdowns)</t>
  </si>
  <si>
    <t xml:space="preserve">All</t>
  </si>
  <si>
    <t xml:space="preserve">◀ Pick a City / Cuisine / Customer Type – every KPI and chart updates instantly.</t>
  </si>
  <si>
    <t xml:space="preserve">Set all three back to 'All' to see the full year.</t>
  </si>
  <si>
    <t xml:space="preserve">NET REVENUE</t>
  </si>
  <si>
    <t xml:space="preserve">DELIVERED ORDERS</t>
  </si>
  <si>
    <t xml:space="preserve">AVG ORDER VALUE</t>
  </si>
  <si>
    <t xml:space="preserve">AVG DELIVERY TIME</t>
  </si>
  <si>
    <t xml:space="preserve">AVG RATING</t>
  </si>
  <si>
    <t xml:space="preserve">CANCELLATION RATE</t>
  </si>
  <si>
    <t xml:space="preserve">Source: Cleaned Data (tblOrders) via Pivot Tables sheet. Dataset: simulated Indian food-delivery orders, Jan–Dec 2025.</t>
  </si>
  <si>
    <t xml:space="preserve">KEY INSIGHTS &amp; OBSERVATIONS</t>
  </si>
  <si>
    <t xml:space="preserve">Figures below are for the full year with all filters = 'All'.</t>
  </si>
  <si>
    <t xml:space="preserve">Revenue concentration: Bengaluru, Delhi and Mumbai together generate 63% of total net revenue (₹625,271); Bengaluru leads with ₹141,596.</t>
  </si>
  <si>
    <t xml:space="preserve">Cuisine mix: North Indian is the top revenue cuisine (22% share), followed by Pizza (18%); Desserts contributes the least (4%).</t>
  </si>
  <si>
    <t xml:space="preserve">Seasonality / growth: monthly revenue grew from ₹43,004 in Jan to a peak of ₹62,200 in Dec (lowest: Apr, ₹39,431), showing an overall upward demand trend through the year.</t>
  </si>
  <si>
    <t xml:space="preserve">Weekend effect: Fri–Sun account for 48% of delivered orders although they are only 43% of days – a clear weekend demand spike worth staffing and promoting for.</t>
  </si>
  <si>
    <t xml:space="preserve">Payments: UPI is the most used method (40% of orders), then Cash on Delivery (19%); Cash on Delivery still holds a notable share, adding cash-handling cost.</t>
  </si>
  <si>
    <t xml:space="preserve">Delivery speed vs satisfaction: avg rating is 4.49 for ≤30 min deliveries, 4.24 for 31–45 min and 3.87 for &gt;45 min – slower deliveries clearly lower ratings. Bengaluru is the slowest city (41.9 min avg).</t>
  </si>
  <si>
    <t xml:space="preserve">Cancellations: overall cancellation rate is 5.6%; Bengaluru is highest at 7.0%, lowest in Kolkata (1.3%) – cities with longer delivery times tend to see more cancellations.</t>
  </si>
  <si>
    <t xml:space="preserve">Customer type: Returning customers make up 62% of delivered orders with avg net order value ₹457 vs ₹426 for new customers (new customers receive heavier discounts).</t>
  </si>
  <si>
    <t xml:space="preserve">RECOMMENDATIONS</t>
  </si>
  <si>
    <t xml:space="preserve">➜</t>
  </si>
  <si>
    <t xml:space="preserve">Add riders / dark-kitchen capacity in the slowest cities to bring delivery time under 35 minutes.</t>
  </si>
  <si>
    <t xml:space="preserve">Run weekend-specific bundles for top cuisines (e.g., Biryani, Pizza) and weekday lunch offers to even out demand.</t>
  </si>
  <si>
    <t xml:space="preserve">Push UPI cashback and reduce COD share to cut cash-handling costs and cancellations.</t>
  </si>
  <si>
    <t xml:space="preserve">Convert new customers with first-order discounts but protect margin using minimum-order thresholds.</t>
  </si>
  <si>
    <t xml:space="preserve">DATA CLEANING LOG</t>
  </si>
  <si>
    <t xml:space="preserve">•</t>
  </si>
  <si>
    <t xml:space="preserve">Raw records: 1525  →  Cleaned records: 1488</t>
  </si>
  <si>
    <t xml:space="preserve">Removed 25 duplicate Order_IDs</t>
  </si>
  <si>
    <t xml:space="preserve">Removed 12 rows with missing Order_Value</t>
  </si>
  <si>
    <t xml:space="preserve">Filled 18 missing Payment_Method values with 'Unknown'</t>
  </si>
  <si>
    <t xml:space="preserve">Standardised City names (trim/case; 'Bangalore' → 'Bengaluru') and Customer_Type case</t>
  </si>
  <si>
    <t xml:space="preserve">Converted text dates (dd-mm-yyyy) to real Excel dates</t>
  </si>
  <si>
    <t xml:space="preserve">Added Month, Weekday and Net_Revenue (=Order_Value − Discount + Delivery_Fee, 0 if cancelled) as formulas</t>
  </si>
  <si>
    <t xml:space="preserve">Converted range into Excel Table 'tblOrders'</t>
  </si>
  <si>
    <t xml:space="preserve">Dataset note: simulated Indian food-delivery data (1,500 orders, 2025). Swap in a Kaggle dataset by pasting into Cleaned Data table.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</si>
</sst>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"/>
    <numFmt numFmtId="166" formatCode="\₹#,##0"/>
    <numFmt numFmtId="167" formatCode="#,##0"/>
    <numFmt numFmtId="168" formatCode="0.0"/>
    <numFmt numFmtId="169" formatCode="0.00"/>
    <numFmt numFmtId="170" formatCode="0.0%"/>
    <numFmt numFmtId="171" formatCode="0%"/>
    <numFmt numFmtId="172" formatCode="0.0&quot; min&quot;"/>
    <numFmt numFmtId="173" formatCode="0.00&quot; ★&quot;"/>
  </numFmts>
  <fonts count="2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3"/>
      <color rgb="FF1F2937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FC801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0"/>
      <color rgb="FFFFFFFF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4E8"/>
        <bgColor rgb="FFFEF3C7"/>
      </patternFill>
    </fill>
    <fill>
      <patternFill patternType="solid">
        <fgColor rgb="FFFEF3C7"/>
        <bgColor rgb="FFFFF4E8"/>
      </patternFill>
    </fill>
    <fill>
      <patternFill patternType="solid">
        <fgColor rgb="FFE23744"/>
        <bgColor rgb="FFEF4444"/>
      </patternFill>
    </fill>
    <fill>
      <patternFill patternType="solid">
        <fgColor rgb="FFFC8019"/>
        <bgColor rgb="FFDC853E"/>
      </patternFill>
    </fill>
    <fill>
      <patternFill patternType="solid">
        <fgColor rgb="FF3B82F6"/>
        <bgColor rgb="FF4F81BD"/>
      </patternFill>
    </fill>
    <fill>
      <patternFill patternType="solid">
        <fgColor rgb="FF10B981"/>
        <bgColor rgb="FF4299B0"/>
      </patternFill>
    </fill>
    <fill>
      <patternFill patternType="solid">
        <fgColor rgb="FF8B5CF6"/>
        <bgColor rgb="FF725990"/>
      </patternFill>
    </fill>
    <fill>
      <patternFill patternType="solid">
        <fgColor rgb="FFEF4444"/>
        <bgColor rgb="FFE2374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EF444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D9D9D9"/>
      <rgbColor rgb="FF878787"/>
      <rgbColor rgb="FF93A9CE"/>
      <rgbColor rgb="FFAB4744"/>
      <rgbColor rgb="FFFEF3C7"/>
      <rgbColor rgb="FFCCFFFF"/>
      <rgbColor rgb="FF660066"/>
      <rgbColor rgb="FFDC853E"/>
      <rgbColor rgb="FF4672A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E8"/>
      <rgbColor rgb="FF99CCFF"/>
      <rgbColor rgb="FFD09493"/>
      <rgbColor rgb="FF8B5CF6"/>
      <rgbColor rgb="FFFFCC99"/>
      <rgbColor rgb="FF3B82F6"/>
      <rgbColor rgb="FF10B981"/>
      <rgbColor rgb="FF99CC00"/>
      <rgbColor rgb="FFFFCC00"/>
      <rgbColor rgb="FFF59E0B"/>
      <rgbColor rgb="FFFC8019"/>
      <rgbColor rgb="FF725990"/>
      <rgbColor rgb="FF9CA3AF"/>
      <rgbColor rgb="FF003366"/>
      <rgbColor rgb="FF4299B0"/>
      <rgbColor rgb="FF003300"/>
      <rgbColor rgb="FF333300"/>
      <rgbColor rgb="FFB45309"/>
      <rgbColor rgb="FFE23744"/>
      <rgbColor rgb="FF6B728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City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Tables'!C8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fc8019"/>
            </a:solidFill>
            <a:ln w="0">
              <a:solidFill>
                <a:srgbClr val="fc8019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Tables'!$A$9:$A$16</c:f>
              <c:strCache>
                <c:ptCount val="8"/>
                <c:pt idx="0">
                  <c:v>Mumbai</c:v>
                </c:pt>
                <c:pt idx="1">
                  <c:v>Delhi</c:v>
                </c:pt>
                <c:pt idx="2">
                  <c:v>Bengaluru</c:v>
                </c:pt>
                <c:pt idx="3">
                  <c:v>Hyderabad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  <c:pt idx="7">
                  <c:v>Ahmedabad</c:v>
                </c:pt>
              </c:strCache>
            </c:strRef>
          </c:cat>
          <c:val>
            <c:numRef>
              <c:f>'Pivot Tables'!$C$9:$C$16</c:f>
              <c:numCache>
                <c:formatCode>\₹#,##0</c:formatCode>
                <c:ptCount val="8"/>
                <c:pt idx="0">
                  <c:v>121927</c:v>
                </c:pt>
                <c:pt idx="1">
                  <c:v>128254</c:v>
                </c:pt>
                <c:pt idx="2">
                  <c:v>141596</c:v>
                </c:pt>
                <c:pt idx="3">
                  <c:v>82386</c:v>
                </c:pt>
                <c:pt idx="4">
                  <c:v>48378</c:v>
                </c:pt>
                <c:pt idx="5">
                  <c:v>44264</c:v>
                </c:pt>
                <c:pt idx="6">
                  <c:v>32648</c:v>
                </c:pt>
                <c:pt idx="7">
                  <c:v>25818</c:v>
                </c:pt>
              </c:numCache>
            </c:numRef>
          </c:val>
        </c:ser>
        <c:gapWidth val="150"/>
        <c:overlap val="0"/>
        <c:axId val="40089441"/>
        <c:axId val="70336529"/>
      </c:barChart>
      <c:catAx>
        <c:axId val="4008944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36529"/>
        <c:crosses val="autoZero"/>
        <c:auto val="1"/>
        <c:lblAlgn val="ctr"/>
        <c:lblOffset val="100"/>
        <c:noMultiLvlLbl val="0"/>
      </c:catAx>
      <c:valAx>
        <c:axId val="70336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894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Cuisine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'Pivot Tables'!C21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'Pivot Tables'!$A$22:$A$29</c:f>
              <c:strCache>
                <c:ptCount val="8"/>
                <c:pt idx="0">
                  <c:v>North Indian</c:v>
                </c:pt>
                <c:pt idx="1">
                  <c:v>Biryani</c:v>
                </c:pt>
                <c:pt idx="2">
                  <c:v>Fast Food</c:v>
                </c:pt>
                <c:pt idx="3">
                  <c:v>Pizza</c:v>
                </c:pt>
                <c:pt idx="4">
                  <c:v>Chinese</c:v>
                </c:pt>
                <c:pt idx="5">
                  <c:v>South Indian</c:v>
                </c:pt>
                <c:pt idx="6">
                  <c:v>Healthy</c:v>
                </c:pt>
                <c:pt idx="7">
                  <c:v>Desserts</c:v>
                </c:pt>
              </c:strCache>
            </c:strRef>
          </c:cat>
          <c:val>
            <c:numRef>
              <c:f>'Pivot Tables'!$C$22:$C$29</c:f>
              <c:numCache>
                <c:formatCode>\₹#,##0</c:formatCode>
                <c:ptCount val="8"/>
                <c:pt idx="0">
                  <c:v>139535</c:v>
                </c:pt>
                <c:pt idx="1">
                  <c:v>107801</c:v>
                </c:pt>
                <c:pt idx="2">
                  <c:v>83515</c:v>
                </c:pt>
                <c:pt idx="3">
                  <c:v>109913</c:v>
                </c:pt>
                <c:pt idx="4">
                  <c:v>74244</c:v>
                </c:pt>
                <c:pt idx="5">
                  <c:v>47916</c:v>
                </c:pt>
                <c:pt idx="6">
                  <c:v>36344</c:v>
                </c:pt>
                <c:pt idx="7">
                  <c:v>26003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Revenue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Tables'!C34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e23744"/>
            </a:solidFill>
            <a:ln w="28080">
              <a:solidFill>
                <a:srgbClr val="e23744"/>
              </a:solidFill>
              <a:round/>
            </a:ln>
          </c:spPr>
          <c:marker>
            <c:symbol val="circle"/>
            <c:size val="5"/>
            <c:spPr>
              <a:solidFill>
                <a:srgbClr val="e2374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Tables'!$C$35:$C$46</c:f>
              <c:numCache>
                <c:formatCode>\₹#,##0</c:formatCode>
                <c:ptCount val="12"/>
                <c:pt idx="0">
                  <c:v>43004</c:v>
                </c:pt>
                <c:pt idx="1">
                  <c:v>43954</c:v>
                </c:pt>
                <c:pt idx="2">
                  <c:v>54175</c:v>
                </c:pt>
                <c:pt idx="3">
                  <c:v>39431</c:v>
                </c:pt>
                <c:pt idx="4">
                  <c:v>47501</c:v>
                </c:pt>
                <c:pt idx="5">
                  <c:v>52426</c:v>
                </c:pt>
                <c:pt idx="6">
                  <c:v>55728</c:v>
                </c:pt>
                <c:pt idx="7">
                  <c:v>57779</c:v>
                </c:pt>
                <c:pt idx="8">
                  <c:v>54456</c:v>
                </c:pt>
                <c:pt idx="9">
                  <c:v>58826</c:v>
                </c:pt>
                <c:pt idx="10">
                  <c:v>55791</c:v>
                </c:pt>
                <c:pt idx="11">
                  <c:v>62200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58175"/>
        <c:axId val="58814262"/>
      </c:lineChart>
      <c:catAx>
        <c:axId val="255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14262"/>
        <c:crosses val="autoZero"/>
        <c:auto val="1"/>
        <c:lblAlgn val="ctr"/>
        <c:lblOffset val="100"/>
        <c:noMultiLvlLbl val="0"/>
      </c:catAx>
      <c:valAx>
        <c:axId val="588142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81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Tables'!B62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b82f6"/>
            </a:solidFill>
            <a:ln w="0">
              <a:solidFill>
                <a:srgbClr val="3b82f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Tables'!$A$63:$A$69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'Pivot Tables'!$B$63:$B$69</c:f>
              <c:numCache>
                <c:formatCode>#,##0</c:formatCode>
                <c:ptCount val="7"/>
                <c:pt idx="0">
                  <c:v>163</c:v>
                </c:pt>
                <c:pt idx="1">
                  <c:v>183</c:v>
                </c:pt>
                <c:pt idx="2">
                  <c:v>180</c:v>
                </c:pt>
                <c:pt idx="3">
                  <c:v>207</c:v>
                </c:pt>
                <c:pt idx="4">
                  <c:v>236</c:v>
                </c:pt>
                <c:pt idx="5">
                  <c:v>228</c:v>
                </c:pt>
                <c:pt idx="6">
                  <c:v>208</c:v>
                </c:pt>
              </c:numCache>
            </c:numRef>
          </c:val>
        </c:ser>
        <c:gapWidth val="150"/>
        <c:overlap val="0"/>
        <c:axId val="1569333"/>
        <c:axId val="39636791"/>
      </c:barChart>
      <c:catAx>
        <c:axId val="15693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36791"/>
        <c:crosses val="autoZero"/>
        <c:auto val="1"/>
        <c:lblAlgn val="ctr"/>
        <c:lblOffset val="100"/>
        <c:noMultiLvlLbl val="0"/>
      </c:catAx>
      <c:valAx>
        <c:axId val="39636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93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Delivery Time by City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Tables'!E8</c:f>
              <c:strCache>
                <c:ptCount val="1"/>
                <c:pt idx="0">
                  <c:v>Avg Delivery Time (min)</c:v>
                </c:pt>
              </c:strCache>
            </c:strRef>
          </c:tx>
          <c:spPr>
            <a:solidFill>
              <a:srgbClr val="10b981"/>
            </a:solidFill>
            <a:ln w="0">
              <a:solidFill>
                <a:srgbClr val="10b981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Tables'!$A$9:$A$16</c:f>
              <c:strCache>
                <c:ptCount val="8"/>
                <c:pt idx="0">
                  <c:v>Mumbai</c:v>
                </c:pt>
                <c:pt idx="1">
                  <c:v>Delhi</c:v>
                </c:pt>
                <c:pt idx="2">
                  <c:v>Bengaluru</c:v>
                </c:pt>
                <c:pt idx="3">
                  <c:v>Hyderabad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  <c:pt idx="7">
                  <c:v>Ahmedabad</c:v>
                </c:pt>
              </c:strCache>
            </c:strRef>
          </c:cat>
          <c:val>
            <c:numRef>
              <c:f>'Pivot Tables'!$E$9:$E$16</c:f>
              <c:numCache>
                <c:formatCode>0.0</c:formatCode>
                <c:ptCount val="8"/>
                <c:pt idx="0">
                  <c:v>37.9855072463768</c:v>
                </c:pt>
                <c:pt idx="1">
                  <c:v>36.1071428571429</c:v>
                </c:pt>
                <c:pt idx="2">
                  <c:v>41.9122257053292</c:v>
                </c:pt>
                <c:pt idx="3">
                  <c:v>32.8810810810811</c:v>
                </c:pt>
                <c:pt idx="4">
                  <c:v>31.3853211009174</c:v>
                </c:pt>
                <c:pt idx="5">
                  <c:v>29.6796116504854</c:v>
                </c:pt>
                <c:pt idx="6">
                  <c:v>34.8266666666667</c:v>
                </c:pt>
                <c:pt idx="7">
                  <c:v>27.8103448275862</c:v>
                </c:pt>
              </c:numCache>
            </c:numRef>
          </c:val>
        </c:ser>
        <c:gapWidth val="150"/>
        <c:overlap val="0"/>
        <c:axId val="6667119"/>
        <c:axId val="1787092"/>
      </c:barChart>
      <c:catAx>
        <c:axId val="66671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7092"/>
        <c:crosses val="autoZero"/>
        <c:auto val="1"/>
        <c:lblAlgn val="ctr"/>
        <c:lblOffset val="100"/>
        <c:noMultiLvlLbl val="0"/>
      </c:catAx>
      <c:valAx>
        <c:axId val="1787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71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Tables'!B51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8b5cf6"/>
            </a:solidFill>
            <a:ln w="0">
              <a:solidFill>
                <a:srgbClr val="8b5cf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Tables'!$A$52:$A$57</c:f>
              <c:strCache>
                <c:ptCount val="6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Cash on Delivery</c:v>
                </c:pt>
                <c:pt idx="4">
                  <c:v>Wallet</c:v>
                </c:pt>
                <c:pt idx="5">
                  <c:v>Unknown</c:v>
                </c:pt>
              </c:strCache>
            </c:strRef>
          </c:cat>
          <c:val>
            <c:numRef>
              <c:f>'Pivot Tables'!$B$52:$B$57</c:f>
              <c:numCache>
                <c:formatCode>#,##0</c:formatCode>
                <c:ptCount val="6"/>
                <c:pt idx="0">
                  <c:v>564</c:v>
                </c:pt>
                <c:pt idx="1">
                  <c:v>224</c:v>
                </c:pt>
                <c:pt idx="2">
                  <c:v>148</c:v>
                </c:pt>
                <c:pt idx="3">
                  <c:v>273</c:v>
                </c:pt>
                <c:pt idx="4">
                  <c:v>178</c:v>
                </c:pt>
                <c:pt idx="5">
                  <c:v>18</c:v>
                </c:pt>
              </c:numCache>
            </c:numRef>
          </c:val>
        </c:ser>
        <c:gapWidth val="150"/>
        <c:overlap val="0"/>
        <c:axId val="67219593"/>
        <c:axId val="28774148"/>
      </c:barChart>
      <c:catAx>
        <c:axId val="672195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74148"/>
        <c:crosses val="autoZero"/>
        <c:auto val="1"/>
        <c:lblAlgn val="ctr"/>
        <c:lblOffset val="100"/>
        <c:noMultiLvlLbl val="0"/>
      </c:catAx>
      <c:valAx>
        <c:axId val="287741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195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Cancellation Rate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Tables'!D74</c:f>
              <c:strCache>
                <c:ptCount val="1"/>
                <c:pt idx="0">
                  <c:v>Cancellation Rate</c:v>
                </c:pt>
              </c:strCache>
            </c:strRef>
          </c:tx>
          <c:spPr>
            <a:solidFill>
              <a:srgbClr val="ef4444"/>
            </a:solidFill>
            <a:ln w="0">
              <a:solidFill>
                <a:srgbClr val="ef444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Tables'!$A$75:$A$82</c:f>
              <c:strCache>
                <c:ptCount val="8"/>
                <c:pt idx="0">
                  <c:v>Mumbai</c:v>
                </c:pt>
                <c:pt idx="1">
                  <c:v>Delhi</c:v>
                </c:pt>
                <c:pt idx="2">
                  <c:v>Bengaluru</c:v>
                </c:pt>
                <c:pt idx="3">
                  <c:v>Hyderabad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  <c:pt idx="7">
                  <c:v>Ahmedabad</c:v>
                </c:pt>
              </c:strCache>
            </c:strRef>
          </c:cat>
          <c:val>
            <c:numRef>
              <c:f>'Pivot Tables'!$D$75:$D$82</c:f>
              <c:numCache>
                <c:formatCode>0.0%</c:formatCode>
                <c:ptCount val="8"/>
                <c:pt idx="0">
                  <c:v>0.0612244897959184</c:v>
                </c:pt>
                <c:pt idx="1">
                  <c:v>0.0697674418604651</c:v>
                </c:pt>
                <c:pt idx="2">
                  <c:v>0.0699708454810496</c:v>
                </c:pt>
                <c:pt idx="3">
                  <c:v>0.0414507772020725</c:v>
                </c:pt>
                <c:pt idx="4">
                  <c:v>0.0521739130434783</c:v>
                </c:pt>
                <c:pt idx="5">
                  <c:v>0.0190476190476191</c:v>
                </c:pt>
                <c:pt idx="6">
                  <c:v>0.0131578947368421</c:v>
                </c:pt>
                <c:pt idx="7">
                  <c:v>0.0491803278688525</c:v>
                </c:pt>
              </c:numCache>
            </c:numRef>
          </c:val>
        </c:ser>
        <c:gapWidth val="150"/>
        <c:overlap val="0"/>
        <c:axId val="19525484"/>
        <c:axId val="49144320"/>
      </c:barChart>
      <c:catAx>
        <c:axId val="195254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44320"/>
        <c:crosses val="autoZero"/>
        <c:auto val="1"/>
        <c:lblAlgn val="ctr"/>
        <c:lblOffset val="100"/>
        <c:noMultiLvlLbl val="0"/>
      </c:catAx>
      <c:valAx>
        <c:axId val="491443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254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Order Value: New vs Returning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Tables'!D87</c:f>
              <c:strCache>
                <c:ptCount val="1"/>
                <c:pt idx="0">
                  <c:v>Avg Order Value (₹)</c:v>
                </c:pt>
              </c:strCache>
            </c:strRef>
          </c:tx>
          <c:spPr>
            <a:solidFill>
              <a:srgbClr val="f59e0b"/>
            </a:solidFill>
            <a:ln w="0">
              <a:solidFill>
                <a:srgbClr val="f59e0b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Tables'!$A$88:$A$89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'Pivot Tables'!$D$88:$D$89</c:f>
              <c:numCache>
                <c:formatCode>\₹#,##0</c:formatCode>
                <c:ptCount val="2"/>
                <c:pt idx="0">
                  <c:v>425.665413533835</c:v>
                </c:pt>
                <c:pt idx="1">
                  <c:v>456.835051546392</c:v>
                </c:pt>
              </c:numCache>
            </c:numRef>
          </c:val>
        </c:ser>
        <c:gapWidth val="150"/>
        <c:overlap val="0"/>
        <c:axId val="35999066"/>
        <c:axId val="91549075"/>
      </c:barChart>
      <c:catAx>
        <c:axId val="35999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49075"/>
        <c:crosses val="autoZero"/>
        <c:auto val="1"/>
        <c:lblAlgn val="ctr"/>
        <c:lblOffset val="100"/>
        <c:noMultiLvlLbl val="0"/>
      </c:catAx>
      <c:valAx>
        <c:axId val="915490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990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City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Tables'!C8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fc8019"/>
            </a:solidFill>
            <a:ln w="0">
              <a:solidFill>
                <a:srgbClr val="fc8019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Tables'!$A$9:$A$16</c:f>
              <c:strCache>
                <c:ptCount val="8"/>
                <c:pt idx="0">
                  <c:v>Mumbai</c:v>
                </c:pt>
                <c:pt idx="1">
                  <c:v>Delhi</c:v>
                </c:pt>
                <c:pt idx="2">
                  <c:v>Bengaluru</c:v>
                </c:pt>
                <c:pt idx="3">
                  <c:v>Hyderabad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  <c:pt idx="7">
                  <c:v>Ahmedabad</c:v>
                </c:pt>
              </c:strCache>
            </c:strRef>
          </c:cat>
          <c:val>
            <c:numRef>
              <c:f>'Pivot Tables'!$C$9:$C$16</c:f>
              <c:numCache>
                <c:formatCode>\₹#,##0</c:formatCode>
                <c:ptCount val="8"/>
                <c:pt idx="0">
                  <c:v>121927</c:v>
                </c:pt>
                <c:pt idx="1">
                  <c:v>128254</c:v>
                </c:pt>
                <c:pt idx="2">
                  <c:v>141596</c:v>
                </c:pt>
                <c:pt idx="3">
                  <c:v>82386</c:v>
                </c:pt>
                <c:pt idx="4">
                  <c:v>48378</c:v>
                </c:pt>
                <c:pt idx="5">
                  <c:v>44264</c:v>
                </c:pt>
                <c:pt idx="6">
                  <c:v>32648</c:v>
                </c:pt>
                <c:pt idx="7">
                  <c:v>25818</c:v>
                </c:pt>
              </c:numCache>
            </c:numRef>
          </c:val>
        </c:ser>
        <c:gapWidth val="150"/>
        <c:overlap val="0"/>
        <c:axId val="75171122"/>
        <c:axId val="93047130"/>
      </c:barChart>
      <c:catAx>
        <c:axId val="7517112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47130"/>
        <c:crosses val="autoZero"/>
        <c:auto val="1"/>
        <c:lblAlgn val="ctr"/>
        <c:lblOffset val="100"/>
        <c:noMultiLvlLbl val="0"/>
      </c:catAx>
      <c:valAx>
        <c:axId val="93047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711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Cuisine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'Pivot Tables'!C21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'Pivot Tables'!$A$22:$A$29</c:f>
              <c:strCache>
                <c:ptCount val="8"/>
                <c:pt idx="0">
                  <c:v>North Indian</c:v>
                </c:pt>
                <c:pt idx="1">
                  <c:v>Biryani</c:v>
                </c:pt>
                <c:pt idx="2">
                  <c:v>Fast Food</c:v>
                </c:pt>
                <c:pt idx="3">
                  <c:v>Pizza</c:v>
                </c:pt>
                <c:pt idx="4">
                  <c:v>Chinese</c:v>
                </c:pt>
                <c:pt idx="5">
                  <c:v>South Indian</c:v>
                </c:pt>
                <c:pt idx="6">
                  <c:v>Healthy</c:v>
                </c:pt>
                <c:pt idx="7">
                  <c:v>Desserts</c:v>
                </c:pt>
              </c:strCache>
            </c:strRef>
          </c:cat>
          <c:val>
            <c:numRef>
              <c:f>'Pivot Tables'!$C$22:$C$29</c:f>
              <c:numCache>
                <c:formatCode>\₹#,##0</c:formatCode>
                <c:ptCount val="8"/>
                <c:pt idx="0">
                  <c:v>139535</c:v>
                </c:pt>
                <c:pt idx="1">
                  <c:v>107801</c:v>
                </c:pt>
                <c:pt idx="2">
                  <c:v>83515</c:v>
                </c:pt>
                <c:pt idx="3">
                  <c:v>109913</c:v>
                </c:pt>
                <c:pt idx="4">
                  <c:v>74244</c:v>
                </c:pt>
                <c:pt idx="5">
                  <c:v>47916</c:v>
                </c:pt>
                <c:pt idx="6">
                  <c:v>36344</c:v>
                </c:pt>
                <c:pt idx="7">
                  <c:v>26003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Revenue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Tables'!C34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e23744"/>
            </a:solidFill>
            <a:ln w="28080">
              <a:solidFill>
                <a:srgbClr val="e23744"/>
              </a:solidFill>
              <a:round/>
            </a:ln>
          </c:spPr>
          <c:marker>
            <c:symbol val="circle"/>
            <c:size val="5"/>
            <c:spPr>
              <a:solidFill>
                <a:srgbClr val="e2374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Tables'!$C$35:$C$46</c:f>
              <c:numCache>
                <c:formatCode>\₹#,##0</c:formatCode>
                <c:ptCount val="12"/>
                <c:pt idx="0">
                  <c:v>43004</c:v>
                </c:pt>
                <c:pt idx="1">
                  <c:v>43954</c:v>
                </c:pt>
                <c:pt idx="2">
                  <c:v>54175</c:v>
                </c:pt>
                <c:pt idx="3">
                  <c:v>39431</c:v>
                </c:pt>
                <c:pt idx="4">
                  <c:v>47501</c:v>
                </c:pt>
                <c:pt idx="5">
                  <c:v>52426</c:v>
                </c:pt>
                <c:pt idx="6">
                  <c:v>55728</c:v>
                </c:pt>
                <c:pt idx="7">
                  <c:v>57779</c:v>
                </c:pt>
                <c:pt idx="8">
                  <c:v>54456</c:v>
                </c:pt>
                <c:pt idx="9">
                  <c:v>58826</c:v>
                </c:pt>
                <c:pt idx="10">
                  <c:v>55791</c:v>
                </c:pt>
                <c:pt idx="11">
                  <c:v>62200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3618486"/>
        <c:axId val="48235343"/>
      </c:lineChart>
      <c:catAx>
        <c:axId val="936184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35343"/>
        <c:crosses val="autoZero"/>
        <c:auto val="1"/>
        <c:lblAlgn val="ctr"/>
        <c:lblOffset val="100"/>
        <c:noMultiLvlLbl val="0"/>
      </c:catAx>
      <c:valAx>
        <c:axId val="48235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184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Tables'!B62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b82f6"/>
            </a:solidFill>
            <a:ln w="0">
              <a:solidFill>
                <a:srgbClr val="3b82f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Tables'!$A$63:$A$69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'Pivot Tables'!$B$63:$B$69</c:f>
              <c:numCache>
                <c:formatCode>#,##0</c:formatCode>
                <c:ptCount val="7"/>
                <c:pt idx="0">
                  <c:v>163</c:v>
                </c:pt>
                <c:pt idx="1">
                  <c:v>183</c:v>
                </c:pt>
                <c:pt idx="2">
                  <c:v>180</c:v>
                </c:pt>
                <c:pt idx="3">
                  <c:v>207</c:v>
                </c:pt>
                <c:pt idx="4">
                  <c:v>236</c:v>
                </c:pt>
                <c:pt idx="5">
                  <c:v>228</c:v>
                </c:pt>
                <c:pt idx="6">
                  <c:v>208</c:v>
                </c:pt>
              </c:numCache>
            </c:numRef>
          </c:val>
        </c:ser>
        <c:gapWidth val="150"/>
        <c:overlap val="0"/>
        <c:axId val="32396591"/>
        <c:axId val="87008601"/>
      </c:barChart>
      <c:catAx>
        <c:axId val="3239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08601"/>
        <c:crosses val="autoZero"/>
        <c:auto val="1"/>
        <c:lblAlgn val="ctr"/>
        <c:lblOffset val="100"/>
        <c:noMultiLvlLbl val="0"/>
      </c:catAx>
      <c:valAx>
        <c:axId val="870086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965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Delivery Time by City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Tables'!E8</c:f>
              <c:strCache>
                <c:ptCount val="1"/>
                <c:pt idx="0">
                  <c:v>Avg Delivery Time (min)</c:v>
                </c:pt>
              </c:strCache>
            </c:strRef>
          </c:tx>
          <c:spPr>
            <a:solidFill>
              <a:srgbClr val="10b981"/>
            </a:solidFill>
            <a:ln w="0">
              <a:solidFill>
                <a:srgbClr val="10b981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Tables'!$A$9:$A$16</c:f>
              <c:strCache>
                <c:ptCount val="8"/>
                <c:pt idx="0">
                  <c:v>Mumbai</c:v>
                </c:pt>
                <c:pt idx="1">
                  <c:v>Delhi</c:v>
                </c:pt>
                <c:pt idx="2">
                  <c:v>Bengaluru</c:v>
                </c:pt>
                <c:pt idx="3">
                  <c:v>Hyderabad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  <c:pt idx="7">
                  <c:v>Ahmedabad</c:v>
                </c:pt>
              </c:strCache>
            </c:strRef>
          </c:cat>
          <c:val>
            <c:numRef>
              <c:f>'Pivot Tables'!$E$9:$E$16</c:f>
              <c:numCache>
                <c:formatCode>0.0</c:formatCode>
                <c:ptCount val="8"/>
                <c:pt idx="0">
                  <c:v>37.9855072463768</c:v>
                </c:pt>
                <c:pt idx="1">
                  <c:v>36.1071428571429</c:v>
                </c:pt>
                <c:pt idx="2">
                  <c:v>41.9122257053292</c:v>
                </c:pt>
                <c:pt idx="3">
                  <c:v>32.8810810810811</c:v>
                </c:pt>
                <c:pt idx="4">
                  <c:v>31.3853211009174</c:v>
                </c:pt>
                <c:pt idx="5">
                  <c:v>29.6796116504854</c:v>
                </c:pt>
                <c:pt idx="6">
                  <c:v>34.8266666666667</c:v>
                </c:pt>
                <c:pt idx="7">
                  <c:v>27.8103448275862</c:v>
                </c:pt>
              </c:numCache>
            </c:numRef>
          </c:val>
        </c:ser>
        <c:gapWidth val="150"/>
        <c:overlap val="0"/>
        <c:axId val="33419859"/>
        <c:axId val="367913"/>
      </c:barChart>
      <c:catAx>
        <c:axId val="3341985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913"/>
        <c:crosses val="autoZero"/>
        <c:auto val="1"/>
        <c:lblAlgn val="ctr"/>
        <c:lblOffset val="100"/>
        <c:noMultiLvlLbl val="0"/>
      </c:catAx>
      <c:valAx>
        <c:axId val="367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198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Tables'!B51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8b5cf6"/>
            </a:solidFill>
            <a:ln w="0">
              <a:solidFill>
                <a:srgbClr val="8b5cf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Tables'!$A$52:$A$57</c:f>
              <c:strCache>
                <c:ptCount val="6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Cash on Delivery</c:v>
                </c:pt>
                <c:pt idx="4">
                  <c:v>Wallet</c:v>
                </c:pt>
                <c:pt idx="5">
                  <c:v>Unknown</c:v>
                </c:pt>
              </c:strCache>
            </c:strRef>
          </c:cat>
          <c:val>
            <c:numRef>
              <c:f>'Pivot Tables'!$B$52:$B$57</c:f>
              <c:numCache>
                <c:formatCode>#,##0</c:formatCode>
                <c:ptCount val="6"/>
                <c:pt idx="0">
                  <c:v>564</c:v>
                </c:pt>
                <c:pt idx="1">
                  <c:v>224</c:v>
                </c:pt>
                <c:pt idx="2">
                  <c:v>148</c:v>
                </c:pt>
                <c:pt idx="3">
                  <c:v>273</c:v>
                </c:pt>
                <c:pt idx="4">
                  <c:v>178</c:v>
                </c:pt>
                <c:pt idx="5">
                  <c:v>18</c:v>
                </c:pt>
              </c:numCache>
            </c:numRef>
          </c:val>
        </c:ser>
        <c:gapWidth val="150"/>
        <c:overlap val="0"/>
        <c:axId val="9119186"/>
        <c:axId val="96414903"/>
      </c:barChart>
      <c:catAx>
        <c:axId val="91191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14903"/>
        <c:crosses val="autoZero"/>
        <c:auto val="1"/>
        <c:lblAlgn val="ctr"/>
        <c:lblOffset val="100"/>
        <c:noMultiLvlLbl val="0"/>
      </c:catAx>
      <c:valAx>
        <c:axId val="96414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91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175680</xdr:rowOff>
    </xdr:from>
    <xdr:to>
      <xdr:col>9</xdr:col>
      <xdr:colOff>183960</xdr:colOff>
      <xdr:row>16</xdr:row>
      <xdr:rowOff>54000</xdr:rowOff>
    </xdr:to>
    <xdr:graphicFrame>
      <xdr:nvGraphicFramePr>
        <xdr:cNvPr id="0" name="Chart 1"/>
        <xdr:cNvGraphicFramePr/>
      </xdr:nvGraphicFramePr>
      <xdr:xfrm>
        <a:off x="0" y="38088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175680</xdr:rowOff>
    </xdr:from>
    <xdr:to>
      <xdr:col>19</xdr:col>
      <xdr:colOff>183960</xdr:colOff>
      <xdr:row>16</xdr:row>
      <xdr:rowOff>54000</xdr:rowOff>
    </xdr:to>
    <xdr:graphicFrame>
      <xdr:nvGraphicFramePr>
        <xdr:cNvPr id="1" name="Chart 2"/>
        <xdr:cNvGraphicFramePr/>
      </xdr:nvGraphicFramePr>
      <xdr:xfrm>
        <a:off x="6114960" y="38088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175680</xdr:rowOff>
    </xdr:from>
    <xdr:to>
      <xdr:col>9</xdr:col>
      <xdr:colOff>183960</xdr:colOff>
      <xdr:row>33</xdr:row>
      <xdr:rowOff>54000</xdr:rowOff>
    </xdr:to>
    <xdr:graphicFrame>
      <xdr:nvGraphicFramePr>
        <xdr:cNvPr id="2" name="Chart 3"/>
        <xdr:cNvGraphicFramePr/>
      </xdr:nvGraphicFramePr>
      <xdr:xfrm>
        <a:off x="0" y="361944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18</xdr:row>
      <xdr:rowOff>175680</xdr:rowOff>
    </xdr:from>
    <xdr:to>
      <xdr:col>19</xdr:col>
      <xdr:colOff>183960</xdr:colOff>
      <xdr:row>33</xdr:row>
      <xdr:rowOff>54000</xdr:rowOff>
    </xdr:to>
    <xdr:graphicFrame>
      <xdr:nvGraphicFramePr>
        <xdr:cNvPr id="3" name="Chart 4"/>
        <xdr:cNvGraphicFramePr/>
      </xdr:nvGraphicFramePr>
      <xdr:xfrm>
        <a:off x="6114960" y="361944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35</xdr:row>
      <xdr:rowOff>176040</xdr:rowOff>
    </xdr:from>
    <xdr:to>
      <xdr:col>9</xdr:col>
      <xdr:colOff>183960</xdr:colOff>
      <xdr:row>50</xdr:row>
      <xdr:rowOff>54000</xdr:rowOff>
    </xdr:to>
    <xdr:graphicFrame>
      <xdr:nvGraphicFramePr>
        <xdr:cNvPr id="4" name="Chart 5"/>
        <xdr:cNvGraphicFramePr/>
      </xdr:nvGraphicFramePr>
      <xdr:xfrm>
        <a:off x="0" y="685800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35</xdr:row>
      <xdr:rowOff>176040</xdr:rowOff>
    </xdr:from>
    <xdr:to>
      <xdr:col>19</xdr:col>
      <xdr:colOff>183960</xdr:colOff>
      <xdr:row>50</xdr:row>
      <xdr:rowOff>54000</xdr:rowOff>
    </xdr:to>
    <xdr:graphicFrame>
      <xdr:nvGraphicFramePr>
        <xdr:cNvPr id="5" name="Chart 6"/>
        <xdr:cNvGraphicFramePr/>
      </xdr:nvGraphicFramePr>
      <xdr:xfrm>
        <a:off x="6114960" y="685800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52</xdr:row>
      <xdr:rowOff>176040</xdr:rowOff>
    </xdr:from>
    <xdr:to>
      <xdr:col>9</xdr:col>
      <xdr:colOff>183960</xdr:colOff>
      <xdr:row>67</xdr:row>
      <xdr:rowOff>54000</xdr:rowOff>
    </xdr:to>
    <xdr:graphicFrame>
      <xdr:nvGraphicFramePr>
        <xdr:cNvPr id="6" name="Chart 7"/>
        <xdr:cNvGraphicFramePr/>
      </xdr:nvGraphicFramePr>
      <xdr:xfrm>
        <a:off x="0" y="1009656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52</xdr:row>
      <xdr:rowOff>176040</xdr:rowOff>
    </xdr:from>
    <xdr:to>
      <xdr:col>19</xdr:col>
      <xdr:colOff>183960</xdr:colOff>
      <xdr:row>67</xdr:row>
      <xdr:rowOff>54000</xdr:rowOff>
    </xdr:to>
    <xdr:graphicFrame>
      <xdr:nvGraphicFramePr>
        <xdr:cNvPr id="7" name="Chart 8"/>
        <xdr:cNvGraphicFramePr/>
      </xdr:nvGraphicFramePr>
      <xdr:xfrm>
        <a:off x="6114960" y="1009656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542520</xdr:colOff>
      <xdr:row>25</xdr:row>
      <xdr:rowOff>68760</xdr:rowOff>
    </xdr:to>
    <xdr:graphicFrame>
      <xdr:nvGraphicFramePr>
        <xdr:cNvPr id="8" name="Chart 1"/>
        <xdr:cNvGraphicFramePr/>
      </xdr:nvGraphicFramePr>
      <xdr:xfrm>
        <a:off x="141120" y="232416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12</xdr:col>
      <xdr:colOff>753480</xdr:colOff>
      <xdr:row>25</xdr:row>
      <xdr:rowOff>68760</xdr:rowOff>
    </xdr:to>
    <xdr:graphicFrame>
      <xdr:nvGraphicFramePr>
        <xdr:cNvPr id="9" name="Chart 2"/>
        <xdr:cNvGraphicFramePr/>
      </xdr:nvGraphicFramePr>
      <xdr:xfrm>
        <a:off x="6273000" y="232416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542520</xdr:colOff>
      <xdr:row>42</xdr:row>
      <xdr:rowOff>68760</xdr:rowOff>
    </xdr:to>
    <xdr:graphicFrame>
      <xdr:nvGraphicFramePr>
        <xdr:cNvPr id="10" name="Chart 3"/>
        <xdr:cNvGraphicFramePr/>
      </xdr:nvGraphicFramePr>
      <xdr:xfrm>
        <a:off x="141120" y="556272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12</xdr:col>
      <xdr:colOff>753480</xdr:colOff>
      <xdr:row>42</xdr:row>
      <xdr:rowOff>68760</xdr:rowOff>
    </xdr:to>
    <xdr:graphicFrame>
      <xdr:nvGraphicFramePr>
        <xdr:cNvPr id="11" name="Chart 4"/>
        <xdr:cNvGraphicFramePr/>
      </xdr:nvGraphicFramePr>
      <xdr:xfrm>
        <a:off x="6273000" y="556272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6</xdr:col>
      <xdr:colOff>542520</xdr:colOff>
      <xdr:row>59</xdr:row>
      <xdr:rowOff>68760</xdr:rowOff>
    </xdr:to>
    <xdr:graphicFrame>
      <xdr:nvGraphicFramePr>
        <xdr:cNvPr id="12" name="Chart 5"/>
        <xdr:cNvGraphicFramePr/>
      </xdr:nvGraphicFramePr>
      <xdr:xfrm>
        <a:off x="141120" y="880128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45</xdr:row>
      <xdr:rowOff>0</xdr:rowOff>
    </xdr:from>
    <xdr:to>
      <xdr:col>12</xdr:col>
      <xdr:colOff>753480</xdr:colOff>
      <xdr:row>59</xdr:row>
      <xdr:rowOff>68760</xdr:rowOff>
    </xdr:to>
    <xdr:graphicFrame>
      <xdr:nvGraphicFramePr>
        <xdr:cNvPr id="13" name="Chart 6"/>
        <xdr:cNvGraphicFramePr/>
      </xdr:nvGraphicFramePr>
      <xdr:xfrm>
        <a:off x="6273000" y="880128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Orders" displayName="tblOrders" ref="A1:O1489" headerRowCount="1" totalsRowCount="0" totalsRowShown="0">
  <autoFilter ref="A1:O1489"/>
  <tableColumns count="15">
    <tableColumn id="1" name="Order_ID"/>
    <tableColumn id="2" name="Order_Date"/>
    <tableColumn id="3" name="Month"/>
    <tableColumn id="4" name="Weekday"/>
    <tableColumn id="5" name="City"/>
    <tableColumn id="6" name="Cuisine"/>
    <tableColumn id="7" name="Customer_Type"/>
    <tableColumn id="8" name="Payment_Method"/>
    <tableColumn id="9" name="Order_Value"/>
    <tableColumn id="10" name="Discount"/>
    <tableColumn id="11" name="Delivery_Fee"/>
    <tableColumn id="12" name="Net_Revenue"/>
    <tableColumn id="13" name="Delivery_Time_Min"/>
    <tableColumn id="14" name="Rating"/>
    <tableColumn id="15" name="Order_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L15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5" min="4" style="0" width="14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9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2" t="n">
        <v>45951</v>
      </c>
      <c r="C2" s="3" t="s">
        <v>13</v>
      </c>
      <c r="D2" s="3" t="s">
        <v>14</v>
      </c>
      <c r="E2" s="3" t="s">
        <v>15</v>
      </c>
      <c r="F2" s="3" t="s">
        <v>16</v>
      </c>
      <c r="G2" s="0" t="n">
        <v>309</v>
      </c>
      <c r="H2" s="0" t="n">
        <v>0</v>
      </c>
      <c r="I2" s="0" t="n">
        <v>30</v>
      </c>
      <c r="J2" s="0" t="n">
        <v>28</v>
      </c>
      <c r="K2" s="0" t="n">
        <v>3.5</v>
      </c>
      <c r="L2" s="3" t="s">
        <v>17</v>
      </c>
    </row>
    <row r="3" customFormat="false" ht="15" hidden="false" customHeight="false" outlineLevel="0" collapsed="false">
      <c r="A3" s="0" t="s">
        <v>18</v>
      </c>
      <c r="B3" s="2" t="n">
        <v>45835</v>
      </c>
      <c r="C3" s="3" t="s">
        <v>19</v>
      </c>
      <c r="D3" s="3" t="s">
        <v>20</v>
      </c>
      <c r="E3" s="3" t="s">
        <v>21</v>
      </c>
      <c r="F3" s="3" t="s">
        <v>22</v>
      </c>
      <c r="G3" s="0" t="n">
        <v>517</v>
      </c>
      <c r="H3" s="0" t="n">
        <v>0</v>
      </c>
      <c r="I3" s="0" t="n">
        <v>0</v>
      </c>
      <c r="J3" s="0" t="n">
        <v>24</v>
      </c>
      <c r="K3" s="0" t="n">
        <v>4.7</v>
      </c>
      <c r="L3" s="3" t="s">
        <v>17</v>
      </c>
    </row>
    <row r="4" customFormat="false" ht="15" hidden="false" customHeight="false" outlineLevel="0" collapsed="false">
      <c r="A4" s="0" t="s">
        <v>23</v>
      </c>
      <c r="B4" s="2" t="n">
        <v>45978</v>
      </c>
      <c r="C4" s="3" t="s">
        <v>24</v>
      </c>
      <c r="D4" s="3" t="s">
        <v>25</v>
      </c>
      <c r="E4" s="3" t="s">
        <v>21</v>
      </c>
      <c r="F4" s="3" t="s">
        <v>16</v>
      </c>
      <c r="G4" s="0" t="n">
        <v>512</v>
      </c>
      <c r="H4" s="0" t="n">
        <v>0</v>
      </c>
      <c r="I4" s="0" t="n">
        <v>0</v>
      </c>
      <c r="J4" s="0" t="n">
        <v>31</v>
      </c>
      <c r="K4" s="0" t="n">
        <v>4.2</v>
      </c>
      <c r="L4" s="3" t="s">
        <v>17</v>
      </c>
    </row>
    <row r="5" customFormat="false" ht="15" hidden="false" customHeight="false" outlineLevel="0" collapsed="false">
      <c r="A5" s="0" t="s">
        <v>26</v>
      </c>
      <c r="B5" s="2" t="n">
        <v>45926</v>
      </c>
      <c r="C5" s="3" t="s">
        <v>27</v>
      </c>
      <c r="D5" s="3" t="s">
        <v>28</v>
      </c>
      <c r="E5" s="3" t="s">
        <v>21</v>
      </c>
      <c r="F5" s="3" t="s">
        <v>22</v>
      </c>
      <c r="G5" s="0" t="n">
        <v>491</v>
      </c>
      <c r="H5" s="0" t="n">
        <v>64</v>
      </c>
      <c r="I5" s="0" t="n">
        <v>20</v>
      </c>
      <c r="J5" s="0" t="n">
        <v>51</v>
      </c>
      <c r="K5" s="0" t="n">
        <v>3.2</v>
      </c>
      <c r="L5" s="3" t="s">
        <v>17</v>
      </c>
    </row>
    <row r="6" customFormat="false" ht="15" hidden="false" customHeight="false" outlineLevel="0" collapsed="false">
      <c r="A6" s="0" t="s">
        <v>29</v>
      </c>
      <c r="B6" s="2" t="n">
        <v>45699</v>
      </c>
      <c r="C6" s="3" t="s">
        <v>30</v>
      </c>
      <c r="D6" s="3" t="s">
        <v>31</v>
      </c>
      <c r="E6" s="3" t="s">
        <v>15</v>
      </c>
      <c r="F6" s="3" t="s">
        <v>22</v>
      </c>
      <c r="G6" s="0" t="n">
        <v>678</v>
      </c>
      <c r="H6" s="0" t="n">
        <v>0</v>
      </c>
      <c r="I6" s="0" t="n">
        <v>0</v>
      </c>
      <c r="J6" s="0" t="n">
        <v>31</v>
      </c>
      <c r="K6" s="0" t="n">
        <v>3.8</v>
      </c>
      <c r="L6" s="3" t="s">
        <v>17</v>
      </c>
    </row>
    <row r="7" customFormat="false" ht="15" hidden="false" customHeight="false" outlineLevel="0" collapsed="false">
      <c r="A7" s="0" t="s">
        <v>32</v>
      </c>
      <c r="B7" s="2" t="n">
        <v>46015</v>
      </c>
      <c r="C7" s="3" t="s">
        <v>27</v>
      </c>
      <c r="D7" s="3" t="s">
        <v>28</v>
      </c>
      <c r="E7" s="3" t="s">
        <v>21</v>
      </c>
      <c r="F7" s="3" t="s">
        <v>16</v>
      </c>
      <c r="G7" s="0" t="n">
        <v>540</v>
      </c>
      <c r="H7" s="0" t="n">
        <v>0</v>
      </c>
      <c r="I7" s="0" t="n">
        <v>0</v>
      </c>
      <c r="J7" s="0" t="n">
        <v>38</v>
      </c>
      <c r="K7" s="0" t="n">
        <v>3.7</v>
      </c>
      <c r="L7" s="3" t="s">
        <v>17</v>
      </c>
    </row>
    <row r="8" customFormat="false" ht="15" hidden="false" customHeight="false" outlineLevel="0" collapsed="false">
      <c r="A8" s="0" t="s">
        <v>33</v>
      </c>
      <c r="B8" s="2" t="n">
        <v>45947</v>
      </c>
      <c r="C8" s="3" t="s">
        <v>13</v>
      </c>
      <c r="D8" s="3" t="s">
        <v>20</v>
      </c>
      <c r="E8" s="3" t="s">
        <v>21</v>
      </c>
      <c r="F8" s="3" t="s">
        <v>34</v>
      </c>
      <c r="G8" s="0" t="n">
        <v>592</v>
      </c>
      <c r="H8" s="0" t="n">
        <v>0</v>
      </c>
      <c r="I8" s="0" t="n">
        <v>0</v>
      </c>
      <c r="J8" s="0" t="n">
        <v>34</v>
      </c>
      <c r="K8" s="0" t="n">
        <v>4.7</v>
      </c>
      <c r="L8" s="3" t="s">
        <v>17</v>
      </c>
    </row>
    <row r="9" customFormat="false" ht="15" hidden="false" customHeight="false" outlineLevel="0" collapsed="false">
      <c r="A9" s="0" t="s">
        <v>35</v>
      </c>
      <c r="B9" s="2" t="n">
        <v>45955</v>
      </c>
      <c r="C9" s="3" t="s">
        <v>27</v>
      </c>
      <c r="D9" s="3" t="s">
        <v>31</v>
      </c>
      <c r="E9" s="3" t="s">
        <v>15</v>
      </c>
      <c r="F9" s="3" t="s">
        <v>36</v>
      </c>
      <c r="G9" s="0" t="n">
        <v>546</v>
      </c>
      <c r="H9" s="0" t="n">
        <v>84</v>
      </c>
      <c r="I9" s="0" t="n">
        <v>0</v>
      </c>
      <c r="J9" s="0" t="n">
        <v>47</v>
      </c>
      <c r="K9" s="0" t="n">
        <v>4.6</v>
      </c>
      <c r="L9" s="3" t="s">
        <v>17</v>
      </c>
    </row>
    <row r="10" customFormat="false" ht="15" hidden="false" customHeight="false" outlineLevel="0" collapsed="false">
      <c r="A10" s="0" t="s">
        <v>37</v>
      </c>
      <c r="B10" s="2" t="n">
        <v>45713</v>
      </c>
      <c r="C10" s="3" t="s">
        <v>24</v>
      </c>
      <c r="D10" s="3" t="s">
        <v>31</v>
      </c>
      <c r="E10" s="3" t="s">
        <v>21</v>
      </c>
      <c r="F10" s="3" t="s">
        <v>36</v>
      </c>
      <c r="G10" s="0" t="n">
        <v>393</v>
      </c>
      <c r="H10" s="0" t="n">
        <v>68</v>
      </c>
      <c r="I10" s="0" t="n">
        <v>30</v>
      </c>
      <c r="J10" s="0" t="n">
        <v>34</v>
      </c>
      <c r="K10" s="0" t="n">
        <v>5</v>
      </c>
      <c r="L10" s="3" t="s">
        <v>17</v>
      </c>
    </row>
    <row r="11" customFormat="false" ht="15" hidden="false" customHeight="false" outlineLevel="0" collapsed="false">
      <c r="A11" s="0" t="s">
        <v>38</v>
      </c>
      <c r="B11" s="2" t="n">
        <v>45839</v>
      </c>
      <c r="C11" s="3" t="s">
        <v>13</v>
      </c>
      <c r="D11" s="3" t="s">
        <v>28</v>
      </c>
      <c r="E11" s="3" t="s">
        <v>15</v>
      </c>
      <c r="F11" s="3" t="s">
        <v>36</v>
      </c>
      <c r="G11" s="0" t="n">
        <v>525</v>
      </c>
      <c r="H11" s="0" t="n">
        <v>74</v>
      </c>
      <c r="I11" s="0" t="n">
        <v>0</v>
      </c>
      <c r="J11" s="0" t="n">
        <v>39</v>
      </c>
      <c r="K11" s="0" t="n">
        <v>3.4</v>
      </c>
      <c r="L11" s="3" t="s">
        <v>17</v>
      </c>
    </row>
    <row r="12" customFormat="false" ht="15" hidden="false" customHeight="false" outlineLevel="0" collapsed="false">
      <c r="A12" s="0" t="s">
        <v>39</v>
      </c>
      <c r="B12" s="2" t="n">
        <v>45809</v>
      </c>
      <c r="C12" s="3" t="s">
        <v>40</v>
      </c>
      <c r="D12" s="3" t="s">
        <v>25</v>
      </c>
      <c r="E12" s="3" t="s">
        <v>21</v>
      </c>
      <c r="G12" s="0" t="n">
        <v>412</v>
      </c>
      <c r="H12" s="0" t="n">
        <v>0</v>
      </c>
      <c r="I12" s="0" t="n">
        <v>20</v>
      </c>
      <c r="J12" s="0" t="n">
        <v>29</v>
      </c>
      <c r="K12" s="0" t="n">
        <v>3.7</v>
      </c>
      <c r="L12" s="3" t="s">
        <v>17</v>
      </c>
    </row>
    <row r="13" customFormat="false" ht="15" hidden="false" customHeight="false" outlineLevel="0" collapsed="false">
      <c r="A13" s="0" t="s">
        <v>41</v>
      </c>
      <c r="B13" s="2" t="n">
        <v>46000</v>
      </c>
      <c r="C13" s="3" t="s">
        <v>40</v>
      </c>
      <c r="D13" s="3" t="s">
        <v>14</v>
      </c>
      <c r="E13" s="3" t="s">
        <v>21</v>
      </c>
      <c r="F13" s="3" t="s">
        <v>36</v>
      </c>
      <c r="G13" s="0" t="n">
        <v>421</v>
      </c>
      <c r="H13" s="0" t="n">
        <v>98</v>
      </c>
      <c r="I13" s="0" t="n">
        <v>45</v>
      </c>
      <c r="J13" s="0" t="n">
        <v>46</v>
      </c>
      <c r="K13" s="0" t="n">
        <v>3.3</v>
      </c>
      <c r="L13" s="3" t="s">
        <v>17</v>
      </c>
    </row>
    <row r="14" customFormat="false" ht="15" hidden="false" customHeight="false" outlineLevel="0" collapsed="false">
      <c r="A14" s="0" t="s">
        <v>42</v>
      </c>
      <c r="B14" s="2" t="n">
        <v>45907</v>
      </c>
      <c r="C14" s="3" t="s">
        <v>13</v>
      </c>
      <c r="D14" s="3" t="s">
        <v>28</v>
      </c>
      <c r="E14" s="3" t="s">
        <v>21</v>
      </c>
      <c r="F14" s="3" t="s">
        <v>22</v>
      </c>
      <c r="G14" s="0" t="n">
        <v>430</v>
      </c>
      <c r="H14" s="0" t="n">
        <v>0</v>
      </c>
      <c r="I14" s="0" t="n">
        <v>20</v>
      </c>
      <c r="J14" s="0" t="n">
        <v>33</v>
      </c>
      <c r="K14" s="0" t="n">
        <v>5</v>
      </c>
      <c r="L14" s="3" t="s">
        <v>17</v>
      </c>
    </row>
    <row r="15" customFormat="false" ht="15" hidden="false" customHeight="false" outlineLevel="0" collapsed="false">
      <c r="A15" s="0" t="s">
        <v>43</v>
      </c>
      <c r="B15" s="2" t="n">
        <v>45967</v>
      </c>
      <c r="C15" s="3" t="s">
        <v>13</v>
      </c>
      <c r="D15" s="3" t="s">
        <v>28</v>
      </c>
      <c r="E15" s="3" t="s">
        <v>15</v>
      </c>
      <c r="F15" s="3" t="s">
        <v>34</v>
      </c>
      <c r="G15" s="0" t="n">
        <v>268</v>
      </c>
      <c r="H15" s="0" t="n">
        <v>38</v>
      </c>
      <c r="I15" s="0" t="n">
        <v>20</v>
      </c>
      <c r="J15" s="0" t="n">
        <v>33</v>
      </c>
      <c r="K15" s="0" t="n">
        <v>4.5</v>
      </c>
      <c r="L15" s="3" t="s">
        <v>17</v>
      </c>
    </row>
    <row r="16" customFormat="false" ht="15" hidden="false" customHeight="false" outlineLevel="0" collapsed="false">
      <c r="A16" s="0" t="s">
        <v>44</v>
      </c>
      <c r="B16" s="2" t="n">
        <v>45836</v>
      </c>
      <c r="C16" s="3" t="s">
        <v>45</v>
      </c>
      <c r="D16" s="3" t="s">
        <v>25</v>
      </c>
      <c r="E16" s="3" t="s">
        <v>15</v>
      </c>
      <c r="F16" s="3" t="s">
        <v>22</v>
      </c>
      <c r="G16" s="0" t="n">
        <v>366</v>
      </c>
      <c r="H16" s="0" t="n">
        <v>40</v>
      </c>
      <c r="I16" s="0" t="n">
        <v>45</v>
      </c>
      <c r="J16" s="0" t="n">
        <v>25</v>
      </c>
      <c r="K16" s="0" t="n">
        <v>4.6</v>
      </c>
      <c r="L16" s="3" t="s">
        <v>17</v>
      </c>
    </row>
    <row r="17" customFormat="false" ht="15" hidden="false" customHeight="false" outlineLevel="0" collapsed="false">
      <c r="A17" s="0" t="s">
        <v>46</v>
      </c>
      <c r="B17" s="2" t="n">
        <v>45754</v>
      </c>
      <c r="C17" s="3" t="s">
        <v>47</v>
      </c>
      <c r="D17" s="3" t="s">
        <v>28</v>
      </c>
      <c r="E17" s="3" t="s">
        <v>15</v>
      </c>
      <c r="F17" s="3" t="s">
        <v>22</v>
      </c>
      <c r="G17" s="0" t="n">
        <v>337</v>
      </c>
      <c r="H17" s="0" t="n">
        <v>41</v>
      </c>
      <c r="I17" s="0" t="n">
        <v>30</v>
      </c>
      <c r="J17" s="0" t="n">
        <v>27</v>
      </c>
      <c r="K17" s="0" t="n">
        <v>4.6</v>
      </c>
      <c r="L17" s="3" t="s">
        <v>17</v>
      </c>
    </row>
    <row r="18" customFormat="false" ht="15" hidden="false" customHeight="false" outlineLevel="0" collapsed="false">
      <c r="A18" s="0" t="s">
        <v>48</v>
      </c>
      <c r="B18" s="2" t="n">
        <v>45877</v>
      </c>
      <c r="C18" s="3" t="s">
        <v>40</v>
      </c>
      <c r="D18" s="3" t="s">
        <v>49</v>
      </c>
      <c r="E18" s="3" t="s">
        <v>21</v>
      </c>
      <c r="F18" s="3" t="s">
        <v>22</v>
      </c>
      <c r="G18" s="0" t="n">
        <v>379</v>
      </c>
      <c r="H18" s="0" t="n">
        <v>70</v>
      </c>
      <c r="I18" s="0" t="n">
        <v>40</v>
      </c>
      <c r="J18" s="0" t="n">
        <v>26</v>
      </c>
      <c r="K18" s="0" t="n">
        <v>4.5</v>
      </c>
      <c r="L18" s="3" t="s">
        <v>17</v>
      </c>
    </row>
    <row r="19" customFormat="false" ht="15" hidden="false" customHeight="false" outlineLevel="0" collapsed="false">
      <c r="A19" s="0" t="s">
        <v>50</v>
      </c>
      <c r="B19" s="2" t="n">
        <v>45686</v>
      </c>
      <c r="C19" s="3" t="s">
        <v>51</v>
      </c>
      <c r="D19" s="3" t="s">
        <v>31</v>
      </c>
      <c r="E19" s="3" t="s">
        <v>15</v>
      </c>
      <c r="F19" s="3" t="s">
        <v>36</v>
      </c>
      <c r="G19" s="0" t="n">
        <v>540</v>
      </c>
      <c r="H19" s="0" t="n">
        <v>0</v>
      </c>
      <c r="I19" s="0" t="n">
        <v>0</v>
      </c>
      <c r="J19" s="0" t="n">
        <v>30</v>
      </c>
      <c r="K19" s="0" t="n">
        <v>3.8</v>
      </c>
      <c r="L19" s="3" t="s">
        <v>17</v>
      </c>
    </row>
    <row r="20" customFormat="false" ht="15" hidden="false" customHeight="false" outlineLevel="0" collapsed="false">
      <c r="A20" s="0" t="s">
        <v>52</v>
      </c>
      <c r="B20" s="2" t="n">
        <v>45968</v>
      </c>
      <c r="C20" s="3" t="s">
        <v>40</v>
      </c>
      <c r="D20" s="3" t="s">
        <v>25</v>
      </c>
      <c r="E20" s="3" t="s">
        <v>21</v>
      </c>
      <c r="F20" s="3" t="s">
        <v>36</v>
      </c>
      <c r="G20" s="0" t="n">
        <v>566</v>
      </c>
      <c r="H20" s="0" t="n">
        <v>0</v>
      </c>
      <c r="I20" s="0" t="n">
        <v>0</v>
      </c>
      <c r="J20" s="0" t="n">
        <v>42</v>
      </c>
      <c r="K20" s="0" t="n">
        <v>4.4</v>
      </c>
      <c r="L20" s="3" t="s">
        <v>17</v>
      </c>
    </row>
    <row r="21" customFormat="false" ht="15" hidden="false" customHeight="false" outlineLevel="0" collapsed="false">
      <c r="A21" s="0" t="s">
        <v>53</v>
      </c>
      <c r="B21" s="2" t="n">
        <v>45903</v>
      </c>
      <c r="C21" s="3" t="s">
        <v>40</v>
      </c>
      <c r="D21" s="3" t="s">
        <v>25</v>
      </c>
      <c r="E21" s="3" t="s">
        <v>15</v>
      </c>
      <c r="F21" s="3" t="s">
        <v>54</v>
      </c>
      <c r="G21" s="0" t="n">
        <v>315</v>
      </c>
      <c r="H21" s="0" t="n">
        <v>40</v>
      </c>
      <c r="I21" s="0" t="n">
        <v>30</v>
      </c>
      <c r="J21" s="0" t="n">
        <v>31</v>
      </c>
      <c r="K21" s="0" t="n">
        <v>4.3</v>
      </c>
      <c r="L21" s="3" t="s">
        <v>17</v>
      </c>
    </row>
    <row r="22" customFormat="false" ht="15" hidden="false" customHeight="false" outlineLevel="0" collapsed="false">
      <c r="A22" s="0" t="s">
        <v>55</v>
      </c>
      <c r="B22" s="2" t="n">
        <v>45946</v>
      </c>
      <c r="C22" s="3" t="s">
        <v>24</v>
      </c>
      <c r="D22" s="3" t="s">
        <v>56</v>
      </c>
      <c r="E22" s="3" t="s">
        <v>15</v>
      </c>
      <c r="F22" s="3" t="s">
        <v>54</v>
      </c>
      <c r="G22" s="0" t="n">
        <v>315</v>
      </c>
      <c r="H22" s="0" t="n">
        <v>47</v>
      </c>
      <c r="I22" s="0" t="n">
        <v>30</v>
      </c>
      <c r="J22" s="0" t="n">
        <v>25</v>
      </c>
      <c r="K22" s="0" t="n">
        <v>3.9</v>
      </c>
      <c r="L22" s="3" t="s">
        <v>17</v>
      </c>
    </row>
    <row r="23" customFormat="false" ht="15" hidden="false" customHeight="false" outlineLevel="0" collapsed="false">
      <c r="A23" s="0" t="s">
        <v>57</v>
      </c>
      <c r="B23" s="2" t="n">
        <v>45803</v>
      </c>
      <c r="C23" s="3" t="s">
        <v>27</v>
      </c>
      <c r="D23" s="3" t="s">
        <v>28</v>
      </c>
      <c r="E23" s="3" t="s">
        <v>58</v>
      </c>
      <c r="F23" s="3" t="s">
        <v>54</v>
      </c>
      <c r="G23" s="0" t="n">
        <v>358</v>
      </c>
      <c r="H23" s="0" t="n">
        <v>0</v>
      </c>
      <c r="I23" s="0" t="n">
        <v>45</v>
      </c>
      <c r="J23" s="0" t="n">
        <v>36</v>
      </c>
      <c r="K23" s="0" t="n">
        <v>4.5</v>
      </c>
      <c r="L23" s="3" t="s">
        <v>17</v>
      </c>
    </row>
    <row r="24" customFormat="false" ht="15" hidden="false" customHeight="false" outlineLevel="0" collapsed="false">
      <c r="A24" s="0" t="s">
        <v>59</v>
      </c>
      <c r="B24" s="2" t="n">
        <v>46013</v>
      </c>
      <c r="C24" s="3" t="s">
        <v>60</v>
      </c>
      <c r="D24" s="3" t="s">
        <v>56</v>
      </c>
      <c r="E24" s="3" t="s">
        <v>21</v>
      </c>
      <c r="F24" s="3" t="s">
        <v>22</v>
      </c>
      <c r="G24" s="0" t="n">
        <v>220</v>
      </c>
      <c r="H24" s="0" t="n">
        <v>0</v>
      </c>
      <c r="I24" s="0" t="n">
        <v>40</v>
      </c>
      <c r="J24" s="0" t="n">
        <v>27</v>
      </c>
      <c r="K24" s="0" t="n">
        <v>4.3</v>
      </c>
      <c r="L24" s="3" t="s">
        <v>17</v>
      </c>
    </row>
    <row r="25" customFormat="false" ht="15" hidden="false" customHeight="false" outlineLevel="0" collapsed="false">
      <c r="A25" s="0" t="s">
        <v>61</v>
      </c>
      <c r="B25" s="2" t="n">
        <v>45989</v>
      </c>
      <c r="C25" s="3" t="s">
        <v>30</v>
      </c>
      <c r="D25" s="3" t="s">
        <v>20</v>
      </c>
      <c r="E25" s="3" t="s">
        <v>21</v>
      </c>
      <c r="F25" s="3" t="s">
        <v>54</v>
      </c>
      <c r="G25" s="0" t="n">
        <v>739</v>
      </c>
      <c r="H25" s="0" t="n">
        <v>0</v>
      </c>
      <c r="I25" s="0" t="n">
        <v>0</v>
      </c>
      <c r="J25" s="0" t="n">
        <v>29</v>
      </c>
      <c r="K25" s="0" t="n">
        <v>4.5</v>
      </c>
      <c r="L25" s="3" t="s">
        <v>17</v>
      </c>
    </row>
    <row r="26" customFormat="false" ht="15" hidden="false" customHeight="false" outlineLevel="0" collapsed="false">
      <c r="A26" s="0" t="s">
        <v>62</v>
      </c>
      <c r="B26" s="2" t="n">
        <v>45952</v>
      </c>
      <c r="C26" s="3" t="s">
        <v>63</v>
      </c>
      <c r="D26" s="3" t="s">
        <v>25</v>
      </c>
      <c r="E26" s="3" t="s">
        <v>21</v>
      </c>
      <c r="F26" s="3" t="s">
        <v>36</v>
      </c>
      <c r="G26" s="0" t="n">
        <v>411</v>
      </c>
      <c r="H26" s="0" t="n">
        <v>0</v>
      </c>
      <c r="I26" s="0" t="n">
        <v>45</v>
      </c>
      <c r="J26" s="0" t="n">
        <v>32</v>
      </c>
      <c r="K26" s="0" t="n">
        <v>4.3</v>
      </c>
      <c r="L26" s="3" t="s">
        <v>17</v>
      </c>
    </row>
    <row r="27" customFormat="false" ht="15" hidden="false" customHeight="false" outlineLevel="0" collapsed="false">
      <c r="A27" s="0" t="s">
        <v>64</v>
      </c>
      <c r="B27" s="2" t="n">
        <v>45741</v>
      </c>
      <c r="C27" s="3" t="s">
        <v>40</v>
      </c>
      <c r="D27" s="3" t="s">
        <v>31</v>
      </c>
      <c r="E27" s="3" t="s">
        <v>21</v>
      </c>
      <c r="F27" s="3" t="s">
        <v>54</v>
      </c>
      <c r="G27" s="0" t="n">
        <v>455</v>
      </c>
      <c r="H27" s="0" t="n">
        <v>70</v>
      </c>
      <c r="I27" s="0" t="n">
        <v>30</v>
      </c>
      <c r="J27" s="0" t="n">
        <v>45</v>
      </c>
      <c r="K27" s="0" t="n">
        <v>4.5</v>
      </c>
      <c r="L27" s="3" t="s">
        <v>17</v>
      </c>
    </row>
    <row r="28" customFormat="false" ht="15" hidden="false" customHeight="false" outlineLevel="0" collapsed="false">
      <c r="A28" s="0" t="s">
        <v>65</v>
      </c>
      <c r="B28" s="0" t="s">
        <v>66</v>
      </c>
      <c r="C28" s="0" t="s">
        <v>47</v>
      </c>
      <c r="D28" s="0" t="s">
        <v>25</v>
      </c>
      <c r="E28" s="0" t="s">
        <v>21</v>
      </c>
      <c r="F28" s="0" t="s">
        <v>22</v>
      </c>
      <c r="G28" s="0" t="n">
        <v>382</v>
      </c>
      <c r="H28" s="0" t="n">
        <v>46</v>
      </c>
      <c r="I28" s="0" t="n">
        <v>45</v>
      </c>
      <c r="J28" s="0" t="n">
        <v>45</v>
      </c>
      <c r="K28" s="0" t="n">
        <v>4.1</v>
      </c>
      <c r="L28" s="0" t="s">
        <v>17</v>
      </c>
    </row>
    <row r="29" customFormat="false" ht="15" hidden="false" customHeight="false" outlineLevel="0" collapsed="false">
      <c r="A29" s="0" t="s">
        <v>67</v>
      </c>
      <c r="B29" s="2" t="n">
        <v>45677</v>
      </c>
      <c r="C29" s="3" t="s">
        <v>27</v>
      </c>
      <c r="D29" s="3" t="s">
        <v>14</v>
      </c>
      <c r="E29" s="3" t="s">
        <v>21</v>
      </c>
      <c r="F29" s="3" t="s">
        <v>22</v>
      </c>
      <c r="G29" s="0" t="n">
        <v>367</v>
      </c>
      <c r="H29" s="0" t="n">
        <v>0</v>
      </c>
      <c r="I29" s="0" t="n">
        <v>40</v>
      </c>
      <c r="L29" s="3" t="s">
        <v>68</v>
      </c>
    </row>
    <row r="30" customFormat="false" ht="15" hidden="false" customHeight="false" outlineLevel="0" collapsed="false">
      <c r="A30" s="0" t="s">
        <v>69</v>
      </c>
      <c r="B30" s="2" t="n">
        <v>45724</v>
      </c>
      <c r="C30" s="3" t="s">
        <v>40</v>
      </c>
      <c r="D30" s="3" t="s">
        <v>20</v>
      </c>
      <c r="E30" s="3" t="s">
        <v>15</v>
      </c>
      <c r="F30" s="3" t="s">
        <v>54</v>
      </c>
      <c r="G30" s="0" t="n">
        <v>617</v>
      </c>
      <c r="H30" s="0" t="n">
        <v>0</v>
      </c>
      <c r="I30" s="0" t="n">
        <v>0</v>
      </c>
      <c r="J30" s="0" t="n">
        <v>27</v>
      </c>
      <c r="K30" s="0" t="n">
        <v>4.6</v>
      </c>
      <c r="L30" s="3" t="s">
        <v>17</v>
      </c>
    </row>
    <row r="31" customFormat="false" ht="15" hidden="false" customHeight="false" outlineLevel="0" collapsed="false">
      <c r="A31" s="0" t="s">
        <v>70</v>
      </c>
      <c r="B31" s="2" t="n">
        <v>45920</v>
      </c>
      <c r="C31" s="3" t="s">
        <v>71</v>
      </c>
      <c r="D31" s="3" t="s">
        <v>56</v>
      </c>
      <c r="E31" s="3" t="s">
        <v>21</v>
      </c>
      <c r="F31" s="3" t="s">
        <v>22</v>
      </c>
      <c r="G31" s="0" t="n">
        <v>454</v>
      </c>
      <c r="H31" s="0" t="n">
        <v>0</v>
      </c>
      <c r="I31" s="0" t="n">
        <v>30</v>
      </c>
      <c r="L31" s="3" t="s">
        <v>68</v>
      </c>
    </row>
    <row r="32" customFormat="false" ht="15" hidden="false" customHeight="false" outlineLevel="0" collapsed="false">
      <c r="A32" s="0" t="s">
        <v>72</v>
      </c>
      <c r="B32" s="2" t="n">
        <v>45941</v>
      </c>
      <c r="C32" s="3" t="s">
        <v>24</v>
      </c>
      <c r="D32" s="3" t="s">
        <v>28</v>
      </c>
      <c r="E32" s="3" t="s">
        <v>21</v>
      </c>
      <c r="F32" s="3" t="s">
        <v>22</v>
      </c>
      <c r="G32" s="0" t="n">
        <v>374</v>
      </c>
      <c r="H32" s="0" t="n">
        <v>43</v>
      </c>
      <c r="I32" s="0" t="n">
        <v>40</v>
      </c>
      <c r="J32" s="0" t="n">
        <v>41</v>
      </c>
      <c r="K32" s="0" t="n">
        <v>4.4</v>
      </c>
      <c r="L32" s="3" t="s">
        <v>17</v>
      </c>
    </row>
    <row r="33" customFormat="false" ht="15" hidden="false" customHeight="false" outlineLevel="0" collapsed="false">
      <c r="A33" s="0" t="s">
        <v>73</v>
      </c>
      <c r="B33" s="2" t="n">
        <v>46012</v>
      </c>
      <c r="C33" s="3" t="s">
        <v>40</v>
      </c>
      <c r="D33" s="3" t="s">
        <v>31</v>
      </c>
      <c r="E33" s="3" t="s">
        <v>15</v>
      </c>
      <c r="F33" s="3" t="s">
        <v>16</v>
      </c>
      <c r="G33" s="0" t="n">
        <v>351</v>
      </c>
      <c r="H33" s="0" t="n">
        <v>67</v>
      </c>
      <c r="I33" s="0" t="n">
        <v>20</v>
      </c>
      <c r="J33" s="0" t="n">
        <v>35</v>
      </c>
      <c r="K33" s="0" t="n">
        <v>4.8</v>
      </c>
      <c r="L33" s="3" t="s">
        <v>17</v>
      </c>
    </row>
    <row r="34" customFormat="false" ht="15" hidden="false" customHeight="false" outlineLevel="0" collapsed="false">
      <c r="A34" s="0" t="s">
        <v>74</v>
      </c>
      <c r="B34" s="2" t="n">
        <v>45793</v>
      </c>
      <c r="C34" s="3" t="s">
        <v>27</v>
      </c>
      <c r="D34" s="3" t="s">
        <v>25</v>
      </c>
      <c r="E34" s="3" t="s">
        <v>21</v>
      </c>
      <c r="F34" s="3" t="s">
        <v>22</v>
      </c>
      <c r="H34" s="0" t="n">
        <v>0</v>
      </c>
      <c r="I34" s="0" t="n">
        <v>20</v>
      </c>
      <c r="J34" s="0" t="n">
        <v>48</v>
      </c>
      <c r="K34" s="0" t="n">
        <v>3.6</v>
      </c>
      <c r="L34" s="3" t="s">
        <v>17</v>
      </c>
    </row>
    <row r="35" customFormat="false" ht="15" hidden="false" customHeight="false" outlineLevel="0" collapsed="false">
      <c r="A35" s="0" t="s">
        <v>75</v>
      </c>
      <c r="B35" s="2" t="n">
        <v>45809</v>
      </c>
      <c r="C35" s="3" t="s">
        <v>76</v>
      </c>
      <c r="D35" s="3" t="s">
        <v>25</v>
      </c>
      <c r="E35" s="3" t="s">
        <v>21</v>
      </c>
      <c r="F35" s="3" t="s">
        <v>22</v>
      </c>
      <c r="G35" s="0" t="n">
        <v>518</v>
      </c>
      <c r="H35" s="0" t="n">
        <v>58</v>
      </c>
      <c r="I35" s="0" t="n">
        <v>0</v>
      </c>
      <c r="J35" s="0" t="n">
        <v>34</v>
      </c>
      <c r="K35" s="0" t="n">
        <v>4.6</v>
      </c>
      <c r="L35" s="3" t="s">
        <v>17</v>
      </c>
    </row>
    <row r="36" customFormat="false" ht="15" hidden="false" customHeight="false" outlineLevel="0" collapsed="false">
      <c r="A36" s="0" t="s">
        <v>77</v>
      </c>
      <c r="B36" s="2" t="n">
        <v>45846</v>
      </c>
      <c r="C36" s="3" t="s">
        <v>40</v>
      </c>
      <c r="D36" s="3" t="s">
        <v>78</v>
      </c>
      <c r="E36" s="3" t="s">
        <v>21</v>
      </c>
      <c r="F36" s="3" t="s">
        <v>54</v>
      </c>
      <c r="G36" s="0" t="n">
        <v>417</v>
      </c>
      <c r="H36" s="0" t="n">
        <v>0</v>
      </c>
      <c r="I36" s="0" t="n">
        <v>40</v>
      </c>
      <c r="J36" s="0" t="n">
        <v>49</v>
      </c>
      <c r="K36" s="0" t="n">
        <v>3.1</v>
      </c>
      <c r="L36" s="3" t="s">
        <v>17</v>
      </c>
    </row>
    <row r="37" customFormat="false" ht="15" hidden="false" customHeight="false" outlineLevel="0" collapsed="false">
      <c r="A37" s="0" t="s">
        <v>79</v>
      </c>
      <c r="B37" s="2" t="n">
        <v>45738</v>
      </c>
      <c r="C37" s="3" t="s">
        <v>27</v>
      </c>
      <c r="D37" s="3" t="s">
        <v>28</v>
      </c>
      <c r="E37" s="3" t="s">
        <v>15</v>
      </c>
      <c r="F37" s="3" t="s">
        <v>54</v>
      </c>
      <c r="G37" s="0" t="n">
        <v>312</v>
      </c>
      <c r="H37" s="0" t="n">
        <v>0</v>
      </c>
      <c r="I37" s="0" t="n">
        <v>30</v>
      </c>
      <c r="J37" s="0" t="n">
        <v>49</v>
      </c>
      <c r="K37" s="0" t="n">
        <v>3.9</v>
      </c>
      <c r="L37" s="3" t="s">
        <v>17</v>
      </c>
    </row>
    <row r="38" customFormat="false" ht="15" hidden="false" customHeight="false" outlineLevel="0" collapsed="false">
      <c r="A38" s="0" t="s">
        <v>80</v>
      </c>
      <c r="B38" s="2" t="n">
        <v>45714</v>
      </c>
      <c r="C38" s="3" t="s">
        <v>30</v>
      </c>
      <c r="D38" s="3" t="s">
        <v>20</v>
      </c>
      <c r="E38" s="3" t="s">
        <v>21</v>
      </c>
      <c r="F38" s="3" t="s">
        <v>54</v>
      </c>
      <c r="G38" s="0" t="n">
        <v>750</v>
      </c>
      <c r="H38" s="0" t="n">
        <v>183</v>
      </c>
      <c r="I38" s="0" t="n">
        <v>0</v>
      </c>
      <c r="J38" s="0" t="n">
        <v>38</v>
      </c>
      <c r="K38" s="0" t="n">
        <v>4.1</v>
      </c>
      <c r="L38" s="3" t="s">
        <v>17</v>
      </c>
    </row>
    <row r="39" customFormat="false" ht="15" hidden="false" customHeight="false" outlineLevel="0" collapsed="false">
      <c r="A39" s="0" t="s">
        <v>81</v>
      </c>
      <c r="B39" s="2" t="n">
        <v>45848</v>
      </c>
      <c r="C39" s="3" t="s">
        <v>13</v>
      </c>
      <c r="D39" s="3" t="s">
        <v>31</v>
      </c>
      <c r="E39" s="3" t="s">
        <v>21</v>
      </c>
      <c r="F39" s="3" t="s">
        <v>22</v>
      </c>
      <c r="G39" s="0" t="n">
        <v>508</v>
      </c>
      <c r="H39" s="0" t="n">
        <v>0</v>
      </c>
      <c r="I39" s="0" t="n">
        <v>0</v>
      </c>
      <c r="J39" s="0" t="n">
        <v>30</v>
      </c>
      <c r="K39" s="0" t="n">
        <v>5</v>
      </c>
      <c r="L39" s="3" t="s">
        <v>17</v>
      </c>
    </row>
    <row r="40" customFormat="false" ht="15" hidden="false" customHeight="false" outlineLevel="0" collapsed="false">
      <c r="A40" s="0" t="s">
        <v>82</v>
      </c>
      <c r="B40" s="2" t="n">
        <v>45753</v>
      </c>
      <c r="C40" s="3" t="s">
        <v>30</v>
      </c>
      <c r="D40" s="3" t="s">
        <v>31</v>
      </c>
      <c r="E40" s="3" t="s">
        <v>15</v>
      </c>
      <c r="F40" s="3" t="s">
        <v>22</v>
      </c>
      <c r="G40" s="0" t="n">
        <v>475</v>
      </c>
      <c r="H40" s="0" t="n">
        <v>78</v>
      </c>
      <c r="I40" s="0" t="n">
        <v>30</v>
      </c>
      <c r="J40" s="0" t="n">
        <v>30</v>
      </c>
      <c r="L40" s="3" t="s">
        <v>17</v>
      </c>
    </row>
    <row r="41" customFormat="false" ht="15" hidden="false" customHeight="false" outlineLevel="0" collapsed="false">
      <c r="A41" s="0" t="s">
        <v>83</v>
      </c>
      <c r="B41" s="2" t="n">
        <v>45916</v>
      </c>
      <c r="C41" s="3" t="s">
        <v>27</v>
      </c>
      <c r="D41" s="3" t="s">
        <v>20</v>
      </c>
      <c r="E41" s="3" t="s">
        <v>21</v>
      </c>
      <c r="F41" s="3" t="s">
        <v>16</v>
      </c>
      <c r="G41" s="0" t="n">
        <v>832</v>
      </c>
      <c r="H41" s="0" t="n">
        <v>0</v>
      </c>
      <c r="I41" s="0" t="n">
        <v>0</v>
      </c>
      <c r="J41" s="0" t="n">
        <v>40</v>
      </c>
      <c r="K41" s="0" t="n">
        <v>4.5</v>
      </c>
      <c r="L41" s="3" t="s">
        <v>17</v>
      </c>
    </row>
    <row r="42" customFormat="false" ht="15" hidden="false" customHeight="false" outlineLevel="0" collapsed="false">
      <c r="A42" s="0" t="s">
        <v>84</v>
      </c>
      <c r="B42" s="2" t="n">
        <v>45834</v>
      </c>
      <c r="C42" s="3" t="s">
        <v>30</v>
      </c>
      <c r="D42" s="3" t="s">
        <v>56</v>
      </c>
      <c r="E42" s="3" t="s">
        <v>15</v>
      </c>
      <c r="F42" s="3" t="s">
        <v>16</v>
      </c>
      <c r="G42" s="0" t="n">
        <v>416</v>
      </c>
      <c r="H42" s="0" t="n">
        <v>94</v>
      </c>
      <c r="I42" s="0" t="n">
        <v>40</v>
      </c>
      <c r="J42" s="0" t="n">
        <v>20</v>
      </c>
      <c r="K42" s="0" t="n">
        <v>3.8</v>
      </c>
      <c r="L42" s="3" t="s">
        <v>17</v>
      </c>
    </row>
    <row r="43" customFormat="false" ht="15" hidden="false" customHeight="false" outlineLevel="0" collapsed="false">
      <c r="A43" s="0" t="s">
        <v>85</v>
      </c>
      <c r="B43" s="2" t="n">
        <v>45970</v>
      </c>
      <c r="C43" s="3" t="s">
        <v>24</v>
      </c>
      <c r="D43" s="3" t="s">
        <v>49</v>
      </c>
      <c r="E43" s="3" t="s">
        <v>15</v>
      </c>
      <c r="F43" s="3" t="s">
        <v>22</v>
      </c>
      <c r="G43" s="0" t="n">
        <v>356</v>
      </c>
      <c r="H43" s="0" t="n">
        <v>55</v>
      </c>
      <c r="I43" s="0" t="n">
        <v>40</v>
      </c>
      <c r="J43" s="0" t="n">
        <v>46</v>
      </c>
      <c r="K43" s="0" t="n">
        <v>3.8</v>
      </c>
      <c r="L43" s="3" t="s">
        <v>17</v>
      </c>
    </row>
    <row r="44" customFormat="false" ht="15" hidden="false" customHeight="false" outlineLevel="0" collapsed="false">
      <c r="A44" s="0" t="s">
        <v>86</v>
      </c>
      <c r="B44" s="2" t="n">
        <v>45926</v>
      </c>
      <c r="C44" s="3" t="s">
        <v>24</v>
      </c>
      <c r="D44" s="3" t="s">
        <v>28</v>
      </c>
      <c r="E44" s="3" t="s">
        <v>21</v>
      </c>
      <c r="F44" s="3" t="s">
        <v>36</v>
      </c>
      <c r="G44" s="0" t="n">
        <v>371</v>
      </c>
      <c r="H44" s="0" t="n">
        <v>46</v>
      </c>
      <c r="I44" s="0" t="n">
        <v>20</v>
      </c>
      <c r="J44" s="0" t="n">
        <v>41</v>
      </c>
      <c r="K44" s="0" t="n">
        <v>3.7</v>
      </c>
      <c r="L44" s="3" t="s">
        <v>17</v>
      </c>
    </row>
    <row r="45" customFormat="false" ht="15" hidden="false" customHeight="false" outlineLevel="0" collapsed="false">
      <c r="A45" s="0" t="s">
        <v>87</v>
      </c>
      <c r="B45" s="2" t="n">
        <v>45787</v>
      </c>
      <c r="C45" s="3" t="s">
        <v>40</v>
      </c>
      <c r="D45" s="3" t="s">
        <v>56</v>
      </c>
      <c r="E45" s="3" t="s">
        <v>21</v>
      </c>
      <c r="F45" s="3" t="s">
        <v>54</v>
      </c>
      <c r="G45" s="0" t="n">
        <v>409</v>
      </c>
      <c r="H45" s="0" t="n">
        <v>75</v>
      </c>
      <c r="I45" s="0" t="n">
        <v>30</v>
      </c>
      <c r="J45" s="0" t="n">
        <v>36</v>
      </c>
      <c r="K45" s="0" t="n">
        <v>5</v>
      </c>
      <c r="L45" s="3" t="s">
        <v>17</v>
      </c>
    </row>
    <row r="46" customFormat="false" ht="15" hidden="false" customHeight="false" outlineLevel="0" collapsed="false">
      <c r="A46" s="0" t="s">
        <v>88</v>
      </c>
      <c r="B46" s="2" t="n">
        <v>45970</v>
      </c>
      <c r="C46" s="3" t="s">
        <v>27</v>
      </c>
      <c r="D46" s="3" t="s">
        <v>28</v>
      </c>
      <c r="E46" s="3" t="s">
        <v>21</v>
      </c>
      <c r="F46" s="3" t="s">
        <v>16</v>
      </c>
      <c r="G46" s="0" t="n">
        <v>342</v>
      </c>
      <c r="H46" s="0" t="n">
        <v>59</v>
      </c>
      <c r="I46" s="0" t="n">
        <v>20</v>
      </c>
      <c r="J46" s="0" t="n">
        <v>51</v>
      </c>
      <c r="K46" s="0" t="n">
        <v>3.5</v>
      </c>
      <c r="L46" s="3" t="s">
        <v>17</v>
      </c>
    </row>
    <row r="47" customFormat="false" ht="15" hidden="false" customHeight="false" outlineLevel="0" collapsed="false">
      <c r="A47" s="0" t="s">
        <v>89</v>
      </c>
      <c r="B47" s="0" t="s">
        <v>90</v>
      </c>
      <c r="C47" s="0" t="s">
        <v>24</v>
      </c>
      <c r="D47" s="0" t="s">
        <v>78</v>
      </c>
      <c r="E47" s="0" t="s">
        <v>15</v>
      </c>
      <c r="F47" s="0" t="s">
        <v>22</v>
      </c>
      <c r="G47" s="0" t="n">
        <v>466</v>
      </c>
      <c r="H47" s="0" t="n">
        <v>0</v>
      </c>
      <c r="I47" s="0" t="n">
        <v>40</v>
      </c>
      <c r="J47" s="0" t="n">
        <v>32</v>
      </c>
      <c r="K47" s="0" t="n">
        <v>4.4</v>
      </c>
      <c r="L47" s="0" t="s">
        <v>17</v>
      </c>
    </row>
    <row r="48" customFormat="false" ht="15" hidden="false" customHeight="false" outlineLevel="0" collapsed="false">
      <c r="A48" s="0" t="s">
        <v>91</v>
      </c>
      <c r="B48" s="2" t="n">
        <v>45816</v>
      </c>
      <c r="C48" s="3" t="s">
        <v>24</v>
      </c>
      <c r="D48" s="3" t="s">
        <v>56</v>
      </c>
      <c r="E48" s="3" t="s">
        <v>21</v>
      </c>
      <c r="F48" s="3" t="s">
        <v>22</v>
      </c>
      <c r="G48" s="0" t="n">
        <v>430</v>
      </c>
      <c r="H48" s="0" t="n">
        <v>90</v>
      </c>
      <c r="I48" s="0" t="n">
        <v>20</v>
      </c>
      <c r="J48" s="0" t="n">
        <v>23</v>
      </c>
      <c r="K48" s="0" t="n">
        <v>4.6</v>
      </c>
      <c r="L48" s="3" t="s">
        <v>17</v>
      </c>
    </row>
    <row r="49" customFormat="false" ht="15" hidden="false" customHeight="false" outlineLevel="0" collapsed="false">
      <c r="A49" s="0" t="s">
        <v>92</v>
      </c>
      <c r="B49" s="2" t="n">
        <v>45778</v>
      </c>
      <c r="C49" s="3" t="s">
        <v>13</v>
      </c>
      <c r="D49" s="3" t="s">
        <v>20</v>
      </c>
      <c r="E49" s="3" t="s">
        <v>15</v>
      </c>
      <c r="F49" s="3" t="s">
        <v>22</v>
      </c>
      <c r="G49" s="0" t="n">
        <v>814</v>
      </c>
      <c r="H49" s="0" t="n">
        <v>188</v>
      </c>
      <c r="I49" s="0" t="n">
        <v>0</v>
      </c>
      <c r="J49" s="0" t="n">
        <v>40</v>
      </c>
      <c r="K49" s="0" t="n">
        <v>3.4</v>
      </c>
      <c r="L49" s="3" t="s">
        <v>17</v>
      </c>
    </row>
    <row r="50" customFormat="false" ht="15" hidden="false" customHeight="false" outlineLevel="0" collapsed="false">
      <c r="A50" s="0" t="s">
        <v>93</v>
      </c>
      <c r="B50" s="0" t="s">
        <v>94</v>
      </c>
      <c r="C50" s="0" t="s">
        <v>24</v>
      </c>
      <c r="D50" s="0" t="s">
        <v>49</v>
      </c>
      <c r="E50" s="0" t="s">
        <v>21</v>
      </c>
      <c r="F50" s="0" t="s">
        <v>22</v>
      </c>
      <c r="G50" s="0" t="n">
        <v>341</v>
      </c>
      <c r="H50" s="0" t="n">
        <v>72</v>
      </c>
      <c r="I50" s="0" t="n">
        <v>30</v>
      </c>
      <c r="J50" s="0" t="n">
        <v>27</v>
      </c>
      <c r="K50" s="0" t="n">
        <v>4.2</v>
      </c>
      <c r="L50" s="0" t="s">
        <v>17</v>
      </c>
    </row>
    <row r="51" customFormat="false" ht="15" hidden="false" customHeight="false" outlineLevel="0" collapsed="false">
      <c r="A51" s="0" t="s">
        <v>95</v>
      </c>
      <c r="B51" s="2" t="n">
        <v>45718</v>
      </c>
      <c r="C51" s="3" t="s">
        <v>24</v>
      </c>
      <c r="D51" s="3" t="s">
        <v>25</v>
      </c>
      <c r="E51" s="3" t="s">
        <v>15</v>
      </c>
      <c r="F51" s="3" t="s">
        <v>16</v>
      </c>
      <c r="G51" s="0" t="n">
        <v>268</v>
      </c>
      <c r="H51" s="0" t="n">
        <v>53</v>
      </c>
      <c r="I51" s="0" t="n">
        <v>30</v>
      </c>
      <c r="J51" s="0" t="n">
        <v>35</v>
      </c>
      <c r="K51" s="0" t="n">
        <v>4.5</v>
      </c>
      <c r="L51" s="3" t="s">
        <v>17</v>
      </c>
    </row>
    <row r="52" customFormat="false" ht="15" hidden="false" customHeight="false" outlineLevel="0" collapsed="false">
      <c r="A52" s="0" t="s">
        <v>96</v>
      </c>
      <c r="B52" s="2" t="n">
        <v>45743</v>
      </c>
      <c r="C52" s="3" t="s">
        <v>40</v>
      </c>
      <c r="D52" s="3" t="s">
        <v>14</v>
      </c>
      <c r="E52" s="3" t="s">
        <v>15</v>
      </c>
      <c r="F52" s="3" t="s">
        <v>16</v>
      </c>
      <c r="G52" s="0" t="n">
        <v>399</v>
      </c>
      <c r="H52" s="0" t="n">
        <v>70</v>
      </c>
      <c r="I52" s="0" t="n">
        <v>45</v>
      </c>
      <c r="J52" s="0" t="n">
        <v>39</v>
      </c>
      <c r="K52" s="0" t="n">
        <v>4.2</v>
      </c>
      <c r="L52" s="3" t="s">
        <v>17</v>
      </c>
    </row>
    <row r="53" customFormat="false" ht="15" hidden="false" customHeight="false" outlineLevel="0" collapsed="false">
      <c r="A53" s="0" t="s">
        <v>97</v>
      </c>
      <c r="B53" s="2" t="n">
        <v>45661</v>
      </c>
      <c r="C53" s="3" t="s">
        <v>27</v>
      </c>
      <c r="D53" s="3" t="s">
        <v>31</v>
      </c>
      <c r="E53" s="3" t="s">
        <v>21</v>
      </c>
      <c r="F53" s="3" t="s">
        <v>16</v>
      </c>
      <c r="G53" s="0" t="n">
        <v>423</v>
      </c>
      <c r="H53" s="0" t="n">
        <v>0</v>
      </c>
      <c r="I53" s="0" t="n">
        <v>20</v>
      </c>
      <c r="J53" s="0" t="n">
        <v>45</v>
      </c>
      <c r="K53" s="0" t="n">
        <v>2.9</v>
      </c>
      <c r="L53" s="3" t="s">
        <v>17</v>
      </c>
    </row>
    <row r="54" customFormat="false" ht="15" hidden="false" customHeight="false" outlineLevel="0" collapsed="false">
      <c r="A54" s="0" t="s">
        <v>98</v>
      </c>
      <c r="B54" s="2" t="n">
        <v>45955</v>
      </c>
      <c r="C54" s="3" t="s">
        <v>24</v>
      </c>
      <c r="D54" s="3" t="s">
        <v>20</v>
      </c>
      <c r="E54" s="3" t="s">
        <v>99</v>
      </c>
      <c r="F54" s="3" t="s">
        <v>36</v>
      </c>
      <c r="G54" s="0" t="n">
        <v>491</v>
      </c>
      <c r="H54" s="0" t="n">
        <v>0</v>
      </c>
      <c r="I54" s="0" t="n">
        <v>45</v>
      </c>
      <c r="J54" s="0" t="n">
        <v>42</v>
      </c>
      <c r="K54" s="0" t="n">
        <v>3.8</v>
      </c>
      <c r="L54" s="3" t="s">
        <v>17</v>
      </c>
    </row>
    <row r="55" customFormat="false" ht="15" hidden="false" customHeight="false" outlineLevel="0" collapsed="false">
      <c r="A55" s="0" t="s">
        <v>100</v>
      </c>
      <c r="B55" s="2" t="n">
        <v>45914</v>
      </c>
      <c r="C55" s="3" t="s">
        <v>24</v>
      </c>
      <c r="D55" s="3" t="s">
        <v>28</v>
      </c>
      <c r="E55" s="3" t="s">
        <v>58</v>
      </c>
      <c r="F55" s="3" t="s">
        <v>22</v>
      </c>
      <c r="G55" s="0" t="n">
        <v>322</v>
      </c>
      <c r="H55" s="0" t="n">
        <v>0</v>
      </c>
      <c r="I55" s="0" t="n">
        <v>30</v>
      </c>
      <c r="J55" s="0" t="n">
        <v>40</v>
      </c>
      <c r="K55" s="0" t="n">
        <v>4.7</v>
      </c>
      <c r="L55" s="3" t="s">
        <v>17</v>
      </c>
    </row>
    <row r="56" customFormat="false" ht="15" hidden="false" customHeight="false" outlineLevel="0" collapsed="false">
      <c r="A56" s="0" t="s">
        <v>101</v>
      </c>
      <c r="B56" s="2" t="n">
        <v>45928</v>
      </c>
      <c r="C56" s="3" t="s">
        <v>24</v>
      </c>
      <c r="D56" s="3" t="s">
        <v>20</v>
      </c>
      <c r="E56" s="3" t="s">
        <v>99</v>
      </c>
      <c r="F56" s="3" t="s">
        <v>22</v>
      </c>
      <c r="G56" s="0" t="n">
        <v>734</v>
      </c>
      <c r="H56" s="0" t="n">
        <v>159</v>
      </c>
      <c r="I56" s="0" t="n">
        <v>0</v>
      </c>
      <c r="J56" s="0" t="n">
        <v>40</v>
      </c>
      <c r="K56" s="0" t="n">
        <v>4.4</v>
      </c>
      <c r="L56" s="3" t="s">
        <v>17</v>
      </c>
    </row>
    <row r="57" customFormat="false" ht="15" hidden="false" customHeight="false" outlineLevel="0" collapsed="false">
      <c r="A57" s="0" t="s">
        <v>102</v>
      </c>
      <c r="B57" s="2" t="n">
        <v>45953</v>
      </c>
      <c r="C57" s="3" t="s">
        <v>30</v>
      </c>
      <c r="D57" s="3" t="s">
        <v>56</v>
      </c>
      <c r="E57" s="3" t="s">
        <v>21</v>
      </c>
      <c r="F57" s="3" t="s">
        <v>22</v>
      </c>
      <c r="G57" s="0" t="n">
        <v>388</v>
      </c>
      <c r="H57" s="0" t="n">
        <v>0</v>
      </c>
      <c r="I57" s="0" t="n">
        <v>20</v>
      </c>
      <c r="J57" s="0" t="n">
        <v>25</v>
      </c>
      <c r="K57" s="0" t="n">
        <v>5</v>
      </c>
      <c r="L57" s="3" t="s">
        <v>17</v>
      </c>
    </row>
    <row r="58" customFormat="false" ht="15" hidden="false" customHeight="false" outlineLevel="0" collapsed="false">
      <c r="A58" s="0" t="s">
        <v>103</v>
      </c>
      <c r="B58" s="2" t="n">
        <v>45842</v>
      </c>
      <c r="C58" s="3" t="s">
        <v>51</v>
      </c>
      <c r="D58" s="3" t="s">
        <v>20</v>
      </c>
      <c r="E58" s="3" t="s">
        <v>58</v>
      </c>
      <c r="F58" s="3" t="s">
        <v>22</v>
      </c>
      <c r="G58" s="0" t="n">
        <v>700</v>
      </c>
      <c r="H58" s="0" t="n">
        <v>0</v>
      </c>
      <c r="I58" s="0" t="n">
        <v>0</v>
      </c>
      <c r="J58" s="0" t="n">
        <v>37</v>
      </c>
      <c r="K58" s="0" t="n">
        <v>3.7</v>
      </c>
      <c r="L58" s="3" t="s">
        <v>17</v>
      </c>
    </row>
    <row r="59" customFormat="false" ht="15" hidden="false" customHeight="false" outlineLevel="0" collapsed="false">
      <c r="A59" s="0" t="s">
        <v>104</v>
      </c>
      <c r="B59" s="0" t="s">
        <v>105</v>
      </c>
      <c r="C59" s="0" t="s">
        <v>27</v>
      </c>
      <c r="D59" s="0" t="s">
        <v>31</v>
      </c>
      <c r="E59" s="0" t="s">
        <v>21</v>
      </c>
      <c r="F59" s="0" t="s">
        <v>34</v>
      </c>
      <c r="G59" s="0" t="n">
        <v>340</v>
      </c>
      <c r="H59" s="0" t="n">
        <v>79</v>
      </c>
      <c r="I59" s="0" t="n">
        <v>30</v>
      </c>
      <c r="J59" s="0" t="n">
        <v>31</v>
      </c>
      <c r="K59" s="0" t="n">
        <v>5</v>
      </c>
      <c r="L59" s="0" t="s">
        <v>17</v>
      </c>
    </row>
    <row r="60" customFormat="false" ht="15" hidden="false" customHeight="false" outlineLevel="0" collapsed="false">
      <c r="A60" s="0" t="s">
        <v>106</v>
      </c>
      <c r="B60" s="2" t="n">
        <v>45718</v>
      </c>
      <c r="C60" s="3" t="s">
        <v>13</v>
      </c>
      <c r="D60" s="3" t="s">
        <v>25</v>
      </c>
      <c r="E60" s="3" t="s">
        <v>15</v>
      </c>
      <c r="F60" s="3" t="s">
        <v>36</v>
      </c>
      <c r="G60" s="0" t="n">
        <v>630</v>
      </c>
      <c r="H60" s="0" t="n">
        <v>64</v>
      </c>
      <c r="I60" s="0" t="n">
        <v>0</v>
      </c>
      <c r="J60" s="0" t="n">
        <v>44</v>
      </c>
      <c r="K60" s="0" t="n">
        <v>4</v>
      </c>
      <c r="L60" s="3" t="s">
        <v>17</v>
      </c>
    </row>
    <row r="61" customFormat="false" ht="15" hidden="false" customHeight="false" outlineLevel="0" collapsed="false">
      <c r="A61" s="0" t="s">
        <v>107</v>
      </c>
      <c r="B61" s="0" t="s">
        <v>108</v>
      </c>
      <c r="C61" s="0" t="s">
        <v>45</v>
      </c>
      <c r="D61" s="0" t="s">
        <v>25</v>
      </c>
      <c r="E61" s="0" t="s">
        <v>21</v>
      </c>
      <c r="F61" s="0" t="s">
        <v>54</v>
      </c>
      <c r="G61" s="0" t="n">
        <v>471</v>
      </c>
      <c r="H61" s="0" t="n">
        <v>0</v>
      </c>
      <c r="I61" s="0" t="n">
        <v>45</v>
      </c>
      <c r="J61" s="0" t="n">
        <v>20</v>
      </c>
      <c r="K61" s="0" t="n">
        <v>5</v>
      </c>
      <c r="L61" s="0" t="s">
        <v>17</v>
      </c>
    </row>
    <row r="62" customFormat="false" ht="15" hidden="false" customHeight="false" outlineLevel="0" collapsed="false">
      <c r="A62" s="0" t="s">
        <v>109</v>
      </c>
      <c r="B62" s="2" t="n">
        <v>45915</v>
      </c>
      <c r="C62" s="3" t="s">
        <v>19</v>
      </c>
      <c r="D62" s="3" t="s">
        <v>20</v>
      </c>
      <c r="E62" s="3" t="s">
        <v>21</v>
      </c>
      <c r="F62" s="3" t="s">
        <v>34</v>
      </c>
      <c r="G62" s="0" t="n">
        <v>589</v>
      </c>
      <c r="H62" s="0" t="n">
        <v>0</v>
      </c>
      <c r="I62" s="0" t="n">
        <v>0</v>
      </c>
      <c r="J62" s="0" t="n">
        <v>26</v>
      </c>
      <c r="K62" s="0" t="n">
        <v>4.5</v>
      </c>
      <c r="L62" s="3" t="s">
        <v>17</v>
      </c>
    </row>
    <row r="63" customFormat="false" ht="15" hidden="false" customHeight="false" outlineLevel="0" collapsed="false">
      <c r="A63" s="0" t="s">
        <v>110</v>
      </c>
      <c r="B63" s="0" t="s">
        <v>111</v>
      </c>
      <c r="C63" s="0" t="s">
        <v>27</v>
      </c>
      <c r="D63" s="0" t="s">
        <v>56</v>
      </c>
      <c r="E63" s="0" t="s">
        <v>15</v>
      </c>
      <c r="F63" s="0" t="s">
        <v>22</v>
      </c>
      <c r="G63" s="0" t="n">
        <v>515</v>
      </c>
      <c r="H63" s="0" t="n">
        <v>97</v>
      </c>
      <c r="I63" s="0" t="n">
        <v>0</v>
      </c>
      <c r="J63" s="0" t="n">
        <v>33</v>
      </c>
      <c r="K63" s="0" t="n">
        <v>3.3</v>
      </c>
      <c r="L63" s="0" t="s">
        <v>17</v>
      </c>
    </row>
    <row r="64" customFormat="false" ht="15" hidden="false" customHeight="false" outlineLevel="0" collapsed="false">
      <c r="A64" s="0" t="s">
        <v>112</v>
      </c>
      <c r="B64" s="2" t="n">
        <v>45880</v>
      </c>
      <c r="C64" s="3" t="s">
        <v>45</v>
      </c>
      <c r="D64" s="3" t="s">
        <v>25</v>
      </c>
      <c r="E64" s="3" t="s">
        <v>15</v>
      </c>
      <c r="F64" s="3" t="s">
        <v>22</v>
      </c>
      <c r="G64" s="0" t="n">
        <v>497</v>
      </c>
      <c r="H64" s="0" t="n">
        <v>0</v>
      </c>
      <c r="I64" s="0" t="n">
        <v>30</v>
      </c>
      <c r="J64" s="0" t="n">
        <v>25</v>
      </c>
      <c r="K64" s="0" t="n">
        <v>4.9</v>
      </c>
      <c r="L64" s="3" t="s">
        <v>17</v>
      </c>
    </row>
    <row r="65" customFormat="false" ht="15" hidden="false" customHeight="false" outlineLevel="0" collapsed="false">
      <c r="A65" s="0" t="s">
        <v>113</v>
      </c>
      <c r="B65" s="2" t="n">
        <v>45948</v>
      </c>
      <c r="C65" s="3" t="s">
        <v>45</v>
      </c>
      <c r="D65" s="3" t="s">
        <v>14</v>
      </c>
      <c r="E65" s="3" t="s">
        <v>21</v>
      </c>
      <c r="F65" s="3" t="s">
        <v>22</v>
      </c>
      <c r="G65" s="0" t="n">
        <v>421</v>
      </c>
      <c r="H65" s="0" t="n">
        <v>53</v>
      </c>
      <c r="I65" s="0" t="n">
        <v>40</v>
      </c>
      <c r="J65" s="0" t="n">
        <v>30</v>
      </c>
      <c r="K65" s="0" t="n">
        <v>4.2</v>
      </c>
      <c r="L65" s="3" t="s">
        <v>17</v>
      </c>
    </row>
    <row r="66" customFormat="false" ht="15" hidden="false" customHeight="false" outlineLevel="0" collapsed="false">
      <c r="A66" s="0" t="s">
        <v>114</v>
      </c>
      <c r="B66" s="2" t="n">
        <v>45904</v>
      </c>
      <c r="C66" s="3" t="s">
        <v>30</v>
      </c>
      <c r="D66" s="3" t="s">
        <v>56</v>
      </c>
      <c r="E66" s="3" t="s">
        <v>15</v>
      </c>
      <c r="F66" s="3" t="s">
        <v>22</v>
      </c>
      <c r="G66" s="0" t="n">
        <v>317</v>
      </c>
      <c r="H66" s="0" t="n">
        <v>0</v>
      </c>
      <c r="I66" s="0" t="n">
        <v>40</v>
      </c>
      <c r="J66" s="0" t="n">
        <v>27</v>
      </c>
      <c r="K66" s="0" t="n">
        <v>4.3</v>
      </c>
      <c r="L66" s="3" t="s">
        <v>17</v>
      </c>
    </row>
    <row r="67" customFormat="false" ht="15" hidden="false" customHeight="false" outlineLevel="0" collapsed="false">
      <c r="A67" s="0" t="s">
        <v>115</v>
      </c>
      <c r="B67" s="2" t="n">
        <v>45876</v>
      </c>
      <c r="C67" s="3" t="s">
        <v>27</v>
      </c>
      <c r="D67" s="3" t="s">
        <v>56</v>
      </c>
      <c r="E67" s="3" t="s">
        <v>21</v>
      </c>
      <c r="F67" s="3" t="s">
        <v>54</v>
      </c>
      <c r="G67" s="0" t="n">
        <v>381</v>
      </c>
      <c r="H67" s="0" t="n">
        <v>51</v>
      </c>
      <c r="I67" s="0" t="n">
        <v>40</v>
      </c>
      <c r="J67" s="0" t="n">
        <v>50</v>
      </c>
      <c r="K67" s="0" t="n">
        <v>3.2</v>
      </c>
      <c r="L67" s="3" t="s">
        <v>17</v>
      </c>
    </row>
    <row r="68" customFormat="false" ht="15" hidden="false" customHeight="false" outlineLevel="0" collapsed="false">
      <c r="A68" s="0" t="s">
        <v>116</v>
      </c>
      <c r="B68" s="2" t="n">
        <v>45878</v>
      </c>
      <c r="C68" s="3" t="s">
        <v>40</v>
      </c>
      <c r="D68" s="3" t="s">
        <v>56</v>
      </c>
      <c r="E68" s="3" t="s">
        <v>21</v>
      </c>
      <c r="F68" s="3" t="s">
        <v>16</v>
      </c>
      <c r="G68" s="0" t="n">
        <v>345</v>
      </c>
      <c r="H68" s="0" t="n">
        <v>53</v>
      </c>
      <c r="I68" s="0" t="n">
        <v>40</v>
      </c>
      <c r="J68" s="0" t="n">
        <v>40</v>
      </c>
      <c r="K68" s="0" t="n">
        <v>5</v>
      </c>
      <c r="L68" s="3" t="s">
        <v>17</v>
      </c>
    </row>
    <row r="69" customFormat="false" ht="15" hidden="false" customHeight="false" outlineLevel="0" collapsed="false">
      <c r="A69" s="0" t="s">
        <v>117</v>
      </c>
      <c r="B69" s="2" t="n">
        <v>45784</v>
      </c>
      <c r="C69" s="3" t="s">
        <v>40</v>
      </c>
      <c r="D69" s="3" t="s">
        <v>31</v>
      </c>
      <c r="E69" s="3" t="s">
        <v>15</v>
      </c>
      <c r="F69" s="3" t="s">
        <v>22</v>
      </c>
      <c r="G69" s="0" t="n">
        <v>724</v>
      </c>
      <c r="H69" s="0" t="n">
        <v>74</v>
      </c>
      <c r="I69" s="0" t="n">
        <v>0</v>
      </c>
      <c r="J69" s="0" t="n">
        <v>35</v>
      </c>
      <c r="K69" s="0" t="n">
        <v>4</v>
      </c>
      <c r="L69" s="3" t="s">
        <v>17</v>
      </c>
    </row>
    <row r="70" customFormat="false" ht="15" hidden="false" customHeight="false" outlineLevel="0" collapsed="false">
      <c r="A70" s="0" t="s">
        <v>118</v>
      </c>
      <c r="B70" s="2" t="n">
        <v>45671</v>
      </c>
      <c r="C70" s="3" t="s">
        <v>27</v>
      </c>
      <c r="D70" s="3" t="s">
        <v>28</v>
      </c>
      <c r="E70" s="3" t="s">
        <v>21</v>
      </c>
      <c r="F70" s="3" t="s">
        <v>22</v>
      </c>
      <c r="G70" s="0" t="n">
        <v>430</v>
      </c>
      <c r="H70" s="0" t="n">
        <v>0</v>
      </c>
      <c r="I70" s="0" t="n">
        <v>45</v>
      </c>
      <c r="J70" s="0" t="n">
        <v>41</v>
      </c>
      <c r="K70" s="0" t="n">
        <v>4.9</v>
      </c>
      <c r="L70" s="3" t="s">
        <v>17</v>
      </c>
    </row>
    <row r="71" customFormat="false" ht="15" hidden="false" customHeight="false" outlineLevel="0" collapsed="false">
      <c r="A71" s="0" t="s">
        <v>119</v>
      </c>
      <c r="B71" s="2" t="n">
        <v>45834</v>
      </c>
      <c r="C71" s="3" t="s">
        <v>27</v>
      </c>
      <c r="D71" s="3" t="s">
        <v>56</v>
      </c>
      <c r="E71" s="3" t="s">
        <v>58</v>
      </c>
      <c r="F71" s="3" t="s">
        <v>22</v>
      </c>
      <c r="G71" s="0" t="n">
        <v>452</v>
      </c>
      <c r="H71" s="0" t="n">
        <v>0</v>
      </c>
      <c r="I71" s="0" t="n">
        <v>40</v>
      </c>
      <c r="J71" s="0" t="n">
        <v>51</v>
      </c>
      <c r="K71" s="0" t="n">
        <v>3.7</v>
      </c>
      <c r="L71" s="3" t="s">
        <v>17</v>
      </c>
    </row>
    <row r="72" customFormat="false" ht="15" hidden="false" customHeight="false" outlineLevel="0" collapsed="false">
      <c r="A72" s="0" t="s">
        <v>120</v>
      </c>
      <c r="B72" s="2" t="n">
        <v>45749</v>
      </c>
      <c r="C72" s="3" t="s">
        <v>27</v>
      </c>
      <c r="D72" s="3" t="s">
        <v>31</v>
      </c>
      <c r="E72" s="3" t="s">
        <v>15</v>
      </c>
      <c r="F72" s="3" t="s">
        <v>54</v>
      </c>
      <c r="G72" s="0" t="n">
        <v>684</v>
      </c>
      <c r="H72" s="0" t="n">
        <v>0</v>
      </c>
      <c r="I72" s="0" t="n">
        <v>0</v>
      </c>
      <c r="J72" s="0" t="n">
        <v>48</v>
      </c>
      <c r="K72" s="0" t="n">
        <v>3.5</v>
      </c>
      <c r="L72" s="3" t="s">
        <v>17</v>
      </c>
    </row>
    <row r="73" customFormat="false" ht="15" hidden="false" customHeight="false" outlineLevel="0" collapsed="false">
      <c r="A73" s="0" t="s">
        <v>121</v>
      </c>
      <c r="B73" s="2" t="n">
        <v>45823</v>
      </c>
      <c r="C73" s="3" t="s">
        <v>27</v>
      </c>
      <c r="D73" s="3" t="s">
        <v>78</v>
      </c>
      <c r="E73" s="3" t="s">
        <v>21</v>
      </c>
      <c r="F73" s="3" t="s">
        <v>22</v>
      </c>
      <c r="G73" s="0" t="n">
        <v>290</v>
      </c>
      <c r="H73" s="0" t="n">
        <v>0</v>
      </c>
      <c r="I73" s="0" t="n">
        <v>30</v>
      </c>
      <c r="J73" s="0" t="n">
        <v>34</v>
      </c>
      <c r="K73" s="0" t="n">
        <v>5</v>
      </c>
      <c r="L73" s="3" t="s">
        <v>17</v>
      </c>
    </row>
    <row r="74" customFormat="false" ht="15" hidden="false" customHeight="false" outlineLevel="0" collapsed="false">
      <c r="A74" s="0" t="s">
        <v>122</v>
      </c>
      <c r="B74" s="2" t="n">
        <v>45976</v>
      </c>
      <c r="C74" s="3" t="s">
        <v>123</v>
      </c>
      <c r="D74" s="3" t="s">
        <v>14</v>
      </c>
      <c r="E74" s="3" t="s">
        <v>15</v>
      </c>
      <c r="F74" s="3" t="s">
        <v>22</v>
      </c>
      <c r="G74" s="0" t="n">
        <v>315</v>
      </c>
      <c r="H74" s="0" t="n">
        <v>56</v>
      </c>
      <c r="I74" s="0" t="n">
        <v>30</v>
      </c>
      <c r="J74" s="0" t="n">
        <v>37</v>
      </c>
      <c r="L74" s="3" t="s">
        <v>17</v>
      </c>
    </row>
    <row r="75" customFormat="false" ht="15" hidden="false" customHeight="false" outlineLevel="0" collapsed="false">
      <c r="A75" s="0" t="s">
        <v>124</v>
      </c>
      <c r="B75" s="2" t="n">
        <v>45757</v>
      </c>
      <c r="C75" s="3" t="s">
        <v>30</v>
      </c>
      <c r="D75" s="3" t="s">
        <v>28</v>
      </c>
      <c r="E75" s="3" t="s">
        <v>21</v>
      </c>
      <c r="F75" s="3" t="s">
        <v>22</v>
      </c>
      <c r="G75" s="0" t="n">
        <v>579</v>
      </c>
      <c r="H75" s="0" t="n">
        <v>0</v>
      </c>
      <c r="I75" s="0" t="n">
        <v>0</v>
      </c>
      <c r="L75" s="3" t="s">
        <v>68</v>
      </c>
    </row>
    <row r="76" customFormat="false" ht="15" hidden="false" customHeight="false" outlineLevel="0" collapsed="false">
      <c r="A76" s="0" t="s">
        <v>125</v>
      </c>
      <c r="B76" s="2" t="n">
        <v>45683</v>
      </c>
      <c r="C76" s="3" t="s">
        <v>40</v>
      </c>
      <c r="D76" s="3" t="s">
        <v>14</v>
      </c>
      <c r="E76" s="3" t="s">
        <v>21</v>
      </c>
      <c r="F76" s="3" t="s">
        <v>36</v>
      </c>
      <c r="G76" s="0" t="n">
        <v>314</v>
      </c>
      <c r="H76" s="0" t="n">
        <v>0</v>
      </c>
      <c r="I76" s="0" t="n">
        <v>45</v>
      </c>
      <c r="J76" s="0" t="n">
        <v>40</v>
      </c>
      <c r="K76" s="0" t="n">
        <v>3.5</v>
      </c>
      <c r="L76" s="3" t="s">
        <v>17</v>
      </c>
    </row>
    <row r="77" customFormat="false" ht="15" hidden="false" customHeight="false" outlineLevel="0" collapsed="false">
      <c r="A77" s="0" t="s">
        <v>126</v>
      </c>
      <c r="B77" s="2" t="n">
        <v>45775</v>
      </c>
      <c r="C77" s="3" t="s">
        <v>127</v>
      </c>
      <c r="D77" s="3" t="s">
        <v>49</v>
      </c>
      <c r="E77" s="3" t="s">
        <v>15</v>
      </c>
      <c r="F77" s="3" t="s">
        <v>16</v>
      </c>
      <c r="G77" s="0" t="n">
        <v>535</v>
      </c>
      <c r="H77" s="0" t="n">
        <v>81</v>
      </c>
      <c r="I77" s="0" t="n">
        <v>0</v>
      </c>
      <c r="J77" s="0" t="n">
        <v>29</v>
      </c>
      <c r="K77" s="0" t="n">
        <v>4.2</v>
      </c>
      <c r="L77" s="3" t="s">
        <v>17</v>
      </c>
    </row>
    <row r="78" customFormat="false" ht="15" hidden="false" customHeight="false" outlineLevel="0" collapsed="false">
      <c r="A78" s="0" t="s">
        <v>128</v>
      </c>
      <c r="B78" s="2" t="n">
        <v>45780</v>
      </c>
      <c r="C78" s="3" t="s">
        <v>30</v>
      </c>
      <c r="D78" s="3" t="s">
        <v>25</v>
      </c>
      <c r="E78" s="3" t="s">
        <v>21</v>
      </c>
      <c r="F78" s="3" t="s">
        <v>34</v>
      </c>
      <c r="G78" s="0" t="n">
        <v>501</v>
      </c>
      <c r="H78" s="0" t="n">
        <v>0</v>
      </c>
      <c r="I78" s="0" t="n">
        <v>0</v>
      </c>
      <c r="J78" s="0" t="n">
        <v>36</v>
      </c>
      <c r="K78" s="0" t="n">
        <v>4.5</v>
      </c>
      <c r="L78" s="3" t="s">
        <v>17</v>
      </c>
    </row>
    <row r="79" customFormat="false" ht="15" hidden="false" customHeight="false" outlineLevel="0" collapsed="false">
      <c r="A79" s="0" t="s">
        <v>129</v>
      </c>
      <c r="B79" s="2" t="n">
        <v>45913</v>
      </c>
      <c r="C79" s="3" t="s">
        <v>45</v>
      </c>
      <c r="D79" s="3" t="s">
        <v>20</v>
      </c>
      <c r="E79" s="3" t="s">
        <v>15</v>
      </c>
      <c r="F79" s="3" t="s">
        <v>22</v>
      </c>
      <c r="G79" s="0" t="n">
        <v>599</v>
      </c>
      <c r="H79" s="0" t="n">
        <v>64</v>
      </c>
      <c r="I79" s="0" t="n">
        <v>0</v>
      </c>
      <c r="J79" s="0" t="n">
        <v>24</v>
      </c>
      <c r="K79" s="0" t="n">
        <v>3.9</v>
      </c>
      <c r="L79" s="3" t="s">
        <v>17</v>
      </c>
    </row>
    <row r="80" customFormat="false" ht="15" hidden="false" customHeight="false" outlineLevel="0" collapsed="false">
      <c r="A80" s="0" t="s">
        <v>130</v>
      </c>
      <c r="B80" s="2" t="n">
        <v>45877</v>
      </c>
      <c r="C80" s="3" t="s">
        <v>19</v>
      </c>
      <c r="D80" s="3" t="s">
        <v>20</v>
      </c>
      <c r="E80" s="3" t="s">
        <v>21</v>
      </c>
      <c r="F80" s="3" t="s">
        <v>22</v>
      </c>
      <c r="G80" s="0" t="n">
        <v>631</v>
      </c>
      <c r="H80" s="0" t="n">
        <v>0</v>
      </c>
      <c r="I80" s="0" t="n">
        <v>0</v>
      </c>
      <c r="J80" s="0" t="n">
        <v>37</v>
      </c>
      <c r="K80" s="0" t="n">
        <v>4</v>
      </c>
      <c r="L80" s="3" t="s">
        <v>17</v>
      </c>
    </row>
    <row r="81" customFormat="false" ht="15" hidden="false" customHeight="false" outlineLevel="0" collapsed="false">
      <c r="A81" s="0" t="s">
        <v>131</v>
      </c>
      <c r="B81" s="2" t="n">
        <v>45954</v>
      </c>
      <c r="C81" s="3" t="s">
        <v>45</v>
      </c>
      <c r="D81" s="3" t="s">
        <v>25</v>
      </c>
      <c r="E81" s="3" t="s">
        <v>15</v>
      </c>
      <c r="F81" s="3" t="s">
        <v>36</v>
      </c>
      <c r="G81" s="0" t="n">
        <v>587</v>
      </c>
      <c r="H81" s="0" t="n">
        <v>143</v>
      </c>
      <c r="I81" s="0" t="n">
        <v>0</v>
      </c>
      <c r="J81" s="0" t="n">
        <v>34</v>
      </c>
      <c r="K81" s="0" t="n">
        <v>4.1</v>
      </c>
      <c r="L81" s="3" t="s">
        <v>17</v>
      </c>
    </row>
    <row r="82" customFormat="false" ht="15" hidden="false" customHeight="false" outlineLevel="0" collapsed="false">
      <c r="A82" s="0" t="s">
        <v>132</v>
      </c>
      <c r="B82" s="2" t="n">
        <v>45914</v>
      </c>
      <c r="C82" s="3" t="s">
        <v>45</v>
      </c>
      <c r="D82" s="3" t="s">
        <v>25</v>
      </c>
      <c r="E82" s="3" t="s">
        <v>21</v>
      </c>
      <c r="F82" s="3" t="s">
        <v>22</v>
      </c>
      <c r="G82" s="0" t="n">
        <v>357</v>
      </c>
      <c r="H82" s="0" t="n">
        <v>0</v>
      </c>
      <c r="I82" s="0" t="n">
        <v>20</v>
      </c>
      <c r="J82" s="0" t="n">
        <v>22</v>
      </c>
      <c r="K82" s="0" t="n">
        <v>4.6</v>
      </c>
      <c r="L82" s="3" t="s">
        <v>17</v>
      </c>
    </row>
    <row r="83" customFormat="false" ht="15" hidden="false" customHeight="false" outlineLevel="0" collapsed="false">
      <c r="A83" s="0" t="s">
        <v>133</v>
      </c>
      <c r="B83" s="2" t="n">
        <v>45823</v>
      </c>
      <c r="C83" s="3" t="s">
        <v>24</v>
      </c>
      <c r="D83" s="3" t="s">
        <v>31</v>
      </c>
      <c r="E83" s="3" t="s">
        <v>21</v>
      </c>
      <c r="F83" s="3" t="s">
        <v>22</v>
      </c>
      <c r="G83" s="0" t="n">
        <v>408</v>
      </c>
      <c r="H83" s="0" t="n">
        <v>99</v>
      </c>
      <c r="I83" s="0" t="n">
        <v>40</v>
      </c>
      <c r="J83" s="0" t="n">
        <v>32</v>
      </c>
      <c r="K83" s="0" t="n">
        <v>5</v>
      </c>
      <c r="L83" s="3" t="s">
        <v>17</v>
      </c>
    </row>
    <row r="84" customFormat="false" ht="15" hidden="false" customHeight="false" outlineLevel="0" collapsed="false">
      <c r="A84" s="0" t="s">
        <v>134</v>
      </c>
      <c r="B84" s="2" t="n">
        <v>45964</v>
      </c>
      <c r="C84" s="3" t="s">
        <v>27</v>
      </c>
      <c r="D84" s="3" t="s">
        <v>20</v>
      </c>
      <c r="E84" s="3" t="s">
        <v>21</v>
      </c>
      <c r="F84" s="3" t="s">
        <v>34</v>
      </c>
      <c r="G84" s="0" t="n">
        <v>538</v>
      </c>
      <c r="H84" s="0" t="n">
        <v>0</v>
      </c>
      <c r="I84" s="0" t="n">
        <v>0</v>
      </c>
      <c r="J84" s="0" t="n">
        <v>38</v>
      </c>
      <c r="L84" s="3" t="s">
        <v>17</v>
      </c>
    </row>
    <row r="85" customFormat="false" ht="15" hidden="false" customHeight="false" outlineLevel="0" collapsed="false">
      <c r="A85" s="0" t="s">
        <v>135</v>
      </c>
      <c r="B85" s="2" t="n">
        <v>45730</v>
      </c>
      <c r="C85" s="3" t="s">
        <v>24</v>
      </c>
      <c r="D85" s="3" t="s">
        <v>28</v>
      </c>
      <c r="E85" s="3" t="s">
        <v>21</v>
      </c>
      <c r="F85" s="3" t="s">
        <v>22</v>
      </c>
      <c r="G85" s="0" t="n">
        <v>307</v>
      </c>
      <c r="H85" s="0" t="n">
        <v>0</v>
      </c>
      <c r="I85" s="0" t="n">
        <v>20</v>
      </c>
      <c r="J85" s="0" t="n">
        <v>37</v>
      </c>
      <c r="L85" s="3" t="s">
        <v>17</v>
      </c>
    </row>
    <row r="86" customFormat="false" ht="15" hidden="false" customHeight="false" outlineLevel="0" collapsed="false">
      <c r="A86" s="0" t="s">
        <v>136</v>
      </c>
      <c r="B86" s="2" t="n">
        <v>45668</v>
      </c>
      <c r="C86" s="3" t="s">
        <v>27</v>
      </c>
      <c r="D86" s="3" t="s">
        <v>28</v>
      </c>
      <c r="E86" s="3" t="s">
        <v>21</v>
      </c>
      <c r="F86" s="3" t="s">
        <v>22</v>
      </c>
      <c r="G86" s="0" t="n">
        <v>548</v>
      </c>
      <c r="H86" s="0" t="n">
        <v>0</v>
      </c>
      <c r="I86" s="0" t="n">
        <v>0</v>
      </c>
      <c r="J86" s="0" t="n">
        <v>41</v>
      </c>
      <c r="K86" s="0" t="n">
        <v>5</v>
      </c>
      <c r="L86" s="3" t="s">
        <v>17</v>
      </c>
    </row>
    <row r="87" customFormat="false" ht="15" hidden="false" customHeight="false" outlineLevel="0" collapsed="false">
      <c r="A87" s="0" t="s">
        <v>137</v>
      </c>
      <c r="B87" s="2" t="n">
        <v>45697</v>
      </c>
      <c r="C87" s="3" t="s">
        <v>51</v>
      </c>
      <c r="D87" s="3" t="s">
        <v>25</v>
      </c>
      <c r="E87" s="3" t="s">
        <v>21</v>
      </c>
      <c r="F87" s="3" t="s">
        <v>36</v>
      </c>
      <c r="G87" s="0" t="n">
        <v>400</v>
      </c>
      <c r="H87" s="0" t="n">
        <v>42</v>
      </c>
      <c r="I87" s="0" t="n">
        <v>30</v>
      </c>
      <c r="J87" s="0" t="n">
        <v>27</v>
      </c>
      <c r="K87" s="0" t="n">
        <v>4.3</v>
      </c>
      <c r="L87" s="3" t="s">
        <v>17</v>
      </c>
    </row>
    <row r="88" customFormat="false" ht="15" hidden="false" customHeight="false" outlineLevel="0" collapsed="false">
      <c r="A88" s="0" t="s">
        <v>138</v>
      </c>
      <c r="B88" s="2" t="n">
        <v>45934</v>
      </c>
      <c r="C88" s="3" t="s">
        <v>24</v>
      </c>
      <c r="D88" s="3" t="s">
        <v>25</v>
      </c>
      <c r="E88" s="3" t="s">
        <v>21</v>
      </c>
      <c r="F88" s="3" t="s">
        <v>16</v>
      </c>
      <c r="G88" s="0" t="n">
        <v>545</v>
      </c>
      <c r="H88" s="0" t="n">
        <v>74</v>
      </c>
      <c r="I88" s="0" t="n">
        <v>0</v>
      </c>
      <c r="J88" s="0" t="n">
        <v>26</v>
      </c>
      <c r="K88" s="0" t="n">
        <v>4.4</v>
      </c>
      <c r="L88" s="3" t="s">
        <v>17</v>
      </c>
    </row>
    <row r="89" customFormat="false" ht="15" hidden="false" customHeight="false" outlineLevel="0" collapsed="false">
      <c r="A89" s="0" t="s">
        <v>139</v>
      </c>
      <c r="B89" s="2" t="n">
        <v>45843</v>
      </c>
      <c r="C89" s="3" t="s">
        <v>27</v>
      </c>
      <c r="D89" s="3" t="s">
        <v>56</v>
      </c>
      <c r="E89" s="3" t="s">
        <v>21</v>
      </c>
      <c r="F89" s="3" t="s">
        <v>22</v>
      </c>
      <c r="G89" s="0" t="n">
        <v>408</v>
      </c>
      <c r="H89" s="0" t="n">
        <v>0</v>
      </c>
      <c r="I89" s="0" t="n">
        <v>20</v>
      </c>
      <c r="J89" s="0" t="n">
        <v>46</v>
      </c>
      <c r="K89" s="0" t="n">
        <v>3.8</v>
      </c>
      <c r="L89" s="3" t="s">
        <v>17</v>
      </c>
    </row>
    <row r="90" customFormat="false" ht="15" hidden="false" customHeight="false" outlineLevel="0" collapsed="false">
      <c r="A90" s="0" t="s">
        <v>140</v>
      </c>
      <c r="B90" s="2" t="n">
        <v>45727</v>
      </c>
      <c r="C90" s="3" t="s">
        <v>24</v>
      </c>
      <c r="D90" s="3" t="s">
        <v>20</v>
      </c>
      <c r="E90" s="3" t="s">
        <v>21</v>
      </c>
      <c r="F90" s="3" t="s">
        <v>22</v>
      </c>
      <c r="G90" s="0" t="n">
        <v>790</v>
      </c>
      <c r="H90" s="0" t="n">
        <v>0</v>
      </c>
      <c r="I90" s="0" t="n">
        <v>0</v>
      </c>
      <c r="J90" s="0" t="n">
        <v>38</v>
      </c>
      <c r="K90" s="0" t="n">
        <v>4.1</v>
      </c>
      <c r="L90" s="3" t="s">
        <v>17</v>
      </c>
    </row>
    <row r="91" customFormat="false" ht="15" hidden="false" customHeight="false" outlineLevel="0" collapsed="false">
      <c r="A91" s="0" t="s">
        <v>141</v>
      </c>
      <c r="B91" s="2" t="n">
        <v>45857</v>
      </c>
      <c r="C91" s="3" t="s">
        <v>40</v>
      </c>
      <c r="D91" s="3" t="s">
        <v>49</v>
      </c>
      <c r="E91" s="3" t="s">
        <v>21</v>
      </c>
      <c r="F91" s="3" t="s">
        <v>36</v>
      </c>
      <c r="G91" s="0" t="n">
        <v>394</v>
      </c>
      <c r="H91" s="0" t="n">
        <v>0</v>
      </c>
      <c r="I91" s="0" t="n">
        <v>20</v>
      </c>
      <c r="J91" s="0" t="n">
        <v>39</v>
      </c>
      <c r="K91" s="0" t="n">
        <v>4.2</v>
      </c>
      <c r="L91" s="3" t="s">
        <v>17</v>
      </c>
    </row>
    <row r="92" customFormat="false" ht="15" hidden="false" customHeight="false" outlineLevel="0" collapsed="false">
      <c r="A92" s="0" t="s">
        <v>142</v>
      </c>
      <c r="B92" s="2" t="n">
        <v>45723</v>
      </c>
      <c r="C92" s="3" t="s">
        <v>40</v>
      </c>
      <c r="D92" s="3" t="s">
        <v>14</v>
      </c>
      <c r="E92" s="3" t="s">
        <v>15</v>
      </c>
      <c r="F92" s="3" t="s">
        <v>22</v>
      </c>
      <c r="G92" s="0" t="n">
        <v>255</v>
      </c>
      <c r="H92" s="0" t="n">
        <v>49</v>
      </c>
      <c r="I92" s="0" t="n">
        <v>30</v>
      </c>
      <c r="L92" s="3" t="s">
        <v>68</v>
      </c>
    </row>
    <row r="93" customFormat="false" ht="15" hidden="false" customHeight="false" outlineLevel="0" collapsed="false">
      <c r="A93" s="0" t="s">
        <v>143</v>
      </c>
      <c r="B93" s="2" t="n">
        <v>45925</v>
      </c>
      <c r="C93" s="3" t="s">
        <v>40</v>
      </c>
      <c r="D93" s="3" t="s">
        <v>49</v>
      </c>
      <c r="E93" s="3" t="s">
        <v>58</v>
      </c>
      <c r="F93" s="3" t="s">
        <v>22</v>
      </c>
      <c r="G93" s="0" t="n">
        <v>675</v>
      </c>
      <c r="H93" s="0" t="n">
        <v>86</v>
      </c>
      <c r="I93" s="0" t="n">
        <v>0</v>
      </c>
      <c r="J93" s="0" t="n">
        <v>34</v>
      </c>
      <c r="K93" s="0" t="n">
        <v>4.5</v>
      </c>
      <c r="L93" s="3" t="s">
        <v>17</v>
      </c>
    </row>
    <row r="94" customFormat="false" ht="15" hidden="false" customHeight="false" outlineLevel="0" collapsed="false">
      <c r="A94" s="0" t="s">
        <v>144</v>
      </c>
      <c r="B94" s="2" t="n">
        <v>45837</v>
      </c>
      <c r="C94" s="3" t="s">
        <v>51</v>
      </c>
      <c r="D94" s="3" t="s">
        <v>14</v>
      </c>
      <c r="E94" s="3" t="s">
        <v>21</v>
      </c>
      <c r="F94" s="3" t="s">
        <v>34</v>
      </c>
      <c r="G94" s="0" t="n">
        <v>322</v>
      </c>
      <c r="H94" s="0" t="n">
        <v>48</v>
      </c>
      <c r="I94" s="0" t="n">
        <v>40</v>
      </c>
      <c r="J94" s="0" t="n">
        <v>36</v>
      </c>
      <c r="K94" s="0" t="n">
        <v>4.8</v>
      </c>
      <c r="L94" s="3" t="s">
        <v>17</v>
      </c>
    </row>
    <row r="95" customFormat="false" ht="15" hidden="false" customHeight="false" outlineLevel="0" collapsed="false">
      <c r="A95" s="0" t="s">
        <v>145</v>
      </c>
      <c r="B95" s="2" t="n">
        <v>45814</v>
      </c>
      <c r="C95" s="3" t="s">
        <v>27</v>
      </c>
      <c r="D95" s="3" t="s">
        <v>78</v>
      </c>
      <c r="E95" s="3" t="s">
        <v>15</v>
      </c>
      <c r="F95" s="3" t="s">
        <v>34</v>
      </c>
      <c r="G95" s="0" t="n">
        <v>202</v>
      </c>
      <c r="H95" s="0" t="n">
        <v>0</v>
      </c>
      <c r="I95" s="0" t="n">
        <v>45</v>
      </c>
      <c r="J95" s="0" t="n">
        <v>60</v>
      </c>
      <c r="K95" s="0" t="n">
        <v>4.2</v>
      </c>
      <c r="L95" s="3" t="s">
        <v>17</v>
      </c>
    </row>
    <row r="96" customFormat="false" ht="15" hidden="false" customHeight="false" outlineLevel="0" collapsed="false">
      <c r="A96" s="0" t="s">
        <v>146</v>
      </c>
      <c r="B96" s="2" t="n">
        <v>45783</v>
      </c>
      <c r="C96" s="3" t="s">
        <v>30</v>
      </c>
      <c r="D96" s="3" t="s">
        <v>56</v>
      </c>
      <c r="E96" s="3" t="s">
        <v>15</v>
      </c>
      <c r="F96" s="3" t="s">
        <v>54</v>
      </c>
      <c r="G96" s="0" t="n">
        <v>416</v>
      </c>
      <c r="H96" s="0" t="n">
        <v>85</v>
      </c>
      <c r="I96" s="0" t="n">
        <v>20</v>
      </c>
      <c r="J96" s="0" t="n">
        <v>39</v>
      </c>
      <c r="K96" s="0" t="n">
        <v>4.3</v>
      </c>
      <c r="L96" s="3" t="s">
        <v>17</v>
      </c>
    </row>
    <row r="97" customFormat="false" ht="15" hidden="false" customHeight="false" outlineLevel="0" collapsed="false">
      <c r="A97" s="0" t="s">
        <v>147</v>
      </c>
      <c r="B97" s="2" t="n">
        <v>45903</v>
      </c>
      <c r="C97" s="3" t="s">
        <v>13</v>
      </c>
      <c r="D97" s="3" t="s">
        <v>31</v>
      </c>
      <c r="E97" s="3" t="s">
        <v>21</v>
      </c>
      <c r="F97" s="3" t="s">
        <v>22</v>
      </c>
      <c r="G97" s="0" t="n">
        <v>516</v>
      </c>
      <c r="H97" s="0" t="n">
        <v>0</v>
      </c>
      <c r="I97" s="0" t="n">
        <v>0</v>
      </c>
      <c r="J97" s="0" t="n">
        <v>31</v>
      </c>
      <c r="K97" s="0" t="n">
        <v>4.6</v>
      </c>
      <c r="L97" s="3" t="s">
        <v>17</v>
      </c>
    </row>
    <row r="98" customFormat="false" ht="15" hidden="false" customHeight="false" outlineLevel="0" collapsed="false">
      <c r="A98" s="0" t="s">
        <v>148</v>
      </c>
      <c r="B98" s="2" t="n">
        <v>45806</v>
      </c>
      <c r="C98" s="3" t="s">
        <v>40</v>
      </c>
      <c r="D98" s="3" t="s">
        <v>31</v>
      </c>
      <c r="E98" s="3" t="s">
        <v>21</v>
      </c>
      <c r="F98" s="3" t="s">
        <v>22</v>
      </c>
      <c r="G98" s="0" t="n">
        <v>513</v>
      </c>
      <c r="H98" s="0" t="n">
        <v>0</v>
      </c>
      <c r="I98" s="0" t="n">
        <v>0</v>
      </c>
      <c r="J98" s="0" t="n">
        <v>34</v>
      </c>
      <c r="K98" s="0" t="n">
        <v>4.9</v>
      </c>
      <c r="L98" s="3" t="s">
        <v>17</v>
      </c>
    </row>
    <row r="99" customFormat="false" ht="15" hidden="false" customHeight="false" outlineLevel="0" collapsed="false">
      <c r="A99" s="0" t="s">
        <v>149</v>
      </c>
      <c r="B99" s="0" t="s">
        <v>150</v>
      </c>
      <c r="C99" s="0" t="s">
        <v>40</v>
      </c>
      <c r="D99" s="0" t="s">
        <v>56</v>
      </c>
      <c r="E99" s="0" t="s">
        <v>15</v>
      </c>
      <c r="F99" s="0" t="s">
        <v>16</v>
      </c>
      <c r="G99" s="0" t="n">
        <v>224</v>
      </c>
      <c r="H99" s="0" t="n">
        <v>24</v>
      </c>
      <c r="I99" s="0" t="n">
        <v>40</v>
      </c>
      <c r="J99" s="0" t="n">
        <v>18</v>
      </c>
      <c r="K99" s="0" t="n">
        <v>4.1</v>
      </c>
      <c r="L99" s="0" t="s">
        <v>17</v>
      </c>
    </row>
    <row r="100" customFormat="false" ht="15" hidden="false" customHeight="false" outlineLevel="0" collapsed="false">
      <c r="A100" s="0" t="s">
        <v>151</v>
      </c>
      <c r="B100" s="2" t="n">
        <v>45709</v>
      </c>
      <c r="C100" s="3" t="s">
        <v>30</v>
      </c>
      <c r="D100" s="3" t="s">
        <v>25</v>
      </c>
      <c r="E100" s="3" t="s">
        <v>15</v>
      </c>
      <c r="F100" s="3" t="s">
        <v>34</v>
      </c>
      <c r="G100" s="0" t="n">
        <v>496</v>
      </c>
      <c r="H100" s="0" t="n">
        <v>81</v>
      </c>
      <c r="I100" s="0" t="n">
        <v>30</v>
      </c>
      <c r="J100" s="0" t="n">
        <v>38</v>
      </c>
      <c r="K100" s="0" t="n">
        <v>5</v>
      </c>
      <c r="L100" s="3" t="s">
        <v>17</v>
      </c>
    </row>
    <row r="101" customFormat="false" ht="15" hidden="false" customHeight="false" outlineLevel="0" collapsed="false">
      <c r="A101" s="0" t="s">
        <v>152</v>
      </c>
      <c r="B101" s="2" t="n">
        <v>46011</v>
      </c>
      <c r="C101" s="3" t="s">
        <v>24</v>
      </c>
      <c r="D101" s="3" t="s">
        <v>31</v>
      </c>
      <c r="E101" s="3" t="s">
        <v>21</v>
      </c>
      <c r="F101" s="3" t="s">
        <v>22</v>
      </c>
      <c r="G101" s="0" t="n">
        <v>515</v>
      </c>
      <c r="H101" s="0" t="n">
        <v>126</v>
      </c>
      <c r="I101" s="0" t="n">
        <v>0</v>
      </c>
      <c r="J101" s="0" t="n">
        <v>42</v>
      </c>
      <c r="K101" s="0" t="n">
        <v>3.8</v>
      </c>
      <c r="L101" s="3" t="s">
        <v>17</v>
      </c>
    </row>
    <row r="102" customFormat="false" ht="15" hidden="false" customHeight="false" outlineLevel="0" collapsed="false">
      <c r="A102" s="0" t="s">
        <v>153</v>
      </c>
      <c r="B102" s="2" t="n">
        <v>45994</v>
      </c>
      <c r="C102" s="3" t="s">
        <v>51</v>
      </c>
      <c r="D102" s="3" t="s">
        <v>78</v>
      </c>
      <c r="E102" s="3" t="s">
        <v>21</v>
      </c>
      <c r="F102" s="3" t="s">
        <v>16</v>
      </c>
      <c r="G102" s="0" t="n">
        <v>488</v>
      </c>
      <c r="H102" s="0" t="n">
        <v>53</v>
      </c>
      <c r="I102" s="0" t="n">
        <v>30</v>
      </c>
      <c r="J102" s="0" t="n">
        <v>31</v>
      </c>
      <c r="K102" s="0" t="n">
        <v>4.2</v>
      </c>
      <c r="L102" s="3" t="s">
        <v>17</v>
      </c>
    </row>
    <row r="103" customFormat="false" ht="15" hidden="false" customHeight="false" outlineLevel="0" collapsed="false">
      <c r="A103" s="0" t="s">
        <v>154</v>
      </c>
      <c r="B103" s="2" t="n">
        <v>45926</v>
      </c>
      <c r="C103" s="3" t="s">
        <v>40</v>
      </c>
      <c r="D103" s="3" t="s">
        <v>31</v>
      </c>
      <c r="E103" s="3" t="s">
        <v>21</v>
      </c>
      <c r="F103" s="3" t="s">
        <v>22</v>
      </c>
      <c r="G103" s="0" t="n">
        <v>460</v>
      </c>
      <c r="H103" s="0" t="n">
        <v>0</v>
      </c>
      <c r="I103" s="0" t="n">
        <v>45</v>
      </c>
      <c r="J103" s="0" t="n">
        <v>28</v>
      </c>
      <c r="K103" s="0" t="n">
        <v>3.8</v>
      </c>
      <c r="L103" s="3" t="s">
        <v>17</v>
      </c>
    </row>
    <row r="104" customFormat="false" ht="15" hidden="false" customHeight="false" outlineLevel="0" collapsed="false">
      <c r="A104" s="0" t="s">
        <v>155</v>
      </c>
      <c r="B104" s="2" t="n">
        <v>45769</v>
      </c>
      <c r="C104" s="3" t="s">
        <v>13</v>
      </c>
      <c r="D104" s="3" t="s">
        <v>78</v>
      </c>
      <c r="E104" s="3" t="s">
        <v>21</v>
      </c>
      <c r="F104" s="3" t="s">
        <v>36</v>
      </c>
      <c r="G104" s="0" t="n">
        <v>245</v>
      </c>
      <c r="H104" s="0" t="n">
        <v>0</v>
      </c>
      <c r="I104" s="0" t="n">
        <v>20</v>
      </c>
      <c r="J104" s="0" t="n">
        <v>25</v>
      </c>
      <c r="K104" s="0" t="n">
        <v>3.9</v>
      </c>
      <c r="L104" s="3" t="s">
        <v>17</v>
      </c>
    </row>
    <row r="105" customFormat="false" ht="15" hidden="false" customHeight="false" outlineLevel="0" collapsed="false">
      <c r="A105" s="0" t="s">
        <v>156</v>
      </c>
      <c r="B105" s="2" t="n">
        <v>46013</v>
      </c>
      <c r="C105" s="3" t="s">
        <v>30</v>
      </c>
      <c r="D105" s="3" t="s">
        <v>28</v>
      </c>
      <c r="E105" s="3" t="s">
        <v>21</v>
      </c>
      <c r="F105" s="3" t="s">
        <v>36</v>
      </c>
      <c r="G105" s="0" t="n">
        <v>458</v>
      </c>
      <c r="H105" s="0" t="n">
        <v>56</v>
      </c>
      <c r="I105" s="0" t="n">
        <v>40</v>
      </c>
      <c r="J105" s="0" t="n">
        <v>34</v>
      </c>
      <c r="L105" s="3" t="s">
        <v>17</v>
      </c>
    </row>
    <row r="106" customFormat="false" ht="15" hidden="false" customHeight="false" outlineLevel="0" collapsed="false">
      <c r="A106" s="0" t="s">
        <v>157</v>
      </c>
      <c r="B106" s="2" t="n">
        <v>45952</v>
      </c>
      <c r="C106" s="3" t="s">
        <v>47</v>
      </c>
      <c r="D106" s="3" t="s">
        <v>20</v>
      </c>
      <c r="E106" s="3" t="s">
        <v>21</v>
      </c>
      <c r="F106" s="3" t="s">
        <v>16</v>
      </c>
      <c r="G106" s="0" t="n">
        <v>793</v>
      </c>
      <c r="H106" s="0" t="n">
        <v>134</v>
      </c>
      <c r="I106" s="0" t="n">
        <v>0</v>
      </c>
      <c r="J106" s="0" t="n">
        <v>35</v>
      </c>
      <c r="K106" s="0" t="n">
        <v>5</v>
      </c>
      <c r="L106" s="3" t="s">
        <v>17</v>
      </c>
    </row>
    <row r="107" customFormat="false" ht="15" hidden="false" customHeight="false" outlineLevel="0" collapsed="false">
      <c r="A107" s="0" t="s">
        <v>158</v>
      </c>
      <c r="B107" s="2" t="n">
        <v>45932</v>
      </c>
      <c r="C107" s="3" t="s">
        <v>24</v>
      </c>
      <c r="D107" s="3" t="s">
        <v>28</v>
      </c>
      <c r="E107" s="3" t="s">
        <v>15</v>
      </c>
      <c r="F107" s="3" t="s">
        <v>54</v>
      </c>
      <c r="G107" s="0" t="n">
        <v>370</v>
      </c>
      <c r="H107" s="0" t="n">
        <v>46</v>
      </c>
      <c r="I107" s="0" t="n">
        <v>20</v>
      </c>
      <c r="J107" s="0" t="n">
        <v>41</v>
      </c>
      <c r="K107" s="0" t="n">
        <v>3.8</v>
      </c>
      <c r="L107" s="3" t="s">
        <v>17</v>
      </c>
    </row>
    <row r="108" customFormat="false" ht="15" hidden="false" customHeight="false" outlineLevel="0" collapsed="false">
      <c r="A108" s="0" t="s">
        <v>159</v>
      </c>
      <c r="B108" s="2" t="n">
        <v>45839</v>
      </c>
      <c r="C108" s="3" t="s">
        <v>19</v>
      </c>
      <c r="D108" s="3" t="s">
        <v>25</v>
      </c>
      <c r="E108" s="3" t="s">
        <v>21</v>
      </c>
      <c r="F108" s="3" t="s">
        <v>54</v>
      </c>
      <c r="G108" s="0" t="n">
        <v>503</v>
      </c>
      <c r="H108" s="0" t="n">
        <v>0</v>
      </c>
      <c r="I108" s="0" t="n">
        <v>0</v>
      </c>
      <c r="J108" s="0" t="n">
        <v>29</v>
      </c>
      <c r="K108" s="0" t="n">
        <v>4.6</v>
      </c>
      <c r="L108" s="3" t="s">
        <v>17</v>
      </c>
    </row>
    <row r="109" customFormat="false" ht="15" hidden="false" customHeight="false" outlineLevel="0" collapsed="false">
      <c r="A109" s="0" t="s">
        <v>160</v>
      </c>
      <c r="B109" s="2" t="n">
        <v>45772</v>
      </c>
      <c r="C109" s="3" t="s">
        <v>24</v>
      </c>
      <c r="D109" s="3" t="s">
        <v>20</v>
      </c>
      <c r="E109" s="3" t="s">
        <v>15</v>
      </c>
      <c r="F109" s="3" t="s">
        <v>22</v>
      </c>
      <c r="G109" s="0" t="n">
        <v>791</v>
      </c>
      <c r="H109" s="0" t="n">
        <v>0</v>
      </c>
      <c r="I109" s="0" t="n">
        <v>0</v>
      </c>
      <c r="J109" s="0" t="n">
        <v>43</v>
      </c>
      <c r="K109" s="0" t="n">
        <v>4.2</v>
      </c>
      <c r="L109" s="3" t="s">
        <v>17</v>
      </c>
    </row>
    <row r="110" customFormat="false" ht="15" hidden="false" customHeight="false" outlineLevel="0" collapsed="false">
      <c r="A110" s="0" t="s">
        <v>160</v>
      </c>
      <c r="B110" s="2" t="n">
        <v>45772</v>
      </c>
      <c r="C110" s="3" t="s">
        <v>24</v>
      </c>
      <c r="D110" s="3" t="s">
        <v>20</v>
      </c>
      <c r="E110" s="3" t="s">
        <v>15</v>
      </c>
      <c r="F110" s="3" t="s">
        <v>22</v>
      </c>
      <c r="G110" s="0" t="n">
        <v>791</v>
      </c>
      <c r="H110" s="0" t="n">
        <v>0</v>
      </c>
      <c r="I110" s="0" t="n">
        <v>0</v>
      </c>
      <c r="J110" s="0" t="n">
        <v>43</v>
      </c>
      <c r="K110" s="0" t="n">
        <v>4.2</v>
      </c>
      <c r="L110" s="3" t="s">
        <v>17</v>
      </c>
    </row>
    <row r="111" customFormat="false" ht="15" hidden="false" customHeight="false" outlineLevel="0" collapsed="false">
      <c r="A111" s="0" t="s">
        <v>161</v>
      </c>
      <c r="B111" s="2" t="n">
        <v>45700</v>
      </c>
      <c r="C111" s="3" t="s">
        <v>27</v>
      </c>
      <c r="D111" s="3" t="s">
        <v>31</v>
      </c>
      <c r="E111" s="3" t="s">
        <v>15</v>
      </c>
      <c r="F111" s="3" t="s">
        <v>22</v>
      </c>
      <c r="G111" s="0" t="n">
        <v>580</v>
      </c>
      <c r="H111" s="0" t="n">
        <v>75</v>
      </c>
      <c r="I111" s="0" t="n">
        <v>0</v>
      </c>
      <c r="J111" s="0" t="n">
        <v>45</v>
      </c>
      <c r="K111" s="0" t="n">
        <v>4.5</v>
      </c>
      <c r="L111" s="3" t="s">
        <v>17</v>
      </c>
    </row>
    <row r="112" customFormat="false" ht="15" hidden="false" customHeight="false" outlineLevel="0" collapsed="false">
      <c r="A112" s="0" t="s">
        <v>162</v>
      </c>
      <c r="B112" s="0" t="s">
        <v>163</v>
      </c>
      <c r="C112" s="0" t="s">
        <v>164</v>
      </c>
      <c r="D112" s="0" t="s">
        <v>49</v>
      </c>
      <c r="E112" s="0" t="s">
        <v>21</v>
      </c>
      <c r="F112" s="0" t="s">
        <v>34</v>
      </c>
      <c r="G112" s="0" t="n">
        <v>484</v>
      </c>
      <c r="H112" s="0" t="n">
        <v>0</v>
      </c>
      <c r="I112" s="0" t="n">
        <v>40</v>
      </c>
      <c r="L112" s="0" t="s">
        <v>68</v>
      </c>
    </row>
    <row r="113" customFormat="false" ht="15" hidden="false" customHeight="false" outlineLevel="0" collapsed="false">
      <c r="A113" s="0" t="s">
        <v>165</v>
      </c>
      <c r="B113" s="2" t="n">
        <v>45841</v>
      </c>
      <c r="C113" s="3" t="s">
        <v>24</v>
      </c>
      <c r="D113" s="3" t="s">
        <v>25</v>
      </c>
      <c r="E113" s="3" t="s">
        <v>21</v>
      </c>
      <c r="F113" s="3" t="s">
        <v>22</v>
      </c>
      <c r="G113" s="0" t="n">
        <v>474</v>
      </c>
      <c r="H113" s="0" t="n">
        <v>106</v>
      </c>
      <c r="I113" s="0" t="n">
        <v>20</v>
      </c>
      <c r="J113" s="0" t="n">
        <v>21</v>
      </c>
      <c r="K113" s="0" t="n">
        <v>5</v>
      </c>
      <c r="L113" s="3" t="s">
        <v>17</v>
      </c>
    </row>
    <row r="114" customFormat="false" ht="15" hidden="false" customHeight="false" outlineLevel="0" collapsed="false">
      <c r="A114" s="0" t="s">
        <v>166</v>
      </c>
      <c r="B114" s="2" t="n">
        <v>45744</v>
      </c>
      <c r="C114" s="3" t="s">
        <v>30</v>
      </c>
      <c r="D114" s="3" t="s">
        <v>25</v>
      </c>
      <c r="E114" s="3" t="s">
        <v>15</v>
      </c>
      <c r="F114" s="3" t="s">
        <v>22</v>
      </c>
      <c r="G114" s="0" t="n">
        <v>451</v>
      </c>
      <c r="H114" s="0" t="n">
        <v>76</v>
      </c>
      <c r="I114" s="0" t="n">
        <v>20</v>
      </c>
      <c r="J114" s="0" t="n">
        <v>22</v>
      </c>
      <c r="L114" s="3" t="s">
        <v>17</v>
      </c>
    </row>
    <row r="115" customFormat="false" ht="15" hidden="false" customHeight="false" outlineLevel="0" collapsed="false">
      <c r="A115" s="0" t="s">
        <v>167</v>
      </c>
      <c r="B115" s="2" t="n">
        <v>45785</v>
      </c>
      <c r="C115" s="3" t="s">
        <v>30</v>
      </c>
      <c r="D115" s="3" t="s">
        <v>28</v>
      </c>
      <c r="E115" s="3" t="s">
        <v>21</v>
      </c>
      <c r="F115" s="3" t="s">
        <v>22</v>
      </c>
      <c r="G115" s="0" t="n">
        <v>503</v>
      </c>
      <c r="H115" s="0" t="n">
        <v>117</v>
      </c>
      <c r="I115" s="0" t="n">
        <v>0</v>
      </c>
      <c r="J115" s="0" t="n">
        <v>28</v>
      </c>
      <c r="K115" s="0" t="n">
        <v>4.7</v>
      </c>
      <c r="L115" s="3" t="s">
        <v>17</v>
      </c>
    </row>
    <row r="116" customFormat="false" ht="15" hidden="false" customHeight="false" outlineLevel="0" collapsed="false">
      <c r="A116" s="0" t="s">
        <v>168</v>
      </c>
      <c r="B116" s="2" t="n">
        <v>45885</v>
      </c>
      <c r="C116" s="3" t="s">
        <v>24</v>
      </c>
      <c r="D116" s="3" t="s">
        <v>20</v>
      </c>
      <c r="E116" s="3" t="s">
        <v>21</v>
      </c>
      <c r="F116" s="3" t="s">
        <v>54</v>
      </c>
      <c r="G116" s="0" t="n">
        <v>791</v>
      </c>
      <c r="H116" s="0" t="n">
        <v>0</v>
      </c>
      <c r="I116" s="0" t="n">
        <v>0</v>
      </c>
      <c r="J116" s="0" t="n">
        <v>44</v>
      </c>
      <c r="K116" s="0" t="n">
        <v>4.4</v>
      </c>
      <c r="L116" s="3" t="s">
        <v>17</v>
      </c>
    </row>
    <row r="117" customFormat="false" ht="15" hidden="false" customHeight="false" outlineLevel="0" collapsed="false">
      <c r="A117" s="0" t="s">
        <v>169</v>
      </c>
      <c r="B117" s="2" t="n">
        <v>45733</v>
      </c>
      <c r="C117" s="3" t="s">
        <v>30</v>
      </c>
      <c r="D117" s="3" t="s">
        <v>56</v>
      </c>
      <c r="E117" s="3" t="s">
        <v>15</v>
      </c>
      <c r="F117" s="3" t="s">
        <v>22</v>
      </c>
      <c r="G117" s="0" t="n">
        <v>329</v>
      </c>
      <c r="H117" s="0" t="n">
        <v>64</v>
      </c>
      <c r="I117" s="0" t="n">
        <v>20</v>
      </c>
      <c r="J117" s="0" t="n">
        <v>44</v>
      </c>
      <c r="K117" s="0" t="n">
        <v>4</v>
      </c>
      <c r="L117" s="3" t="s">
        <v>17</v>
      </c>
    </row>
    <row r="118" customFormat="false" ht="15" hidden="false" customHeight="false" outlineLevel="0" collapsed="false">
      <c r="A118" s="0" t="s">
        <v>170</v>
      </c>
      <c r="B118" s="2" t="n">
        <v>45977</v>
      </c>
      <c r="C118" s="3" t="s">
        <v>24</v>
      </c>
      <c r="D118" s="3" t="s">
        <v>20</v>
      </c>
      <c r="E118" s="3" t="s">
        <v>15</v>
      </c>
      <c r="F118" s="3" t="s">
        <v>36</v>
      </c>
      <c r="G118" s="0" t="n">
        <v>641</v>
      </c>
      <c r="H118" s="0" t="n">
        <v>153</v>
      </c>
      <c r="I118" s="0" t="n">
        <v>0</v>
      </c>
      <c r="J118" s="0" t="n">
        <v>35</v>
      </c>
      <c r="K118" s="0" t="n">
        <v>3.7</v>
      </c>
      <c r="L118" s="3" t="s">
        <v>17</v>
      </c>
    </row>
    <row r="119" customFormat="false" ht="15" hidden="false" customHeight="false" outlineLevel="0" collapsed="false">
      <c r="A119" s="0" t="s">
        <v>170</v>
      </c>
      <c r="B119" s="2" t="n">
        <v>45977</v>
      </c>
      <c r="C119" s="3" t="s">
        <v>24</v>
      </c>
      <c r="D119" s="3" t="s">
        <v>20</v>
      </c>
      <c r="E119" s="3" t="s">
        <v>15</v>
      </c>
      <c r="F119" s="3" t="s">
        <v>36</v>
      </c>
      <c r="G119" s="0" t="n">
        <v>641</v>
      </c>
      <c r="H119" s="0" t="n">
        <v>153</v>
      </c>
      <c r="I119" s="0" t="n">
        <v>0</v>
      </c>
      <c r="J119" s="0" t="n">
        <v>35</v>
      </c>
      <c r="K119" s="0" t="n">
        <v>3.7</v>
      </c>
      <c r="L119" s="3" t="s">
        <v>17</v>
      </c>
    </row>
    <row r="120" customFormat="false" ht="15" hidden="false" customHeight="false" outlineLevel="0" collapsed="false">
      <c r="A120" s="0" t="s">
        <v>171</v>
      </c>
      <c r="B120" s="0" t="s">
        <v>172</v>
      </c>
      <c r="C120" s="0" t="s">
        <v>40</v>
      </c>
      <c r="D120" s="0" t="s">
        <v>31</v>
      </c>
      <c r="E120" s="0" t="s">
        <v>15</v>
      </c>
      <c r="F120" s="0" t="s">
        <v>22</v>
      </c>
      <c r="G120" s="0" t="n">
        <v>441</v>
      </c>
      <c r="H120" s="0" t="n">
        <v>55</v>
      </c>
      <c r="I120" s="0" t="n">
        <v>40</v>
      </c>
      <c r="J120" s="0" t="n">
        <v>34</v>
      </c>
      <c r="L120" s="0" t="s">
        <v>17</v>
      </c>
    </row>
    <row r="121" customFormat="false" ht="15" hidden="false" customHeight="false" outlineLevel="0" collapsed="false">
      <c r="A121" s="0" t="s">
        <v>173</v>
      </c>
      <c r="B121" s="2" t="n">
        <v>45933</v>
      </c>
      <c r="C121" s="3" t="s">
        <v>27</v>
      </c>
      <c r="D121" s="3" t="s">
        <v>28</v>
      </c>
      <c r="E121" s="3" t="s">
        <v>21</v>
      </c>
      <c r="F121" s="3" t="s">
        <v>22</v>
      </c>
      <c r="G121" s="0" t="n">
        <v>364</v>
      </c>
      <c r="H121" s="0" t="n">
        <v>0</v>
      </c>
      <c r="I121" s="0" t="n">
        <v>45</v>
      </c>
      <c r="J121" s="0" t="n">
        <v>28</v>
      </c>
      <c r="K121" s="0" t="n">
        <v>5</v>
      </c>
      <c r="L121" s="3" t="s">
        <v>17</v>
      </c>
    </row>
    <row r="122" customFormat="false" ht="15" hidden="false" customHeight="false" outlineLevel="0" collapsed="false">
      <c r="A122" s="0" t="s">
        <v>174</v>
      </c>
      <c r="B122" s="2" t="n">
        <v>45832</v>
      </c>
      <c r="C122" s="3" t="s">
        <v>19</v>
      </c>
      <c r="D122" s="3" t="s">
        <v>25</v>
      </c>
      <c r="E122" s="3" t="s">
        <v>21</v>
      </c>
      <c r="F122" s="3" t="s">
        <v>36</v>
      </c>
      <c r="G122" s="0" t="n">
        <v>541</v>
      </c>
      <c r="H122" s="0" t="n">
        <v>105</v>
      </c>
      <c r="I122" s="0" t="n">
        <v>0</v>
      </c>
      <c r="J122" s="0" t="n">
        <v>34</v>
      </c>
      <c r="K122" s="0" t="n">
        <v>4.9</v>
      </c>
      <c r="L122" s="3" t="s">
        <v>17</v>
      </c>
    </row>
    <row r="123" customFormat="false" ht="15" hidden="false" customHeight="false" outlineLevel="0" collapsed="false">
      <c r="A123" s="0" t="s">
        <v>175</v>
      </c>
      <c r="B123" s="2" t="n">
        <v>45902</v>
      </c>
      <c r="C123" s="3" t="s">
        <v>40</v>
      </c>
      <c r="D123" s="3" t="s">
        <v>25</v>
      </c>
      <c r="E123" s="3" t="s">
        <v>21</v>
      </c>
      <c r="F123" s="3" t="s">
        <v>22</v>
      </c>
      <c r="G123" s="0" t="n">
        <v>663</v>
      </c>
      <c r="H123" s="0" t="n">
        <v>0</v>
      </c>
      <c r="I123" s="0" t="n">
        <v>0</v>
      </c>
      <c r="J123" s="0" t="n">
        <v>34</v>
      </c>
      <c r="K123" s="0" t="n">
        <v>4.2</v>
      </c>
      <c r="L123" s="3" t="s">
        <v>17</v>
      </c>
    </row>
    <row r="124" customFormat="false" ht="15" hidden="false" customHeight="false" outlineLevel="0" collapsed="false">
      <c r="A124" s="0" t="s">
        <v>176</v>
      </c>
      <c r="B124" s="2" t="n">
        <v>45886</v>
      </c>
      <c r="C124" s="3" t="s">
        <v>24</v>
      </c>
      <c r="D124" s="3" t="s">
        <v>31</v>
      </c>
      <c r="E124" s="3" t="s">
        <v>15</v>
      </c>
      <c r="F124" s="3" t="s">
        <v>22</v>
      </c>
      <c r="G124" s="0" t="n">
        <v>688</v>
      </c>
      <c r="H124" s="0" t="n">
        <v>86</v>
      </c>
      <c r="I124" s="0" t="n">
        <v>0</v>
      </c>
      <c r="J124" s="0" t="n">
        <v>57</v>
      </c>
      <c r="K124" s="0" t="n">
        <v>3.9</v>
      </c>
      <c r="L124" s="3" t="s">
        <v>17</v>
      </c>
    </row>
    <row r="125" customFormat="false" ht="15" hidden="false" customHeight="false" outlineLevel="0" collapsed="false">
      <c r="A125" s="0" t="s">
        <v>177</v>
      </c>
      <c r="B125" s="2" t="n">
        <v>45909</v>
      </c>
      <c r="C125" s="3" t="s">
        <v>27</v>
      </c>
      <c r="D125" s="3" t="s">
        <v>25</v>
      </c>
      <c r="E125" s="3" t="s">
        <v>21</v>
      </c>
      <c r="F125" s="3" t="s">
        <v>22</v>
      </c>
      <c r="G125" s="0" t="n">
        <v>475</v>
      </c>
      <c r="H125" s="0" t="n">
        <v>0</v>
      </c>
      <c r="I125" s="0" t="n">
        <v>40</v>
      </c>
      <c r="J125" s="0" t="n">
        <v>37</v>
      </c>
      <c r="K125" s="0" t="n">
        <v>4.8</v>
      </c>
      <c r="L125" s="3" t="s">
        <v>17</v>
      </c>
    </row>
    <row r="126" customFormat="false" ht="15" hidden="false" customHeight="false" outlineLevel="0" collapsed="false">
      <c r="A126" s="0" t="s">
        <v>178</v>
      </c>
      <c r="B126" s="2" t="n">
        <v>45695</v>
      </c>
      <c r="C126" s="3" t="s">
        <v>30</v>
      </c>
      <c r="D126" s="3" t="s">
        <v>25</v>
      </c>
      <c r="E126" s="3" t="s">
        <v>21</v>
      </c>
      <c r="F126" s="3" t="s">
        <v>36</v>
      </c>
      <c r="G126" s="0" t="n">
        <v>588</v>
      </c>
      <c r="H126" s="0" t="n">
        <v>0</v>
      </c>
      <c r="I126" s="0" t="n">
        <v>0</v>
      </c>
      <c r="J126" s="0" t="n">
        <v>46</v>
      </c>
      <c r="K126" s="0" t="n">
        <v>3.1</v>
      </c>
      <c r="L126" s="3" t="s">
        <v>17</v>
      </c>
    </row>
    <row r="127" customFormat="false" ht="15" hidden="false" customHeight="false" outlineLevel="0" collapsed="false">
      <c r="A127" s="0" t="s">
        <v>179</v>
      </c>
      <c r="B127" s="2" t="n">
        <v>45826</v>
      </c>
      <c r="C127" s="3" t="s">
        <v>40</v>
      </c>
      <c r="D127" s="3" t="s">
        <v>56</v>
      </c>
      <c r="E127" s="3" t="s">
        <v>21</v>
      </c>
      <c r="F127" s="3" t="s">
        <v>22</v>
      </c>
      <c r="G127" s="0" t="n">
        <v>398</v>
      </c>
      <c r="H127" s="0" t="n">
        <v>97</v>
      </c>
      <c r="I127" s="0" t="n">
        <v>40</v>
      </c>
      <c r="J127" s="0" t="n">
        <v>43</v>
      </c>
      <c r="K127" s="0" t="n">
        <v>3.9</v>
      </c>
      <c r="L127" s="3" t="s">
        <v>17</v>
      </c>
    </row>
    <row r="128" customFormat="false" ht="15" hidden="false" customHeight="false" outlineLevel="0" collapsed="false">
      <c r="A128" s="0" t="s">
        <v>180</v>
      </c>
      <c r="B128" s="2" t="n">
        <v>45676</v>
      </c>
      <c r="C128" s="3" t="s">
        <v>24</v>
      </c>
      <c r="D128" s="3" t="s">
        <v>31</v>
      </c>
      <c r="E128" s="3" t="s">
        <v>15</v>
      </c>
      <c r="F128" s="3" t="s">
        <v>22</v>
      </c>
      <c r="G128" s="0" t="n">
        <v>451</v>
      </c>
      <c r="H128" s="0" t="n">
        <v>49</v>
      </c>
      <c r="I128" s="0" t="n">
        <v>30</v>
      </c>
      <c r="J128" s="0" t="n">
        <v>29</v>
      </c>
      <c r="K128" s="0" t="n">
        <v>5</v>
      </c>
      <c r="L128" s="3" t="s">
        <v>17</v>
      </c>
    </row>
    <row r="129" customFormat="false" ht="15" hidden="false" customHeight="false" outlineLevel="0" collapsed="false">
      <c r="A129" s="0" t="s">
        <v>181</v>
      </c>
      <c r="B129" s="0" t="s">
        <v>182</v>
      </c>
      <c r="C129" s="0" t="s">
        <v>13</v>
      </c>
      <c r="D129" s="0" t="s">
        <v>31</v>
      </c>
      <c r="E129" s="0" t="s">
        <v>21</v>
      </c>
      <c r="F129" s="0" t="s">
        <v>22</v>
      </c>
      <c r="G129" s="0" t="n">
        <v>492</v>
      </c>
      <c r="H129" s="0" t="n">
        <v>0</v>
      </c>
      <c r="I129" s="0" t="n">
        <v>20</v>
      </c>
      <c r="J129" s="0" t="n">
        <v>35</v>
      </c>
      <c r="K129" s="0" t="n">
        <v>4.4</v>
      </c>
      <c r="L129" s="0" t="s">
        <v>17</v>
      </c>
    </row>
    <row r="130" customFormat="false" ht="15" hidden="false" customHeight="false" outlineLevel="0" collapsed="false">
      <c r="A130" s="0" t="s">
        <v>183</v>
      </c>
      <c r="B130" s="2" t="n">
        <v>45794</v>
      </c>
      <c r="C130" s="3" t="s">
        <v>24</v>
      </c>
      <c r="D130" s="3" t="s">
        <v>20</v>
      </c>
      <c r="E130" s="3" t="s">
        <v>21</v>
      </c>
      <c r="F130" s="3" t="s">
        <v>22</v>
      </c>
      <c r="G130" s="0" t="n">
        <v>508</v>
      </c>
      <c r="H130" s="0" t="n">
        <v>0</v>
      </c>
      <c r="I130" s="0" t="n">
        <v>0</v>
      </c>
      <c r="J130" s="0" t="n">
        <v>41</v>
      </c>
      <c r="K130" s="0" t="n">
        <v>3.6</v>
      </c>
      <c r="L130" s="3" t="s">
        <v>17</v>
      </c>
    </row>
    <row r="131" customFormat="false" ht="15" hidden="false" customHeight="false" outlineLevel="0" collapsed="false">
      <c r="A131" s="0" t="s">
        <v>184</v>
      </c>
      <c r="B131" s="2" t="n">
        <v>45720</v>
      </c>
      <c r="C131" s="3" t="s">
        <v>185</v>
      </c>
      <c r="D131" s="3" t="s">
        <v>31</v>
      </c>
      <c r="E131" s="3" t="s">
        <v>15</v>
      </c>
      <c r="F131" s="3" t="s">
        <v>22</v>
      </c>
      <c r="G131" s="0" t="n">
        <v>427</v>
      </c>
      <c r="H131" s="0" t="n">
        <v>0</v>
      </c>
      <c r="I131" s="0" t="n">
        <v>30</v>
      </c>
      <c r="J131" s="0" t="n">
        <v>36</v>
      </c>
      <c r="K131" s="0" t="n">
        <v>4.3</v>
      </c>
      <c r="L131" s="3" t="s">
        <v>17</v>
      </c>
    </row>
    <row r="132" customFormat="false" ht="15" hidden="false" customHeight="false" outlineLevel="0" collapsed="false">
      <c r="A132" s="0" t="s">
        <v>186</v>
      </c>
      <c r="B132" s="2" t="n">
        <v>45703</v>
      </c>
      <c r="C132" s="3" t="s">
        <v>40</v>
      </c>
      <c r="D132" s="3" t="s">
        <v>28</v>
      </c>
      <c r="E132" s="3" t="s">
        <v>15</v>
      </c>
      <c r="F132" s="3" t="s">
        <v>16</v>
      </c>
      <c r="G132" s="0" t="n">
        <v>482</v>
      </c>
      <c r="H132" s="0" t="n">
        <v>91</v>
      </c>
      <c r="I132" s="0" t="n">
        <v>45</v>
      </c>
      <c r="J132" s="0" t="n">
        <v>44</v>
      </c>
      <c r="K132" s="0" t="n">
        <v>4.6</v>
      </c>
      <c r="L132" s="3" t="s">
        <v>17</v>
      </c>
    </row>
    <row r="133" customFormat="false" ht="15" hidden="false" customHeight="false" outlineLevel="0" collapsed="false">
      <c r="A133" s="0" t="s">
        <v>187</v>
      </c>
      <c r="B133" s="2" t="n">
        <v>45888</v>
      </c>
      <c r="C133" s="3" t="s">
        <v>27</v>
      </c>
      <c r="D133" s="3" t="s">
        <v>49</v>
      </c>
      <c r="E133" s="3" t="s">
        <v>15</v>
      </c>
      <c r="F133" s="3" t="s">
        <v>22</v>
      </c>
      <c r="G133" s="0" t="n">
        <v>398</v>
      </c>
      <c r="H133" s="0" t="n">
        <v>57</v>
      </c>
      <c r="I133" s="0" t="n">
        <v>20</v>
      </c>
      <c r="J133" s="0" t="n">
        <v>48</v>
      </c>
      <c r="K133" s="0" t="n">
        <v>2.7</v>
      </c>
      <c r="L133" s="3" t="s">
        <v>17</v>
      </c>
    </row>
    <row r="134" customFormat="false" ht="15" hidden="false" customHeight="false" outlineLevel="0" collapsed="false">
      <c r="A134" s="0" t="s">
        <v>188</v>
      </c>
      <c r="B134" s="2" t="n">
        <v>45731</v>
      </c>
      <c r="C134" s="3" t="s">
        <v>27</v>
      </c>
      <c r="D134" s="3" t="s">
        <v>56</v>
      </c>
      <c r="E134" s="3" t="s">
        <v>15</v>
      </c>
      <c r="F134" s="3" t="s">
        <v>22</v>
      </c>
      <c r="G134" s="0" t="n">
        <v>341</v>
      </c>
      <c r="H134" s="0" t="n">
        <v>67</v>
      </c>
      <c r="I134" s="0" t="n">
        <v>40</v>
      </c>
      <c r="J134" s="0" t="n">
        <v>46</v>
      </c>
      <c r="K134" s="0" t="n">
        <v>4.1</v>
      </c>
      <c r="L134" s="3" t="s">
        <v>17</v>
      </c>
    </row>
    <row r="135" customFormat="false" ht="15" hidden="false" customHeight="false" outlineLevel="0" collapsed="false">
      <c r="A135" s="0" t="s">
        <v>189</v>
      </c>
      <c r="B135" s="2" t="n">
        <v>45999</v>
      </c>
      <c r="C135" s="3" t="s">
        <v>45</v>
      </c>
      <c r="D135" s="3" t="s">
        <v>49</v>
      </c>
      <c r="E135" s="3" t="s">
        <v>21</v>
      </c>
      <c r="F135" s="3" t="s">
        <v>34</v>
      </c>
      <c r="G135" s="0" t="n">
        <v>595</v>
      </c>
      <c r="H135" s="0" t="n">
        <v>77</v>
      </c>
      <c r="I135" s="0" t="n">
        <v>0</v>
      </c>
      <c r="J135" s="0" t="n">
        <v>30</v>
      </c>
      <c r="K135" s="0" t="n">
        <v>4.2</v>
      </c>
      <c r="L135" s="3" t="s">
        <v>17</v>
      </c>
    </row>
    <row r="136" customFormat="false" ht="15" hidden="false" customHeight="false" outlineLevel="0" collapsed="false">
      <c r="A136" s="0" t="s">
        <v>190</v>
      </c>
      <c r="B136" s="2" t="n">
        <v>45886</v>
      </c>
      <c r="C136" s="3" t="s">
        <v>13</v>
      </c>
      <c r="D136" s="3" t="s">
        <v>31</v>
      </c>
      <c r="E136" s="3" t="s">
        <v>15</v>
      </c>
      <c r="F136" s="3" t="s">
        <v>36</v>
      </c>
      <c r="G136" s="0" t="n">
        <v>329</v>
      </c>
      <c r="H136" s="0" t="n">
        <v>0</v>
      </c>
      <c r="I136" s="0" t="n">
        <v>45</v>
      </c>
      <c r="J136" s="0" t="n">
        <v>25</v>
      </c>
      <c r="K136" s="0" t="n">
        <v>3.7</v>
      </c>
      <c r="L136" s="3" t="s">
        <v>17</v>
      </c>
    </row>
    <row r="137" customFormat="false" ht="15" hidden="false" customHeight="false" outlineLevel="0" collapsed="false">
      <c r="A137" s="0" t="s">
        <v>191</v>
      </c>
      <c r="B137" s="2" t="n">
        <v>45801</v>
      </c>
      <c r="C137" s="3" t="s">
        <v>13</v>
      </c>
      <c r="D137" s="3" t="s">
        <v>31</v>
      </c>
      <c r="E137" s="3" t="s">
        <v>15</v>
      </c>
      <c r="F137" s="3" t="s">
        <v>22</v>
      </c>
      <c r="G137" s="0" t="n">
        <v>384</v>
      </c>
      <c r="H137" s="0" t="n">
        <v>69</v>
      </c>
      <c r="I137" s="0" t="n">
        <v>45</v>
      </c>
      <c r="J137" s="0" t="n">
        <v>32</v>
      </c>
      <c r="K137" s="0" t="n">
        <v>4.4</v>
      </c>
      <c r="L137" s="3" t="s">
        <v>17</v>
      </c>
    </row>
    <row r="138" customFormat="false" ht="15" hidden="false" customHeight="false" outlineLevel="0" collapsed="false">
      <c r="A138" s="0" t="s">
        <v>192</v>
      </c>
      <c r="B138" s="2" t="n">
        <v>45889</v>
      </c>
      <c r="C138" s="3" t="s">
        <v>19</v>
      </c>
      <c r="D138" s="3" t="s">
        <v>28</v>
      </c>
      <c r="E138" s="3" t="s">
        <v>21</v>
      </c>
      <c r="F138" s="3" t="s">
        <v>22</v>
      </c>
      <c r="G138" s="0" t="n">
        <v>515</v>
      </c>
      <c r="H138" s="0" t="n">
        <v>77</v>
      </c>
      <c r="I138" s="0" t="n">
        <v>0</v>
      </c>
      <c r="J138" s="0" t="n">
        <v>29</v>
      </c>
      <c r="K138" s="0" t="n">
        <v>4.4</v>
      </c>
      <c r="L138" s="3" t="s">
        <v>17</v>
      </c>
    </row>
    <row r="139" customFormat="false" ht="15" hidden="false" customHeight="false" outlineLevel="0" collapsed="false">
      <c r="A139" s="0" t="s">
        <v>193</v>
      </c>
      <c r="B139" s="2" t="n">
        <v>45668</v>
      </c>
      <c r="C139" s="3" t="s">
        <v>27</v>
      </c>
      <c r="D139" s="3" t="s">
        <v>28</v>
      </c>
      <c r="E139" s="3" t="s">
        <v>15</v>
      </c>
      <c r="F139" s="3" t="s">
        <v>22</v>
      </c>
      <c r="G139" s="0" t="n">
        <v>465</v>
      </c>
      <c r="H139" s="0" t="n">
        <v>0</v>
      </c>
      <c r="I139" s="0" t="n">
        <v>45</v>
      </c>
      <c r="J139" s="0" t="n">
        <v>29</v>
      </c>
      <c r="L139" s="3" t="s">
        <v>17</v>
      </c>
    </row>
    <row r="140" customFormat="false" ht="15" hidden="false" customHeight="false" outlineLevel="0" collapsed="false">
      <c r="A140" s="0" t="s">
        <v>194</v>
      </c>
      <c r="B140" s="0" t="s">
        <v>195</v>
      </c>
      <c r="C140" s="0" t="s">
        <v>27</v>
      </c>
      <c r="D140" s="0" t="s">
        <v>14</v>
      </c>
      <c r="E140" s="0" t="s">
        <v>15</v>
      </c>
      <c r="F140" s="0" t="s">
        <v>54</v>
      </c>
      <c r="H140" s="0" t="n">
        <v>0</v>
      </c>
      <c r="I140" s="0" t="n">
        <v>45</v>
      </c>
      <c r="L140" s="0" t="s">
        <v>68</v>
      </c>
    </row>
    <row r="141" customFormat="false" ht="15" hidden="false" customHeight="false" outlineLevel="0" collapsed="false">
      <c r="A141" s="0" t="s">
        <v>196</v>
      </c>
      <c r="B141" s="2" t="n">
        <v>45851</v>
      </c>
      <c r="C141" s="3" t="s">
        <v>51</v>
      </c>
      <c r="D141" s="3" t="s">
        <v>31</v>
      </c>
      <c r="E141" s="3" t="s">
        <v>21</v>
      </c>
      <c r="F141" s="3" t="s">
        <v>22</v>
      </c>
      <c r="G141" s="0" t="n">
        <v>391</v>
      </c>
      <c r="H141" s="0" t="n">
        <v>0</v>
      </c>
      <c r="I141" s="0" t="n">
        <v>30</v>
      </c>
      <c r="J141" s="0" t="n">
        <v>34</v>
      </c>
      <c r="K141" s="0" t="n">
        <v>3.8</v>
      </c>
      <c r="L141" s="3" t="s">
        <v>17</v>
      </c>
    </row>
    <row r="142" customFormat="false" ht="15" hidden="false" customHeight="false" outlineLevel="0" collapsed="false">
      <c r="A142" s="0" t="s">
        <v>197</v>
      </c>
      <c r="B142" s="2" t="n">
        <v>45954</v>
      </c>
      <c r="C142" s="3" t="s">
        <v>24</v>
      </c>
      <c r="D142" s="3" t="s">
        <v>28</v>
      </c>
      <c r="E142" s="3" t="s">
        <v>15</v>
      </c>
      <c r="F142" s="3" t="s">
        <v>22</v>
      </c>
      <c r="G142" s="0" t="n">
        <v>417</v>
      </c>
      <c r="H142" s="0" t="n">
        <v>52</v>
      </c>
      <c r="I142" s="0" t="n">
        <v>45</v>
      </c>
      <c r="J142" s="0" t="n">
        <v>27</v>
      </c>
      <c r="K142" s="0" t="n">
        <v>3.7</v>
      </c>
      <c r="L142" s="3" t="s">
        <v>17</v>
      </c>
    </row>
    <row r="143" customFormat="false" ht="15" hidden="false" customHeight="false" outlineLevel="0" collapsed="false">
      <c r="A143" s="0" t="s">
        <v>198</v>
      </c>
      <c r="B143" s="2" t="n">
        <v>45694</v>
      </c>
      <c r="C143" s="3" t="s">
        <v>13</v>
      </c>
      <c r="D143" s="3" t="s">
        <v>56</v>
      </c>
      <c r="E143" s="3" t="s">
        <v>15</v>
      </c>
      <c r="F143" s="3" t="s">
        <v>16</v>
      </c>
      <c r="G143" s="0" t="n">
        <v>360</v>
      </c>
      <c r="H143" s="0" t="n">
        <v>0</v>
      </c>
      <c r="I143" s="0" t="n">
        <v>40</v>
      </c>
      <c r="J143" s="0" t="n">
        <v>31</v>
      </c>
      <c r="K143" s="0" t="n">
        <v>4</v>
      </c>
      <c r="L143" s="3" t="s">
        <v>17</v>
      </c>
    </row>
    <row r="144" customFormat="false" ht="15" hidden="false" customHeight="false" outlineLevel="0" collapsed="false">
      <c r="A144" s="0" t="s">
        <v>199</v>
      </c>
      <c r="B144" s="2" t="n">
        <v>45852</v>
      </c>
      <c r="C144" s="3" t="s">
        <v>63</v>
      </c>
      <c r="D144" s="3" t="s">
        <v>25</v>
      </c>
      <c r="E144" s="3" t="s">
        <v>15</v>
      </c>
      <c r="F144" s="3" t="s">
        <v>22</v>
      </c>
      <c r="G144" s="0" t="n">
        <v>390</v>
      </c>
      <c r="H144" s="0" t="n">
        <v>59</v>
      </c>
      <c r="I144" s="0" t="n">
        <v>30</v>
      </c>
      <c r="J144" s="0" t="n">
        <v>31</v>
      </c>
      <c r="K144" s="0" t="n">
        <v>4.8</v>
      </c>
      <c r="L144" s="3" t="s">
        <v>17</v>
      </c>
    </row>
    <row r="145" customFormat="false" ht="15" hidden="false" customHeight="false" outlineLevel="0" collapsed="false">
      <c r="A145" s="0" t="s">
        <v>200</v>
      </c>
      <c r="B145" s="2" t="n">
        <v>45854</v>
      </c>
      <c r="C145" s="3" t="s">
        <v>40</v>
      </c>
      <c r="D145" s="3" t="s">
        <v>31</v>
      </c>
      <c r="E145" s="3" t="s">
        <v>15</v>
      </c>
      <c r="F145" s="3" t="s">
        <v>22</v>
      </c>
      <c r="G145" s="0" t="n">
        <v>508</v>
      </c>
      <c r="H145" s="0" t="n">
        <v>85</v>
      </c>
      <c r="I145" s="0" t="n">
        <v>0</v>
      </c>
      <c r="J145" s="0" t="n">
        <v>52</v>
      </c>
      <c r="K145" s="0" t="n">
        <v>4</v>
      </c>
      <c r="L145" s="3" t="s">
        <v>17</v>
      </c>
    </row>
    <row r="146" customFormat="false" ht="15" hidden="false" customHeight="false" outlineLevel="0" collapsed="false">
      <c r="A146" s="0" t="s">
        <v>201</v>
      </c>
      <c r="B146" s="0" t="s">
        <v>202</v>
      </c>
      <c r="C146" s="0" t="s">
        <v>27</v>
      </c>
      <c r="D146" s="0" t="s">
        <v>78</v>
      </c>
      <c r="E146" s="0" t="s">
        <v>21</v>
      </c>
      <c r="F146" s="0" t="s">
        <v>22</v>
      </c>
      <c r="G146" s="0" t="n">
        <v>246</v>
      </c>
      <c r="H146" s="0" t="n">
        <v>51</v>
      </c>
      <c r="I146" s="0" t="n">
        <v>40</v>
      </c>
      <c r="J146" s="0" t="n">
        <v>44</v>
      </c>
      <c r="K146" s="0" t="n">
        <v>4</v>
      </c>
      <c r="L146" s="0" t="s">
        <v>17</v>
      </c>
    </row>
    <row r="147" customFormat="false" ht="15" hidden="false" customHeight="false" outlineLevel="0" collapsed="false">
      <c r="A147" s="0" t="s">
        <v>203</v>
      </c>
      <c r="B147" s="2" t="n">
        <v>45882</v>
      </c>
      <c r="C147" s="3" t="s">
        <v>24</v>
      </c>
      <c r="D147" s="3" t="s">
        <v>31</v>
      </c>
      <c r="E147" s="3" t="s">
        <v>99</v>
      </c>
      <c r="F147" s="3" t="s">
        <v>34</v>
      </c>
      <c r="G147" s="0" t="n">
        <v>308</v>
      </c>
      <c r="H147" s="0" t="n">
        <v>0</v>
      </c>
      <c r="I147" s="0" t="n">
        <v>30</v>
      </c>
      <c r="J147" s="0" t="n">
        <v>43</v>
      </c>
      <c r="K147" s="0" t="n">
        <v>3.6</v>
      </c>
      <c r="L147" s="3" t="s">
        <v>17</v>
      </c>
    </row>
    <row r="148" customFormat="false" ht="15" hidden="false" customHeight="false" outlineLevel="0" collapsed="false">
      <c r="A148" s="0" t="s">
        <v>204</v>
      </c>
      <c r="B148" s="2" t="n">
        <v>45848</v>
      </c>
      <c r="C148" s="3" t="s">
        <v>185</v>
      </c>
      <c r="D148" s="3" t="s">
        <v>14</v>
      </c>
      <c r="E148" s="3" t="s">
        <v>15</v>
      </c>
      <c r="F148" s="3" t="s">
        <v>34</v>
      </c>
      <c r="G148" s="0" t="n">
        <v>276</v>
      </c>
      <c r="H148" s="0" t="n">
        <v>64</v>
      </c>
      <c r="I148" s="0" t="n">
        <v>40</v>
      </c>
      <c r="J148" s="0" t="n">
        <v>37</v>
      </c>
      <c r="K148" s="0" t="n">
        <v>4</v>
      </c>
      <c r="L148" s="3" t="s">
        <v>17</v>
      </c>
    </row>
    <row r="149" customFormat="false" ht="15" hidden="false" customHeight="false" outlineLevel="0" collapsed="false">
      <c r="A149" s="0" t="s">
        <v>205</v>
      </c>
      <c r="B149" s="0" t="s">
        <v>206</v>
      </c>
      <c r="C149" s="0" t="s">
        <v>27</v>
      </c>
      <c r="D149" s="0" t="s">
        <v>20</v>
      </c>
      <c r="E149" s="0" t="s">
        <v>21</v>
      </c>
      <c r="F149" s="0" t="s">
        <v>34</v>
      </c>
      <c r="G149" s="0" t="n">
        <v>784</v>
      </c>
      <c r="H149" s="0" t="n">
        <v>0</v>
      </c>
      <c r="I149" s="0" t="n">
        <v>0</v>
      </c>
      <c r="J149" s="0" t="n">
        <v>29</v>
      </c>
      <c r="K149" s="0" t="n">
        <v>4.8</v>
      </c>
      <c r="L149" s="0" t="s">
        <v>17</v>
      </c>
    </row>
    <row r="150" customFormat="false" ht="15" hidden="false" customHeight="false" outlineLevel="0" collapsed="false">
      <c r="A150" s="0" t="s">
        <v>207</v>
      </c>
      <c r="B150" s="2" t="n">
        <v>45795</v>
      </c>
      <c r="C150" s="3" t="s">
        <v>24</v>
      </c>
      <c r="D150" s="3" t="s">
        <v>28</v>
      </c>
      <c r="E150" s="3" t="s">
        <v>21</v>
      </c>
      <c r="F150" s="3" t="s">
        <v>36</v>
      </c>
      <c r="G150" s="0" t="n">
        <v>410</v>
      </c>
      <c r="H150" s="0" t="n">
        <v>0</v>
      </c>
      <c r="I150" s="0" t="n">
        <v>40</v>
      </c>
      <c r="J150" s="0" t="n">
        <v>41</v>
      </c>
      <c r="L150" s="3" t="s">
        <v>17</v>
      </c>
    </row>
    <row r="151" customFormat="false" ht="15" hidden="false" customHeight="false" outlineLevel="0" collapsed="false">
      <c r="A151" s="0" t="s">
        <v>208</v>
      </c>
      <c r="B151" s="2" t="n">
        <v>45864</v>
      </c>
      <c r="C151" s="3" t="s">
        <v>209</v>
      </c>
      <c r="D151" s="3" t="s">
        <v>28</v>
      </c>
      <c r="E151" s="3" t="s">
        <v>15</v>
      </c>
      <c r="F151" s="3" t="s">
        <v>22</v>
      </c>
      <c r="G151" s="0" t="n">
        <v>485</v>
      </c>
      <c r="H151" s="0" t="n">
        <v>0</v>
      </c>
      <c r="I151" s="0" t="n">
        <v>40</v>
      </c>
      <c r="J151" s="0" t="n">
        <v>26</v>
      </c>
      <c r="K151" s="0" t="n">
        <v>4.3</v>
      </c>
      <c r="L151" s="3" t="s">
        <v>17</v>
      </c>
    </row>
    <row r="152" customFormat="false" ht="15" hidden="false" customHeight="false" outlineLevel="0" collapsed="false">
      <c r="A152" s="0" t="s">
        <v>210</v>
      </c>
      <c r="B152" s="2" t="n">
        <v>45835</v>
      </c>
      <c r="C152" s="3" t="s">
        <v>45</v>
      </c>
      <c r="D152" s="3" t="s">
        <v>14</v>
      </c>
      <c r="E152" s="3" t="s">
        <v>99</v>
      </c>
      <c r="F152" s="3" t="s">
        <v>54</v>
      </c>
      <c r="G152" s="0" t="n">
        <v>226</v>
      </c>
      <c r="H152" s="0" t="n">
        <v>0</v>
      </c>
      <c r="I152" s="0" t="n">
        <v>40</v>
      </c>
      <c r="J152" s="0" t="n">
        <v>28</v>
      </c>
      <c r="L152" s="3" t="s">
        <v>17</v>
      </c>
    </row>
    <row r="153" customFormat="false" ht="15" hidden="false" customHeight="false" outlineLevel="0" collapsed="false">
      <c r="A153" s="0" t="s">
        <v>211</v>
      </c>
      <c r="B153" s="2" t="n">
        <v>45667</v>
      </c>
      <c r="C153" s="3" t="s">
        <v>30</v>
      </c>
      <c r="D153" s="3" t="s">
        <v>31</v>
      </c>
      <c r="E153" s="3" t="s">
        <v>21</v>
      </c>
      <c r="F153" s="3" t="s">
        <v>36</v>
      </c>
      <c r="G153" s="0" t="n">
        <v>564</v>
      </c>
      <c r="H153" s="0" t="n">
        <v>0</v>
      </c>
      <c r="I153" s="0" t="n">
        <v>0</v>
      </c>
      <c r="J153" s="0" t="n">
        <v>24</v>
      </c>
      <c r="K153" s="0" t="n">
        <v>4.2</v>
      </c>
      <c r="L153" s="3" t="s">
        <v>17</v>
      </c>
    </row>
    <row r="154" customFormat="false" ht="15" hidden="false" customHeight="false" outlineLevel="0" collapsed="false">
      <c r="A154" s="0" t="s">
        <v>212</v>
      </c>
      <c r="B154" s="2" t="n">
        <v>45968</v>
      </c>
      <c r="C154" s="3" t="s">
        <v>24</v>
      </c>
      <c r="D154" s="3" t="s">
        <v>31</v>
      </c>
      <c r="E154" s="3" t="s">
        <v>21</v>
      </c>
      <c r="F154" s="3" t="s">
        <v>36</v>
      </c>
      <c r="G154" s="0" t="n">
        <v>538</v>
      </c>
      <c r="H154" s="0" t="n">
        <v>117</v>
      </c>
      <c r="I154" s="0" t="n">
        <v>0</v>
      </c>
      <c r="J154" s="0" t="n">
        <v>37</v>
      </c>
      <c r="K154" s="0" t="n">
        <v>4</v>
      </c>
      <c r="L154" s="3" t="s">
        <v>17</v>
      </c>
    </row>
    <row r="155" customFormat="false" ht="15" hidden="false" customHeight="false" outlineLevel="0" collapsed="false">
      <c r="A155" s="0" t="s">
        <v>213</v>
      </c>
      <c r="B155" s="2" t="n">
        <v>45990</v>
      </c>
      <c r="C155" s="3" t="s">
        <v>71</v>
      </c>
      <c r="D155" s="3" t="s">
        <v>20</v>
      </c>
      <c r="E155" s="3" t="s">
        <v>21</v>
      </c>
      <c r="F155" s="3" t="s">
        <v>36</v>
      </c>
      <c r="G155" s="0" t="n">
        <v>468</v>
      </c>
      <c r="H155" s="0" t="n">
        <v>87</v>
      </c>
      <c r="I155" s="0" t="n">
        <v>45</v>
      </c>
      <c r="J155" s="0" t="n">
        <v>43</v>
      </c>
      <c r="K155" s="0" t="n">
        <v>3.6</v>
      </c>
      <c r="L155" s="3" t="s">
        <v>17</v>
      </c>
    </row>
    <row r="156" customFormat="false" ht="15" hidden="false" customHeight="false" outlineLevel="0" collapsed="false">
      <c r="A156" s="0" t="s">
        <v>214</v>
      </c>
      <c r="B156" s="2" t="n">
        <v>45718</v>
      </c>
      <c r="C156" s="3" t="s">
        <v>24</v>
      </c>
      <c r="D156" s="3" t="s">
        <v>25</v>
      </c>
      <c r="E156" s="3" t="s">
        <v>15</v>
      </c>
      <c r="F156" s="3" t="s">
        <v>22</v>
      </c>
      <c r="G156" s="0" t="n">
        <v>437</v>
      </c>
      <c r="H156" s="0" t="n">
        <v>0</v>
      </c>
      <c r="I156" s="0" t="n">
        <v>30</v>
      </c>
      <c r="J156" s="0" t="n">
        <v>43</v>
      </c>
      <c r="K156" s="0" t="n">
        <v>3.9</v>
      </c>
      <c r="L156" s="3" t="s">
        <v>17</v>
      </c>
    </row>
    <row r="157" customFormat="false" ht="15" hidden="false" customHeight="false" outlineLevel="0" collapsed="false">
      <c r="A157" s="0" t="s">
        <v>215</v>
      </c>
      <c r="B157" s="2" t="n">
        <v>45876</v>
      </c>
      <c r="C157" s="3" t="s">
        <v>40</v>
      </c>
      <c r="D157" s="3" t="s">
        <v>31</v>
      </c>
      <c r="E157" s="3" t="s">
        <v>15</v>
      </c>
      <c r="F157" s="3" t="s">
        <v>22</v>
      </c>
      <c r="G157" s="0" t="n">
        <v>500</v>
      </c>
      <c r="H157" s="0" t="n">
        <v>63</v>
      </c>
      <c r="I157" s="0" t="n">
        <v>0</v>
      </c>
      <c r="J157" s="0" t="n">
        <v>49</v>
      </c>
      <c r="K157" s="0" t="n">
        <v>4.3</v>
      </c>
      <c r="L157" s="3" t="s">
        <v>17</v>
      </c>
    </row>
    <row r="158" customFormat="false" ht="15" hidden="false" customHeight="false" outlineLevel="0" collapsed="false">
      <c r="A158" s="0" t="s">
        <v>216</v>
      </c>
      <c r="B158" s="2" t="n">
        <v>45705</v>
      </c>
      <c r="C158" s="3" t="s">
        <v>51</v>
      </c>
      <c r="D158" s="3" t="s">
        <v>31</v>
      </c>
      <c r="E158" s="3" t="s">
        <v>21</v>
      </c>
      <c r="F158" s="3" t="s">
        <v>16</v>
      </c>
      <c r="H158" s="0" t="n">
        <v>0</v>
      </c>
      <c r="I158" s="0" t="n">
        <v>45</v>
      </c>
      <c r="J158" s="0" t="n">
        <v>47</v>
      </c>
      <c r="K158" s="0" t="n">
        <v>4</v>
      </c>
      <c r="L158" s="3" t="s">
        <v>17</v>
      </c>
    </row>
    <row r="159" customFormat="false" ht="15" hidden="false" customHeight="false" outlineLevel="0" collapsed="false">
      <c r="A159" s="0" t="s">
        <v>217</v>
      </c>
      <c r="B159" s="2" t="n">
        <v>45917</v>
      </c>
      <c r="C159" s="3" t="s">
        <v>27</v>
      </c>
      <c r="D159" s="3" t="s">
        <v>25</v>
      </c>
      <c r="E159" s="3" t="s">
        <v>21</v>
      </c>
      <c r="G159" s="0" t="n">
        <v>335</v>
      </c>
      <c r="H159" s="0" t="n">
        <v>0</v>
      </c>
      <c r="I159" s="0" t="n">
        <v>20</v>
      </c>
      <c r="J159" s="0" t="n">
        <v>28</v>
      </c>
      <c r="K159" s="0" t="n">
        <v>4.9</v>
      </c>
      <c r="L159" s="3" t="s">
        <v>17</v>
      </c>
    </row>
    <row r="160" customFormat="false" ht="15" hidden="false" customHeight="false" outlineLevel="0" collapsed="false">
      <c r="A160" s="0" t="s">
        <v>218</v>
      </c>
      <c r="B160" s="2" t="n">
        <v>45775</v>
      </c>
      <c r="C160" s="3" t="s">
        <v>24</v>
      </c>
      <c r="D160" s="3" t="s">
        <v>31</v>
      </c>
      <c r="E160" s="3" t="s">
        <v>21</v>
      </c>
      <c r="F160" s="3" t="s">
        <v>16</v>
      </c>
      <c r="G160" s="0" t="n">
        <v>593</v>
      </c>
      <c r="H160" s="0" t="n">
        <v>0</v>
      </c>
      <c r="I160" s="0" t="n">
        <v>0</v>
      </c>
      <c r="J160" s="0" t="n">
        <v>28</v>
      </c>
      <c r="K160" s="0" t="n">
        <v>3.7</v>
      </c>
      <c r="L160" s="3" t="s">
        <v>17</v>
      </c>
    </row>
    <row r="161" customFormat="false" ht="15" hidden="false" customHeight="false" outlineLevel="0" collapsed="false">
      <c r="A161" s="0" t="s">
        <v>219</v>
      </c>
      <c r="B161" s="2" t="n">
        <v>45913</v>
      </c>
      <c r="C161" s="3" t="s">
        <v>45</v>
      </c>
      <c r="D161" s="3" t="s">
        <v>31</v>
      </c>
      <c r="E161" s="3" t="s">
        <v>15</v>
      </c>
      <c r="F161" s="3" t="s">
        <v>22</v>
      </c>
      <c r="G161" s="0" t="n">
        <v>527</v>
      </c>
      <c r="H161" s="0" t="n">
        <v>0</v>
      </c>
      <c r="I161" s="0" t="n">
        <v>0</v>
      </c>
      <c r="J161" s="0" t="n">
        <v>17</v>
      </c>
      <c r="K161" s="0" t="n">
        <v>4.6</v>
      </c>
      <c r="L161" s="3" t="s">
        <v>17</v>
      </c>
    </row>
    <row r="162" customFormat="false" ht="15" hidden="false" customHeight="false" outlineLevel="0" collapsed="false">
      <c r="A162" s="0" t="s">
        <v>220</v>
      </c>
      <c r="B162" s="0" t="s">
        <v>221</v>
      </c>
      <c r="C162" s="0" t="s">
        <v>24</v>
      </c>
      <c r="D162" s="0" t="s">
        <v>49</v>
      </c>
      <c r="E162" s="0" t="s">
        <v>21</v>
      </c>
      <c r="F162" s="0" t="s">
        <v>22</v>
      </c>
      <c r="G162" s="0" t="n">
        <v>464</v>
      </c>
      <c r="H162" s="0" t="n">
        <v>0</v>
      </c>
      <c r="I162" s="0" t="n">
        <v>40</v>
      </c>
      <c r="J162" s="0" t="n">
        <v>40</v>
      </c>
      <c r="K162" s="0" t="n">
        <v>3.2</v>
      </c>
      <c r="L162" s="0" t="s">
        <v>17</v>
      </c>
    </row>
    <row r="163" customFormat="false" ht="15" hidden="false" customHeight="false" outlineLevel="0" collapsed="false">
      <c r="A163" s="0" t="s">
        <v>222</v>
      </c>
      <c r="B163" s="2" t="n">
        <v>45949</v>
      </c>
      <c r="C163" s="3" t="s">
        <v>185</v>
      </c>
      <c r="D163" s="3" t="s">
        <v>25</v>
      </c>
      <c r="E163" s="3" t="s">
        <v>15</v>
      </c>
      <c r="F163" s="3" t="s">
        <v>54</v>
      </c>
      <c r="G163" s="0" t="n">
        <v>392</v>
      </c>
      <c r="H163" s="0" t="n">
        <v>0</v>
      </c>
      <c r="I163" s="0" t="n">
        <v>20</v>
      </c>
      <c r="J163" s="0" t="n">
        <v>33</v>
      </c>
      <c r="K163" s="0" t="n">
        <v>4.1</v>
      </c>
      <c r="L163" s="3" t="s">
        <v>17</v>
      </c>
    </row>
    <row r="164" customFormat="false" ht="15" hidden="false" customHeight="false" outlineLevel="0" collapsed="false">
      <c r="A164" s="0" t="s">
        <v>223</v>
      </c>
      <c r="B164" s="2" t="n">
        <v>45704</v>
      </c>
      <c r="C164" s="3" t="s">
        <v>40</v>
      </c>
      <c r="D164" s="3" t="s">
        <v>78</v>
      </c>
      <c r="E164" s="3" t="s">
        <v>21</v>
      </c>
      <c r="F164" s="3" t="s">
        <v>36</v>
      </c>
      <c r="G164" s="0" t="n">
        <v>383</v>
      </c>
      <c r="H164" s="0" t="n">
        <v>47</v>
      </c>
      <c r="I164" s="0" t="n">
        <v>30</v>
      </c>
      <c r="J164" s="0" t="n">
        <v>35</v>
      </c>
      <c r="K164" s="0" t="n">
        <v>3.8</v>
      </c>
      <c r="L164" s="3" t="s">
        <v>17</v>
      </c>
    </row>
    <row r="165" customFormat="false" ht="15" hidden="false" customHeight="false" outlineLevel="0" collapsed="false">
      <c r="A165" s="0" t="s">
        <v>224</v>
      </c>
      <c r="B165" s="2" t="n">
        <v>45996</v>
      </c>
      <c r="C165" s="3" t="s">
        <v>13</v>
      </c>
      <c r="D165" s="3" t="s">
        <v>78</v>
      </c>
      <c r="E165" s="3" t="s">
        <v>21</v>
      </c>
      <c r="F165" s="3" t="s">
        <v>16</v>
      </c>
      <c r="G165" s="0" t="n">
        <v>407</v>
      </c>
      <c r="H165" s="0" t="n">
        <v>0</v>
      </c>
      <c r="I165" s="0" t="n">
        <v>30</v>
      </c>
      <c r="J165" s="0" t="n">
        <v>31</v>
      </c>
      <c r="K165" s="0" t="n">
        <v>5</v>
      </c>
      <c r="L165" s="3" t="s">
        <v>17</v>
      </c>
    </row>
    <row r="166" customFormat="false" ht="15" hidden="false" customHeight="false" outlineLevel="0" collapsed="false">
      <c r="A166" s="0" t="s">
        <v>225</v>
      </c>
      <c r="B166" s="2" t="n">
        <v>45755</v>
      </c>
      <c r="C166" s="3" t="s">
        <v>30</v>
      </c>
      <c r="D166" s="3" t="s">
        <v>31</v>
      </c>
      <c r="E166" s="3" t="s">
        <v>21</v>
      </c>
      <c r="F166" s="3" t="s">
        <v>22</v>
      </c>
      <c r="G166" s="0" t="n">
        <v>581</v>
      </c>
      <c r="H166" s="0" t="n">
        <v>0</v>
      </c>
      <c r="I166" s="0" t="n">
        <v>0</v>
      </c>
      <c r="J166" s="0" t="n">
        <v>34</v>
      </c>
      <c r="K166" s="0" t="n">
        <v>4.5</v>
      </c>
      <c r="L166" s="3" t="s">
        <v>17</v>
      </c>
    </row>
    <row r="167" customFormat="false" ht="15" hidden="false" customHeight="false" outlineLevel="0" collapsed="false">
      <c r="A167" s="0" t="s">
        <v>226</v>
      </c>
      <c r="B167" s="2" t="n">
        <v>45674</v>
      </c>
      <c r="C167" s="3" t="s">
        <v>24</v>
      </c>
      <c r="D167" s="3" t="s">
        <v>28</v>
      </c>
      <c r="E167" s="3" t="s">
        <v>99</v>
      </c>
      <c r="F167" s="3" t="s">
        <v>34</v>
      </c>
      <c r="G167" s="0" t="n">
        <v>489</v>
      </c>
      <c r="H167" s="0" t="n">
        <v>90</v>
      </c>
      <c r="I167" s="0" t="n">
        <v>40</v>
      </c>
      <c r="J167" s="0" t="n">
        <v>26</v>
      </c>
      <c r="K167" s="0" t="n">
        <v>5</v>
      </c>
      <c r="L167" s="3" t="s">
        <v>17</v>
      </c>
    </row>
    <row r="168" customFormat="false" ht="15" hidden="false" customHeight="false" outlineLevel="0" collapsed="false">
      <c r="A168" s="0" t="s">
        <v>227</v>
      </c>
      <c r="B168" s="2" t="n">
        <v>45877</v>
      </c>
      <c r="C168" s="3" t="s">
        <v>51</v>
      </c>
      <c r="D168" s="3" t="s">
        <v>20</v>
      </c>
      <c r="E168" s="3" t="s">
        <v>21</v>
      </c>
      <c r="F168" s="3" t="s">
        <v>54</v>
      </c>
      <c r="G168" s="0" t="n">
        <v>695</v>
      </c>
      <c r="H168" s="0" t="n">
        <v>0</v>
      </c>
      <c r="I168" s="0" t="n">
        <v>0</v>
      </c>
      <c r="J168" s="0" t="n">
        <v>26</v>
      </c>
      <c r="K168" s="0" t="n">
        <v>4.3</v>
      </c>
      <c r="L168" s="3" t="s">
        <v>17</v>
      </c>
    </row>
    <row r="169" customFormat="false" ht="15" hidden="false" customHeight="false" outlineLevel="0" collapsed="false">
      <c r="A169" s="0" t="s">
        <v>228</v>
      </c>
      <c r="B169" s="2" t="n">
        <v>45809</v>
      </c>
      <c r="C169" s="3" t="s">
        <v>45</v>
      </c>
      <c r="D169" s="3" t="s">
        <v>28</v>
      </c>
      <c r="E169" s="3" t="s">
        <v>21</v>
      </c>
      <c r="F169" s="3" t="s">
        <v>34</v>
      </c>
      <c r="G169" s="0" t="n">
        <v>410</v>
      </c>
      <c r="H169" s="0" t="n">
        <v>0</v>
      </c>
      <c r="I169" s="0" t="n">
        <v>20</v>
      </c>
      <c r="J169" s="0" t="n">
        <v>30</v>
      </c>
      <c r="K169" s="0" t="n">
        <v>3.9</v>
      </c>
      <c r="L169" s="3" t="s">
        <v>17</v>
      </c>
    </row>
    <row r="170" customFormat="false" ht="15" hidden="false" customHeight="false" outlineLevel="0" collapsed="false">
      <c r="A170" s="0" t="s">
        <v>229</v>
      </c>
      <c r="B170" s="2" t="n">
        <v>45969</v>
      </c>
      <c r="C170" s="3" t="s">
        <v>45</v>
      </c>
      <c r="D170" s="3" t="s">
        <v>31</v>
      </c>
      <c r="E170" s="3" t="s">
        <v>21</v>
      </c>
      <c r="F170" s="3" t="s">
        <v>34</v>
      </c>
      <c r="G170" s="0" t="n">
        <v>590</v>
      </c>
      <c r="H170" s="0" t="n">
        <v>0</v>
      </c>
      <c r="I170" s="0" t="n">
        <v>0</v>
      </c>
      <c r="J170" s="0" t="n">
        <v>38</v>
      </c>
      <c r="K170" s="0" t="n">
        <v>3.7</v>
      </c>
      <c r="L170" s="3" t="s">
        <v>17</v>
      </c>
    </row>
    <row r="171" customFormat="false" ht="15" hidden="false" customHeight="false" outlineLevel="0" collapsed="false">
      <c r="A171" s="0" t="s">
        <v>230</v>
      </c>
      <c r="B171" s="0" t="s">
        <v>231</v>
      </c>
      <c r="C171" s="0" t="s">
        <v>24</v>
      </c>
      <c r="D171" s="0" t="s">
        <v>31</v>
      </c>
      <c r="E171" s="0" t="s">
        <v>15</v>
      </c>
      <c r="F171" s="0" t="s">
        <v>16</v>
      </c>
      <c r="G171" s="0" t="n">
        <v>498</v>
      </c>
      <c r="H171" s="0" t="n">
        <v>88</v>
      </c>
      <c r="I171" s="0" t="n">
        <v>20</v>
      </c>
      <c r="J171" s="0" t="n">
        <v>36</v>
      </c>
      <c r="K171" s="0" t="n">
        <v>4.4</v>
      </c>
      <c r="L171" s="0" t="s">
        <v>17</v>
      </c>
    </row>
    <row r="172" customFormat="false" ht="15" hidden="false" customHeight="false" outlineLevel="0" collapsed="false">
      <c r="A172" s="0" t="s">
        <v>232</v>
      </c>
      <c r="B172" s="2" t="n">
        <v>45789</v>
      </c>
      <c r="C172" s="3" t="s">
        <v>40</v>
      </c>
      <c r="D172" s="3" t="s">
        <v>31</v>
      </c>
      <c r="E172" s="3" t="s">
        <v>21</v>
      </c>
      <c r="F172" s="3" t="s">
        <v>22</v>
      </c>
      <c r="G172" s="0" t="n">
        <v>618</v>
      </c>
      <c r="H172" s="0" t="n">
        <v>137</v>
      </c>
      <c r="I172" s="0" t="n">
        <v>0</v>
      </c>
      <c r="J172" s="0" t="n">
        <v>32</v>
      </c>
      <c r="K172" s="0" t="n">
        <v>5</v>
      </c>
      <c r="L172" s="3" t="s">
        <v>17</v>
      </c>
    </row>
    <row r="173" customFormat="false" ht="15" hidden="false" customHeight="false" outlineLevel="0" collapsed="false">
      <c r="A173" s="0" t="s">
        <v>233</v>
      </c>
      <c r="B173" s="0" t="s">
        <v>234</v>
      </c>
      <c r="C173" s="0" t="s">
        <v>45</v>
      </c>
      <c r="D173" s="0" t="s">
        <v>20</v>
      </c>
      <c r="E173" s="0" t="s">
        <v>15</v>
      </c>
      <c r="F173" s="0" t="s">
        <v>36</v>
      </c>
      <c r="G173" s="0" t="n">
        <v>650</v>
      </c>
      <c r="H173" s="0" t="n">
        <v>0</v>
      </c>
      <c r="I173" s="0" t="n">
        <v>0</v>
      </c>
      <c r="J173" s="0" t="n">
        <v>15</v>
      </c>
      <c r="K173" s="0" t="n">
        <v>5</v>
      </c>
      <c r="L173" s="0" t="s">
        <v>17</v>
      </c>
    </row>
    <row r="174" customFormat="false" ht="15" hidden="false" customHeight="false" outlineLevel="0" collapsed="false">
      <c r="A174" s="0" t="s">
        <v>235</v>
      </c>
      <c r="B174" s="2" t="n">
        <v>45779</v>
      </c>
      <c r="C174" s="3" t="s">
        <v>24</v>
      </c>
      <c r="D174" s="3" t="s">
        <v>78</v>
      </c>
      <c r="E174" s="3" t="s">
        <v>15</v>
      </c>
      <c r="F174" s="3" t="s">
        <v>54</v>
      </c>
      <c r="G174" s="0" t="n">
        <v>427</v>
      </c>
      <c r="H174" s="0" t="n">
        <v>89</v>
      </c>
      <c r="I174" s="0" t="n">
        <v>40</v>
      </c>
      <c r="J174" s="0" t="n">
        <v>43</v>
      </c>
      <c r="K174" s="0" t="n">
        <v>3.9</v>
      </c>
      <c r="L174" s="3" t="s">
        <v>17</v>
      </c>
    </row>
    <row r="175" customFormat="false" ht="15" hidden="false" customHeight="false" outlineLevel="0" collapsed="false">
      <c r="A175" s="0" t="s">
        <v>236</v>
      </c>
      <c r="B175" s="2" t="n">
        <v>45863</v>
      </c>
      <c r="C175" s="3" t="s">
        <v>27</v>
      </c>
      <c r="D175" s="3" t="s">
        <v>28</v>
      </c>
      <c r="E175" s="3" t="s">
        <v>15</v>
      </c>
      <c r="F175" s="3" t="s">
        <v>16</v>
      </c>
      <c r="G175" s="0" t="n">
        <v>260</v>
      </c>
      <c r="H175" s="0" t="n">
        <v>30</v>
      </c>
      <c r="I175" s="0" t="n">
        <v>20</v>
      </c>
      <c r="J175" s="0" t="n">
        <v>37</v>
      </c>
      <c r="K175" s="0" t="n">
        <v>4.1</v>
      </c>
      <c r="L175" s="3" t="s">
        <v>17</v>
      </c>
    </row>
    <row r="176" customFormat="false" ht="15" hidden="false" customHeight="false" outlineLevel="0" collapsed="false">
      <c r="A176" s="0" t="s">
        <v>237</v>
      </c>
      <c r="B176" s="2" t="n">
        <v>45765</v>
      </c>
      <c r="C176" s="3" t="s">
        <v>13</v>
      </c>
      <c r="D176" s="3" t="s">
        <v>28</v>
      </c>
      <c r="E176" s="3" t="s">
        <v>15</v>
      </c>
      <c r="G176" s="0" t="n">
        <v>386</v>
      </c>
      <c r="H176" s="0" t="n">
        <v>76</v>
      </c>
      <c r="I176" s="0" t="n">
        <v>30</v>
      </c>
      <c r="J176" s="0" t="n">
        <v>25</v>
      </c>
      <c r="K176" s="0" t="n">
        <v>4.5</v>
      </c>
      <c r="L176" s="3" t="s">
        <v>17</v>
      </c>
    </row>
    <row r="177" customFormat="false" ht="15" hidden="false" customHeight="false" outlineLevel="0" collapsed="false">
      <c r="A177" s="0" t="s">
        <v>238</v>
      </c>
      <c r="B177" s="2" t="n">
        <v>46003</v>
      </c>
      <c r="C177" s="3" t="s">
        <v>40</v>
      </c>
      <c r="D177" s="3" t="s">
        <v>78</v>
      </c>
      <c r="E177" s="3" t="s">
        <v>15</v>
      </c>
      <c r="F177" s="3" t="s">
        <v>16</v>
      </c>
      <c r="G177" s="0" t="n">
        <v>310</v>
      </c>
      <c r="H177" s="0" t="n">
        <v>37</v>
      </c>
      <c r="I177" s="0" t="n">
        <v>45</v>
      </c>
      <c r="J177" s="0" t="n">
        <v>26</v>
      </c>
      <c r="K177" s="0" t="n">
        <v>5</v>
      </c>
      <c r="L177" s="3" t="s">
        <v>17</v>
      </c>
    </row>
    <row r="178" customFormat="false" ht="15" hidden="false" customHeight="false" outlineLevel="0" collapsed="false">
      <c r="A178" s="0" t="s">
        <v>239</v>
      </c>
      <c r="B178" s="0" t="s">
        <v>240</v>
      </c>
      <c r="C178" s="0" t="s">
        <v>30</v>
      </c>
      <c r="D178" s="0" t="s">
        <v>28</v>
      </c>
      <c r="E178" s="0" t="s">
        <v>21</v>
      </c>
      <c r="F178" s="0" t="s">
        <v>16</v>
      </c>
      <c r="G178" s="0" t="n">
        <v>586</v>
      </c>
      <c r="H178" s="0" t="n">
        <v>65</v>
      </c>
      <c r="I178" s="0" t="n">
        <v>0</v>
      </c>
      <c r="J178" s="0" t="n">
        <v>21</v>
      </c>
      <c r="K178" s="0" t="n">
        <v>5</v>
      </c>
      <c r="L178" s="0" t="s">
        <v>17</v>
      </c>
    </row>
    <row r="179" customFormat="false" ht="15" hidden="false" customHeight="false" outlineLevel="0" collapsed="false">
      <c r="A179" s="0" t="s">
        <v>241</v>
      </c>
      <c r="B179" s="2" t="n">
        <v>45677</v>
      </c>
      <c r="C179" s="3" t="s">
        <v>51</v>
      </c>
      <c r="D179" s="3" t="s">
        <v>31</v>
      </c>
      <c r="E179" s="3" t="s">
        <v>15</v>
      </c>
      <c r="F179" s="3" t="s">
        <v>54</v>
      </c>
      <c r="G179" s="0" t="n">
        <v>383</v>
      </c>
      <c r="H179" s="0" t="n">
        <v>0</v>
      </c>
      <c r="I179" s="0" t="n">
        <v>30</v>
      </c>
      <c r="J179" s="0" t="n">
        <v>28</v>
      </c>
      <c r="K179" s="0" t="n">
        <v>4.6</v>
      </c>
      <c r="L179" s="3" t="s">
        <v>17</v>
      </c>
    </row>
    <row r="180" customFormat="false" ht="15" hidden="false" customHeight="false" outlineLevel="0" collapsed="false">
      <c r="A180" s="0" t="s">
        <v>242</v>
      </c>
      <c r="B180" s="2" t="n">
        <v>45834</v>
      </c>
      <c r="C180" s="3" t="s">
        <v>13</v>
      </c>
      <c r="D180" s="3" t="s">
        <v>14</v>
      </c>
      <c r="E180" s="3" t="s">
        <v>99</v>
      </c>
      <c r="F180" s="3" t="s">
        <v>36</v>
      </c>
      <c r="G180" s="0" t="n">
        <v>294</v>
      </c>
      <c r="H180" s="0" t="n">
        <v>0</v>
      </c>
      <c r="I180" s="0" t="n">
        <v>40</v>
      </c>
      <c r="J180" s="0" t="n">
        <v>31</v>
      </c>
      <c r="K180" s="0" t="n">
        <v>4.4</v>
      </c>
      <c r="L180" s="3" t="s">
        <v>17</v>
      </c>
    </row>
    <row r="181" customFormat="false" ht="15" hidden="false" customHeight="false" outlineLevel="0" collapsed="false">
      <c r="A181" s="0" t="s">
        <v>243</v>
      </c>
      <c r="B181" s="0" t="s">
        <v>244</v>
      </c>
      <c r="C181" s="0" t="s">
        <v>123</v>
      </c>
      <c r="D181" s="0" t="s">
        <v>25</v>
      </c>
      <c r="E181" s="0" t="s">
        <v>15</v>
      </c>
      <c r="F181" s="0" t="s">
        <v>22</v>
      </c>
      <c r="G181" s="0" t="n">
        <v>473</v>
      </c>
      <c r="H181" s="0" t="n">
        <v>59</v>
      </c>
      <c r="I181" s="0" t="n">
        <v>40</v>
      </c>
      <c r="L181" s="0" t="s">
        <v>68</v>
      </c>
    </row>
    <row r="182" customFormat="false" ht="15" hidden="false" customHeight="false" outlineLevel="0" collapsed="false">
      <c r="A182" s="0" t="s">
        <v>245</v>
      </c>
      <c r="B182" s="2" t="n">
        <v>45989</v>
      </c>
      <c r="C182" s="3" t="s">
        <v>45</v>
      </c>
      <c r="D182" s="3" t="s">
        <v>31</v>
      </c>
      <c r="E182" s="3" t="s">
        <v>15</v>
      </c>
      <c r="F182" s="3" t="s">
        <v>22</v>
      </c>
      <c r="G182" s="0" t="n">
        <v>413</v>
      </c>
      <c r="H182" s="0" t="n">
        <v>0</v>
      </c>
      <c r="I182" s="0" t="n">
        <v>20</v>
      </c>
      <c r="J182" s="0" t="n">
        <v>31</v>
      </c>
      <c r="K182" s="0" t="n">
        <v>4.6</v>
      </c>
      <c r="L182" s="3" t="s">
        <v>17</v>
      </c>
    </row>
    <row r="183" customFormat="false" ht="15" hidden="false" customHeight="false" outlineLevel="0" collapsed="false">
      <c r="A183" s="0" t="s">
        <v>246</v>
      </c>
      <c r="B183" s="2" t="n">
        <v>45942</v>
      </c>
      <c r="C183" s="3" t="s">
        <v>27</v>
      </c>
      <c r="D183" s="3" t="s">
        <v>56</v>
      </c>
      <c r="E183" s="3" t="s">
        <v>21</v>
      </c>
      <c r="F183" s="3" t="s">
        <v>16</v>
      </c>
      <c r="G183" s="0" t="n">
        <v>486</v>
      </c>
      <c r="H183" s="0" t="n">
        <v>0</v>
      </c>
      <c r="I183" s="0" t="n">
        <v>45</v>
      </c>
      <c r="J183" s="0" t="n">
        <v>40</v>
      </c>
      <c r="K183" s="0" t="n">
        <v>3.9</v>
      </c>
      <c r="L183" s="3" t="s">
        <v>17</v>
      </c>
    </row>
    <row r="184" customFormat="false" ht="15" hidden="false" customHeight="false" outlineLevel="0" collapsed="false">
      <c r="A184" s="0" t="s">
        <v>247</v>
      </c>
      <c r="B184" s="2" t="n">
        <v>45989</v>
      </c>
      <c r="C184" s="3" t="s">
        <v>13</v>
      </c>
      <c r="D184" s="3" t="s">
        <v>49</v>
      </c>
      <c r="E184" s="3" t="s">
        <v>21</v>
      </c>
      <c r="F184" s="3" t="s">
        <v>22</v>
      </c>
      <c r="G184" s="0" t="n">
        <v>333</v>
      </c>
      <c r="H184" s="0" t="n">
        <v>40</v>
      </c>
      <c r="I184" s="0" t="n">
        <v>45</v>
      </c>
      <c r="J184" s="0" t="n">
        <v>49</v>
      </c>
      <c r="K184" s="0" t="n">
        <v>3.5</v>
      </c>
      <c r="L184" s="3" t="s">
        <v>17</v>
      </c>
    </row>
    <row r="185" customFormat="false" ht="15" hidden="false" customHeight="false" outlineLevel="0" collapsed="false">
      <c r="A185" s="0" t="s">
        <v>248</v>
      </c>
      <c r="B185" s="2" t="n">
        <v>45989</v>
      </c>
      <c r="C185" s="3" t="s">
        <v>30</v>
      </c>
      <c r="D185" s="3" t="s">
        <v>25</v>
      </c>
      <c r="E185" s="3" t="s">
        <v>15</v>
      </c>
      <c r="F185" s="3" t="s">
        <v>16</v>
      </c>
      <c r="G185" s="0" t="n">
        <v>291</v>
      </c>
      <c r="H185" s="0" t="n">
        <v>0</v>
      </c>
      <c r="I185" s="0" t="n">
        <v>40</v>
      </c>
      <c r="J185" s="0" t="n">
        <v>19</v>
      </c>
      <c r="K185" s="0" t="n">
        <v>5</v>
      </c>
      <c r="L185" s="3" t="s">
        <v>17</v>
      </c>
    </row>
    <row r="186" customFormat="false" ht="15" hidden="false" customHeight="false" outlineLevel="0" collapsed="false">
      <c r="A186" s="0" t="s">
        <v>249</v>
      </c>
      <c r="B186" s="2" t="n">
        <v>45864</v>
      </c>
      <c r="C186" s="3" t="s">
        <v>13</v>
      </c>
      <c r="D186" s="3" t="s">
        <v>56</v>
      </c>
      <c r="E186" s="3" t="s">
        <v>21</v>
      </c>
      <c r="F186" s="3" t="s">
        <v>36</v>
      </c>
      <c r="G186" s="0" t="n">
        <v>424</v>
      </c>
      <c r="H186" s="0" t="n">
        <v>0</v>
      </c>
      <c r="I186" s="0" t="n">
        <v>20</v>
      </c>
      <c r="J186" s="0" t="n">
        <v>34</v>
      </c>
      <c r="K186" s="0" t="n">
        <v>4.3</v>
      </c>
      <c r="L186" s="3" t="s">
        <v>17</v>
      </c>
    </row>
    <row r="187" customFormat="false" ht="15" hidden="false" customHeight="false" outlineLevel="0" collapsed="false">
      <c r="A187" s="0" t="s">
        <v>250</v>
      </c>
      <c r="B187" s="2" t="n">
        <v>45788</v>
      </c>
      <c r="C187" s="3" t="s">
        <v>24</v>
      </c>
      <c r="D187" s="3" t="s">
        <v>31</v>
      </c>
      <c r="E187" s="3" t="s">
        <v>21</v>
      </c>
      <c r="F187" s="3" t="s">
        <v>34</v>
      </c>
      <c r="G187" s="0" t="n">
        <v>509</v>
      </c>
      <c r="H187" s="0" t="n">
        <v>116</v>
      </c>
      <c r="I187" s="0" t="n">
        <v>0</v>
      </c>
      <c r="J187" s="0" t="n">
        <v>37</v>
      </c>
      <c r="K187" s="0" t="n">
        <v>4.7</v>
      </c>
      <c r="L187" s="3" t="s">
        <v>17</v>
      </c>
    </row>
    <row r="188" customFormat="false" ht="15" hidden="false" customHeight="false" outlineLevel="0" collapsed="false">
      <c r="A188" s="0" t="s">
        <v>251</v>
      </c>
      <c r="B188" s="2" t="n">
        <v>45950</v>
      </c>
      <c r="C188" s="3" t="s">
        <v>40</v>
      </c>
      <c r="D188" s="3" t="s">
        <v>31</v>
      </c>
      <c r="E188" s="3" t="s">
        <v>21</v>
      </c>
      <c r="F188" s="3" t="s">
        <v>22</v>
      </c>
      <c r="G188" s="0" t="n">
        <v>397</v>
      </c>
      <c r="H188" s="0" t="n">
        <v>0</v>
      </c>
      <c r="I188" s="0" t="n">
        <v>40</v>
      </c>
      <c r="J188" s="0" t="n">
        <v>31</v>
      </c>
      <c r="K188" s="0" t="n">
        <v>5</v>
      </c>
      <c r="L188" s="3" t="s">
        <v>17</v>
      </c>
    </row>
    <row r="189" customFormat="false" ht="15" hidden="false" customHeight="false" outlineLevel="0" collapsed="false">
      <c r="A189" s="0" t="s">
        <v>252</v>
      </c>
      <c r="B189" s="2" t="n">
        <v>45913</v>
      </c>
      <c r="C189" s="3" t="s">
        <v>71</v>
      </c>
      <c r="D189" s="3" t="s">
        <v>31</v>
      </c>
      <c r="E189" s="3" t="s">
        <v>15</v>
      </c>
      <c r="F189" s="3" t="s">
        <v>36</v>
      </c>
      <c r="G189" s="0" t="n">
        <v>477</v>
      </c>
      <c r="H189" s="0" t="n">
        <v>86</v>
      </c>
      <c r="I189" s="0" t="n">
        <v>45</v>
      </c>
      <c r="J189" s="0" t="n">
        <v>37</v>
      </c>
      <c r="K189" s="0" t="n">
        <v>4.5</v>
      </c>
      <c r="L189" s="3" t="s">
        <v>17</v>
      </c>
    </row>
    <row r="190" customFormat="false" ht="15" hidden="false" customHeight="false" outlineLevel="0" collapsed="false">
      <c r="A190" s="0" t="s">
        <v>253</v>
      </c>
      <c r="B190" s="2" t="n">
        <v>45811</v>
      </c>
      <c r="C190" s="3" t="s">
        <v>27</v>
      </c>
      <c r="D190" s="3" t="s">
        <v>28</v>
      </c>
      <c r="E190" s="3" t="s">
        <v>15</v>
      </c>
      <c r="F190" s="3" t="s">
        <v>36</v>
      </c>
      <c r="G190" s="0" t="n">
        <v>443</v>
      </c>
      <c r="H190" s="0" t="n">
        <v>67</v>
      </c>
      <c r="I190" s="0" t="n">
        <v>40</v>
      </c>
      <c r="J190" s="0" t="n">
        <v>47</v>
      </c>
      <c r="K190" s="0" t="n">
        <v>4.2</v>
      </c>
      <c r="L190" s="3" t="s">
        <v>17</v>
      </c>
    </row>
    <row r="191" customFormat="false" ht="15" hidden="false" customHeight="false" outlineLevel="0" collapsed="false">
      <c r="A191" s="0" t="s">
        <v>254</v>
      </c>
      <c r="B191" s="2" t="n">
        <v>45699</v>
      </c>
      <c r="C191" s="3" t="s">
        <v>27</v>
      </c>
      <c r="D191" s="3" t="s">
        <v>14</v>
      </c>
      <c r="E191" s="3" t="s">
        <v>21</v>
      </c>
      <c r="F191" s="3" t="s">
        <v>22</v>
      </c>
      <c r="G191" s="0" t="n">
        <v>310</v>
      </c>
      <c r="H191" s="0" t="n">
        <v>42</v>
      </c>
      <c r="I191" s="0" t="n">
        <v>20</v>
      </c>
      <c r="J191" s="0" t="n">
        <v>43</v>
      </c>
      <c r="K191" s="0" t="n">
        <v>5</v>
      </c>
      <c r="L191" s="3" t="s">
        <v>17</v>
      </c>
    </row>
    <row r="192" customFormat="false" ht="15" hidden="false" customHeight="false" outlineLevel="0" collapsed="false">
      <c r="A192" s="0" t="s">
        <v>255</v>
      </c>
      <c r="B192" s="2" t="n">
        <v>45942</v>
      </c>
      <c r="C192" s="3" t="s">
        <v>164</v>
      </c>
      <c r="D192" s="3" t="s">
        <v>31</v>
      </c>
      <c r="E192" s="3" t="s">
        <v>58</v>
      </c>
      <c r="F192" s="3" t="s">
        <v>34</v>
      </c>
      <c r="G192" s="0" t="n">
        <v>573</v>
      </c>
      <c r="H192" s="0" t="n">
        <v>0</v>
      </c>
      <c r="I192" s="0" t="n">
        <v>0</v>
      </c>
      <c r="J192" s="0" t="n">
        <v>52</v>
      </c>
      <c r="K192" s="0" t="n">
        <v>4</v>
      </c>
      <c r="L192" s="3" t="s">
        <v>17</v>
      </c>
    </row>
    <row r="193" customFormat="false" ht="15" hidden="false" customHeight="false" outlineLevel="0" collapsed="false">
      <c r="A193" s="0" t="s">
        <v>256</v>
      </c>
      <c r="B193" s="2" t="n">
        <v>45768</v>
      </c>
      <c r="C193" s="3" t="s">
        <v>24</v>
      </c>
      <c r="D193" s="3" t="s">
        <v>25</v>
      </c>
      <c r="E193" s="3" t="s">
        <v>21</v>
      </c>
      <c r="F193" s="3" t="s">
        <v>34</v>
      </c>
      <c r="G193" s="0" t="n">
        <v>374</v>
      </c>
      <c r="H193" s="0" t="n">
        <v>0</v>
      </c>
      <c r="I193" s="0" t="n">
        <v>20</v>
      </c>
      <c r="J193" s="0" t="n">
        <v>21</v>
      </c>
      <c r="K193" s="0" t="n">
        <v>4.1</v>
      </c>
      <c r="L193" s="3" t="s">
        <v>17</v>
      </c>
    </row>
    <row r="194" customFormat="false" ht="15" hidden="false" customHeight="false" outlineLevel="0" collapsed="false">
      <c r="A194" s="0" t="s">
        <v>257</v>
      </c>
      <c r="B194" s="2" t="n">
        <v>46003</v>
      </c>
      <c r="C194" s="3" t="s">
        <v>30</v>
      </c>
      <c r="D194" s="3" t="s">
        <v>31</v>
      </c>
      <c r="E194" s="3" t="s">
        <v>21</v>
      </c>
      <c r="F194" s="3" t="s">
        <v>36</v>
      </c>
      <c r="G194" s="0" t="n">
        <v>638</v>
      </c>
      <c r="H194" s="0" t="n">
        <v>0</v>
      </c>
      <c r="I194" s="0" t="n">
        <v>0</v>
      </c>
      <c r="J194" s="0" t="n">
        <v>25</v>
      </c>
      <c r="K194" s="0" t="n">
        <v>4.4</v>
      </c>
      <c r="L194" s="3" t="s">
        <v>17</v>
      </c>
    </row>
    <row r="195" customFormat="false" ht="15" hidden="false" customHeight="false" outlineLevel="0" collapsed="false">
      <c r="A195" s="0" t="s">
        <v>258</v>
      </c>
      <c r="B195" s="2" t="n">
        <v>45759</v>
      </c>
      <c r="C195" s="3" t="s">
        <v>51</v>
      </c>
      <c r="D195" s="3" t="s">
        <v>31</v>
      </c>
      <c r="E195" s="3" t="s">
        <v>15</v>
      </c>
      <c r="F195" s="3" t="s">
        <v>22</v>
      </c>
      <c r="G195" s="0" t="n">
        <v>641</v>
      </c>
      <c r="H195" s="0" t="n">
        <v>90</v>
      </c>
      <c r="I195" s="0" t="n">
        <v>0</v>
      </c>
      <c r="J195" s="0" t="n">
        <v>45</v>
      </c>
      <c r="K195" s="0" t="n">
        <v>4.8</v>
      </c>
      <c r="L195" s="3" t="s">
        <v>17</v>
      </c>
    </row>
    <row r="196" customFormat="false" ht="15" hidden="false" customHeight="false" outlineLevel="0" collapsed="false">
      <c r="A196" s="0" t="s">
        <v>259</v>
      </c>
      <c r="B196" s="2" t="n">
        <v>45711</v>
      </c>
      <c r="C196" s="3" t="s">
        <v>24</v>
      </c>
      <c r="D196" s="3" t="s">
        <v>20</v>
      </c>
      <c r="E196" s="3" t="s">
        <v>21</v>
      </c>
      <c r="F196" s="3" t="s">
        <v>22</v>
      </c>
      <c r="G196" s="0" t="n">
        <v>695</v>
      </c>
      <c r="H196" s="0" t="n">
        <v>0</v>
      </c>
      <c r="I196" s="0" t="n">
        <v>0</v>
      </c>
      <c r="J196" s="0" t="n">
        <v>42</v>
      </c>
      <c r="K196" s="0" t="n">
        <v>3.5</v>
      </c>
      <c r="L196" s="3" t="s">
        <v>17</v>
      </c>
    </row>
    <row r="197" customFormat="false" ht="15" hidden="false" customHeight="false" outlineLevel="0" collapsed="false">
      <c r="A197" s="0" t="s">
        <v>260</v>
      </c>
      <c r="B197" s="2" t="n">
        <v>45969</v>
      </c>
      <c r="C197" s="3" t="s">
        <v>13</v>
      </c>
      <c r="D197" s="3" t="s">
        <v>28</v>
      </c>
      <c r="E197" s="3" t="s">
        <v>21</v>
      </c>
      <c r="F197" s="3" t="s">
        <v>16</v>
      </c>
      <c r="G197" s="0" t="n">
        <v>444</v>
      </c>
      <c r="H197" s="0" t="n">
        <v>0</v>
      </c>
      <c r="I197" s="0" t="n">
        <v>30</v>
      </c>
      <c r="L197" s="3" t="s">
        <v>68</v>
      </c>
    </row>
    <row r="198" customFormat="false" ht="15" hidden="false" customHeight="false" outlineLevel="0" collapsed="false">
      <c r="A198" s="0" t="s">
        <v>261</v>
      </c>
      <c r="B198" s="2" t="n">
        <v>45724</v>
      </c>
      <c r="C198" s="3" t="s">
        <v>13</v>
      </c>
      <c r="D198" s="3" t="s">
        <v>20</v>
      </c>
      <c r="E198" s="3" t="s">
        <v>21</v>
      </c>
      <c r="F198" s="3" t="s">
        <v>22</v>
      </c>
      <c r="G198" s="0" t="n">
        <v>679</v>
      </c>
      <c r="H198" s="0" t="n">
        <v>0</v>
      </c>
      <c r="I198" s="0" t="n">
        <v>0</v>
      </c>
      <c r="J198" s="0" t="n">
        <v>42</v>
      </c>
      <c r="K198" s="0" t="n">
        <v>4.7</v>
      </c>
      <c r="L198" s="3" t="s">
        <v>17</v>
      </c>
    </row>
    <row r="199" customFormat="false" ht="15" hidden="false" customHeight="false" outlineLevel="0" collapsed="false">
      <c r="A199" s="0" t="s">
        <v>262</v>
      </c>
      <c r="B199" s="2" t="n">
        <v>45734</v>
      </c>
      <c r="C199" s="3" t="s">
        <v>27</v>
      </c>
      <c r="D199" s="3" t="s">
        <v>56</v>
      </c>
      <c r="E199" s="3" t="s">
        <v>21</v>
      </c>
      <c r="F199" s="3" t="s">
        <v>22</v>
      </c>
      <c r="G199" s="0" t="n">
        <v>303</v>
      </c>
      <c r="H199" s="0" t="n">
        <v>31</v>
      </c>
      <c r="I199" s="0" t="n">
        <v>45</v>
      </c>
      <c r="J199" s="0" t="n">
        <v>29</v>
      </c>
      <c r="L199" s="3" t="s">
        <v>17</v>
      </c>
    </row>
    <row r="200" customFormat="false" ht="15" hidden="false" customHeight="false" outlineLevel="0" collapsed="false">
      <c r="A200" s="0" t="s">
        <v>263</v>
      </c>
      <c r="B200" s="2" t="n">
        <v>45892</v>
      </c>
      <c r="C200" s="3" t="s">
        <v>40</v>
      </c>
      <c r="D200" s="3" t="s">
        <v>20</v>
      </c>
      <c r="E200" s="3" t="s">
        <v>21</v>
      </c>
      <c r="F200" s="3" t="s">
        <v>36</v>
      </c>
      <c r="G200" s="0" t="n">
        <v>612</v>
      </c>
      <c r="H200" s="0" t="n">
        <v>0</v>
      </c>
      <c r="I200" s="0" t="n">
        <v>0</v>
      </c>
      <c r="J200" s="0" t="n">
        <v>44</v>
      </c>
      <c r="K200" s="0" t="n">
        <v>4</v>
      </c>
      <c r="L200" s="3" t="s">
        <v>17</v>
      </c>
    </row>
    <row r="201" customFormat="false" ht="15" hidden="false" customHeight="false" outlineLevel="0" collapsed="false">
      <c r="A201" s="0" t="s">
        <v>264</v>
      </c>
      <c r="B201" s="0" t="s">
        <v>265</v>
      </c>
      <c r="C201" s="0" t="s">
        <v>30</v>
      </c>
      <c r="D201" s="0" t="s">
        <v>31</v>
      </c>
      <c r="E201" s="0" t="s">
        <v>21</v>
      </c>
      <c r="F201" s="0" t="s">
        <v>22</v>
      </c>
      <c r="G201" s="0" t="n">
        <v>451</v>
      </c>
      <c r="H201" s="0" t="n">
        <v>62</v>
      </c>
      <c r="I201" s="0" t="n">
        <v>20</v>
      </c>
      <c r="J201" s="0" t="n">
        <v>38</v>
      </c>
      <c r="K201" s="0" t="n">
        <v>4.7</v>
      </c>
      <c r="L201" s="0" t="s">
        <v>17</v>
      </c>
    </row>
    <row r="202" customFormat="false" ht="15" hidden="false" customHeight="false" outlineLevel="0" collapsed="false">
      <c r="A202" s="0" t="s">
        <v>266</v>
      </c>
      <c r="B202" s="2" t="n">
        <v>45741</v>
      </c>
      <c r="C202" s="3" t="s">
        <v>19</v>
      </c>
      <c r="D202" s="3" t="s">
        <v>31</v>
      </c>
      <c r="E202" s="3" t="s">
        <v>21</v>
      </c>
      <c r="F202" s="3" t="s">
        <v>16</v>
      </c>
      <c r="G202" s="0" t="n">
        <v>570</v>
      </c>
      <c r="H202" s="0" t="n">
        <v>0</v>
      </c>
      <c r="I202" s="0" t="n">
        <v>0</v>
      </c>
      <c r="J202" s="0" t="n">
        <v>23</v>
      </c>
      <c r="K202" s="0" t="n">
        <v>4.2</v>
      </c>
      <c r="L202" s="3" t="s">
        <v>17</v>
      </c>
    </row>
    <row r="203" customFormat="false" ht="15" hidden="false" customHeight="false" outlineLevel="0" collapsed="false">
      <c r="A203" s="0" t="s">
        <v>267</v>
      </c>
      <c r="B203" s="2" t="n">
        <v>45787</v>
      </c>
      <c r="C203" s="3" t="s">
        <v>13</v>
      </c>
      <c r="D203" s="3" t="s">
        <v>49</v>
      </c>
      <c r="E203" s="3" t="s">
        <v>21</v>
      </c>
      <c r="F203" s="3" t="s">
        <v>54</v>
      </c>
      <c r="G203" s="0" t="n">
        <v>407</v>
      </c>
      <c r="H203" s="0" t="n">
        <v>0</v>
      </c>
      <c r="I203" s="0" t="n">
        <v>40</v>
      </c>
      <c r="J203" s="0" t="n">
        <v>51</v>
      </c>
      <c r="K203" s="0" t="n">
        <v>3.1</v>
      </c>
      <c r="L203" s="3" t="s">
        <v>17</v>
      </c>
    </row>
    <row r="204" customFormat="false" ht="15" hidden="false" customHeight="false" outlineLevel="0" collapsed="false">
      <c r="A204" s="0" t="s">
        <v>268</v>
      </c>
      <c r="B204" s="2" t="n">
        <v>45952</v>
      </c>
      <c r="C204" s="3" t="s">
        <v>51</v>
      </c>
      <c r="D204" s="3" t="s">
        <v>28</v>
      </c>
      <c r="E204" s="3" t="s">
        <v>21</v>
      </c>
      <c r="F204" s="3" t="s">
        <v>16</v>
      </c>
      <c r="G204" s="0" t="n">
        <v>385</v>
      </c>
      <c r="H204" s="0" t="n">
        <v>87</v>
      </c>
      <c r="I204" s="0" t="n">
        <v>40</v>
      </c>
      <c r="J204" s="0" t="n">
        <v>36</v>
      </c>
      <c r="K204" s="0" t="n">
        <v>3.6</v>
      </c>
      <c r="L204" s="3" t="s">
        <v>17</v>
      </c>
    </row>
    <row r="205" customFormat="false" ht="15" hidden="false" customHeight="false" outlineLevel="0" collapsed="false">
      <c r="A205" s="0" t="s">
        <v>269</v>
      </c>
      <c r="B205" s="2" t="n">
        <v>46014</v>
      </c>
      <c r="C205" s="3" t="s">
        <v>19</v>
      </c>
      <c r="D205" s="3" t="s">
        <v>49</v>
      </c>
      <c r="E205" s="3" t="s">
        <v>21</v>
      </c>
      <c r="F205" s="3" t="s">
        <v>16</v>
      </c>
      <c r="G205" s="0" t="n">
        <v>555</v>
      </c>
      <c r="H205" s="0" t="n">
        <v>0</v>
      </c>
      <c r="I205" s="0" t="n">
        <v>0</v>
      </c>
      <c r="J205" s="0" t="n">
        <v>13</v>
      </c>
      <c r="K205" s="0" t="n">
        <v>5</v>
      </c>
      <c r="L205" s="3" t="s">
        <v>17</v>
      </c>
    </row>
    <row r="206" customFormat="false" ht="15" hidden="false" customHeight="false" outlineLevel="0" collapsed="false">
      <c r="A206" s="0" t="s">
        <v>270</v>
      </c>
      <c r="B206" s="2" t="n">
        <v>45857</v>
      </c>
      <c r="C206" s="3" t="s">
        <v>24</v>
      </c>
      <c r="D206" s="3" t="s">
        <v>49</v>
      </c>
      <c r="E206" s="3" t="s">
        <v>15</v>
      </c>
      <c r="F206" s="3" t="s">
        <v>16</v>
      </c>
      <c r="G206" s="0" t="n">
        <v>478</v>
      </c>
      <c r="H206" s="0" t="n">
        <v>0</v>
      </c>
      <c r="I206" s="0" t="n">
        <v>20</v>
      </c>
      <c r="J206" s="0" t="n">
        <v>39</v>
      </c>
      <c r="K206" s="0" t="n">
        <v>4.3</v>
      </c>
      <c r="L206" s="3" t="s">
        <v>17</v>
      </c>
    </row>
    <row r="207" customFormat="false" ht="15" hidden="false" customHeight="false" outlineLevel="0" collapsed="false">
      <c r="A207" s="0" t="s">
        <v>271</v>
      </c>
      <c r="B207" s="2" t="n">
        <v>45720</v>
      </c>
      <c r="C207" s="3" t="s">
        <v>13</v>
      </c>
      <c r="D207" s="3" t="s">
        <v>20</v>
      </c>
      <c r="E207" s="3" t="s">
        <v>21</v>
      </c>
      <c r="F207" s="3" t="s">
        <v>22</v>
      </c>
      <c r="G207" s="0" t="n">
        <v>632</v>
      </c>
      <c r="H207" s="0" t="n">
        <v>0</v>
      </c>
      <c r="I207" s="0" t="n">
        <v>0</v>
      </c>
      <c r="J207" s="0" t="n">
        <v>28</v>
      </c>
      <c r="K207" s="0" t="n">
        <v>4.1</v>
      </c>
      <c r="L207" s="3" t="s">
        <v>17</v>
      </c>
    </row>
    <row r="208" customFormat="false" ht="15" hidden="false" customHeight="false" outlineLevel="0" collapsed="false">
      <c r="A208" s="0" t="s">
        <v>272</v>
      </c>
      <c r="B208" s="2" t="n">
        <v>45664</v>
      </c>
      <c r="C208" s="3" t="s">
        <v>27</v>
      </c>
      <c r="D208" s="3" t="s">
        <v>49</v>
      </c>
      <c r="E208" s="3" t="s">
        <v>15</v>
      </c>
      <c r="F208" s="3" t="s">
        <v>22</v>
      </c>
      <c r="G208" s="0" t="n">
        <v>659</v>
      </c>
      <c r="H208" s="0" t="n">
        <v>0</v>
      </c>
      <c r="I208" s="0" t="n">
        <v>0</v>
      </c>
      <c r="J208" s="0" t="n">
        <v>50</v>
      </c>
      <c r="K208" s="0" t="n">
        <v>3.3</v>
      </c>
      <c r="L208" s="3" t="s">
        <v>17</v>
      </c>
    </row>
    <row r="209" customFormat="false" ht="15" hidden="false" customHeight="false" outlineLevel="0" collapsed="false">
      <c r="A209" s="0" t="s">
        <v>273</v>
      </c>
      <c r="B209" s="2" t="n">
        <v>45755</v>
      </c>
      <c r="C209" s="3" t="s">
        <v>19</v>
      </c>
      <c r="D209" s="3" t="s">
        <v>56</v>
      </c>
      <c r="E209" s="3" t="s">
        <v>15</v>
      </c>
      <c r="F209" s="3" t="s">
        <v>36</v>
      </c>
      <c r="G209" s="0" t="n">
        <v>423</v>
      </c>
      <c r="H209" s="0" t="n">
        <v>44</v>
      </c>
      <c r="I209" s="0" t="n">
        <v>20</v>
      </c>
      <c r="J209" s="0" t="n">
        <v>32</v>
      </c>
      <c r="K209" s="0" t="n">
        <v>4.2</v>
      </c>
      <c r="L209" s="3" t="s">
        <v>17</v>
      </c>
    </row>
    <row r="210" customFormat="false" ht="15" hidden="false" customHeight="false" outlineLevel="0" collapsed="false">
      <c r="A210" s="0" t="s">
        <v>274</v>
      </c>
      <c r="B210" s="2" t="n">
        <v>45715</v>
      </c>
      <c r="C210" s="3" t="s">
        <v>40</v>
      </c>
      <c r="D210" s="3" t="s">
        <v>31</v>
      </c>
      <c r="E210" s="3" t="s">
        <v>15</v>
      </c>
      <c r="F210" s="3" t="s">
        <v>22</v>
      </c>
      <c r="G210" s="0" t="n">
        <v>384</v>
      </c>
      <c r="H210" s="0" t="n">
        <v>0</v>
      </c>
      <c r="I210" s="0" t="n">
        <v>20</v>
      </c>
      <c r="J210" s="0" t="n">
        <v>34</v>
      </c>
      <c r="K210" s="0" t="n">
        <v>4.9</v>
      </c>
      <c r="L210" s="3" t="s">
        <v>17</v>
      </c>
    </row>
    <row r="211" customFormat="false" ht="15" hidden="false" customHeight="false" outlineLevel="0" collapsed="false">
      <c r="A211" s="0" t="s">
        <v>275</v>
      </c>
      <c r="B211" s="0" t="s">
        <v>276</v>
      </c>
      <c r="C211" s="0" t="s">
        <v>27</v>
      </c>
      <c r="D211" s="0" t="s">
        <v>31</v>
      </c>
      <c r="E211" s="0" t="s">
        <v>21</v>
      </c>
      <c r="F211" s="0" t="s">
        <v>22</v>
      </c>
      <c r="G211" s="0" t="n">
        <v>479</v>
      </c>
      <c r="H211" s="0" t="n">
        <v>52</v>
      </c>
      <c r="I211" s="0" t="n">
        <v>20</v>
      </c>
      <c r="J211" s="0" t="n">
        <v>53</v>
      </c>
      <c r="K211" s="0" t="n">
        <v>3.4</v>
      </c>
      <c r="L211" s="0" t="s">
        <v>17</v>
      </c>
    </row>
    <row r="212" customFormat="false" ht="15" hidden="false" customHeight="false" outlineLevel="0" collapsed="false">
      <c r="A212" s="0" t="s">
        <v>277</v>
      </c>
      <c r="B212" s="2" t="n">
        <v>45710</v>
      </c>
      <c r="C212" s="3" t="s">
        <v>45</v>
      </c>
      <c r="D212" s="3" t="s">
        <v>31</v>
      </c>
      <c r="E212" s="3" t="s">
        <v>15</v>
      </c>
      <c r="F212" s="3" t="s">
        <v>22</v>
      </c>
      <c r="G212" s="0" t="n">
        <v>595</v>
      </c>
      <c r="H212" s="0" t="n">
        <v>140</v>
      </c>
      <c r="I212" s="0" t="n">
        <v>0</v>
      </c>
      <c r="J212" s="0" t="n">
        <v>37</v>
      </c>
      <c r="K212" s="0" t="n">
        <v>3.9</v>
      </c>
      <c r="L212" s="3" t="s">
        <v>17</v>
      </c>
    </row>
    <row r="213" customFormat="false" ht="15" hidden="false" customHeight="false" outlineLevel="0" collapsed="false">
      <c r="A213" s="0" t="s">
        <v>278</v>
      </c>
      <c r="B213" s="2" t="n">
        <v>45859</v>
      </c>
      <c r="C213" s="3" t="s">
        <v>279</v>
      </c>
      <c r="D213" s="3" t="s">
        <v>31</v>
      </c>
      <c r="E213" s="3" t="s">
        <v>99</v>
      </c>
      <c r="F213" s="3" t="s">
        <v>36</v>
      </c>
      <c r="G213" s="0" t="n">
        <v>469</v>
      </c>
      <c r="H213" s="0" t="n">
        <v>47</v>
      </c>
      <c r="I213" s="0" t="n">
        <v>45</v>
      </c>
      <c r="J213" s="0" t="n">
        <v>30</v>
      </c>
      <c r="K213" s="0" t="n">
        <v>3.8</v>
      </c>
      <c r="L213" s="3" t="s">
        <v>17</v>
      </c>
    </row>
    <row r="214" customFormat="false" ht="15" hidden="false" customHeight="false" outlineLevel="0" collapsed="false">
      <c r="A214" s="0" t="s">
        <v>280</v>
      </c>
      <c r="B214" s="2" t="n">
        <v>45924</v>
      </c>
      <c r="C214" s="3" t="s">
        <v>30</v>
      </c>
      <c r="D214" s="3" t="s">
        <v>25</v>
      </c>
      <c r="E214" s="3" t="s">
        <v>21</v>
      </c>
      <c r="F214" s="3" t="s">
        <v>22</v>
      </c>
      <c r="G214" s="0" t="n">
        <v>357</v>
      </c>
      <c r="H214" s="0" t="n">
        <v>0</v>
      </c>
      <c r="I214" s="0" t="n">
        <v>30</v>
      </c>
      <c r="J214" s="0" t="n">
        <v>30</v>
      </c>
      <c r="K214" s="0" t="n">
        <v>4.2</v>
      </c>
      <c r="L214" s="3" t="s">
        <v>17</v>
      </c>
    </row>
    <row r="215" customFormat="false" ht="15" hidden="false" customHeight="false" outlineLevel="0" collapsed="false">
      <c r="A215" s="0" t="s">
        <v>281</v>
      </c>
      <c r="B215" s="2" t="n">
        <v>45886</v>
      </c>
      <c r="C215" s="3" t="s">
        <v>24</v>
      </c>
      <c r="D215" s="3" t="s">
        <v>28</v>
      </c>
      <c r="E215" s="3" t="s">
        <v>15</v>
      </c>
      <c r="F215" s="3" t="s">
        <v>36</v>
      </c>
      <c r="G215" s="0" t="n">
        <v>470</v>
      </c>
      <c r="H215" s="0" t="n">
        <v>77</v>
      </c>
      <c r="I215" s="0" t="n">
        <v>40</v>
      </c>
      <c r="J215" s="0" t="n">
        <v>40</v>
      </c>
      <c r="K215" s="0" t="n">
        <v>4.3</v>
      </c>
      <c r="L215" s="3" t="s">
        <v>17</v>
      </c>
    </row>
    <row r="216" customFormat="false" ht="15" hidden="false" customHeight="false" outlineLevel="0" collapsed="false">
      <c r="A216" s="0" t="s">
        <v>282</v>
      </c>
      <c r="B216" s="2" t="n">
        <v>45743</v>
      </c>
      <c r="C216" s="3" t="s">
        <v>19</v>
      </c>
      <c r="D216" s="3" t="s">
        <v>14</v>
      </c>
      <c r="E216" s="3" t="s">
        <v>21</v>
      </c>
      <c r="F216" s="3" t="s">
        <v>22</v>
      </c>
      <c r="G216" s="0" t="n">
        <v>437</v>
      </c>
      <c r="H216" s="0" t="n">
        <v>86</v>
      </c>
      <c r="I216" s="0" t="n">
        <v>20</v>
      </c>
      <c r="J216" s="0" t="n">
        <v>25</v>
      </c>
      <c r="K216" s="0" t="n">
        <v>5</v>
      </c>
      <c r="L216" s="3" t="s">
        <v>17</v>
      </c>
    </row>
    <row r="217" customFormat="false" ht="15" hidden="false" customHeight="false" outlineLevel="0" collapsed="false">
      <c r="A217" s="0" t="s">
        <v>283</v>
      </c>
      <c r="B217" s="2" t="n">
        <v>45961</v>
      </c>
      <c r="C217" s="3" t="s">
        <v>45</v>
      </c>
      <c r="D217" s="3" t="s">
        <v>20</v>
      </c>
      <c r="E217" s="3" t="s">
        <v>21</v>
      </c>
      <c r="F217" s="3" t="s">
        <v>34</v>
      </c>
      <c r="G217" s="0" t="n">
        <v>657</v>
      </c>
      <c r="H217" s="0" t="n">
        <v>0</v>
      </c>
      <c r="I217" s="0" t="n">
        <v>0</v>
      </c>
      <c r="J217" s="0" t="n">
        <v>28</v>
      </c>
      <c r="K217" s="0" t="n">
        <v>4.6</v>
      </c>
      <c r="L217" s="3" t="s">
        <v>17</v>
      </c>
    </row>
    <row r="218" customFormat="false" ht="15" hidden="false" customHeight="false" outlineLevel="0" collapsed="false">
      <c r="A218" s="0" t="s">
        <v>284</v>
      </c>
      <c r="B218" s="2" t="n">
        <v>45932</v>
      </c>
      <c r="C218" s="3" t="s">
        <v>24</v>
      </c>
      <c r="D218" s="3" t="s">
        <v>31</v>
      </c>
      <c r="E218" s="3" t="s">
        <v>21</v>
      </c>
      <c r="F218" s="3" t="s">
        <v>22</v>
      </c>
      <c r="G218" s="0" t="n">
        <v>596</v>
      </c>
      <c r="H218" s="0" t="n">
        <v>138</v>
      </c>
      <c r="I218" s="0" t="n">
        <v>0</v>
      </c>
      <c r="J218" s="0" t="n">
        <v>36</v>
      </c>
      <c r="K218" s="0" t="n">
        <v>4.2</v>
      </c>
      <c r="L218" s="3" t="s">
        <v>17</v>
      </c>
    </row>
    <row r="219" customFormat="false" ht="15" hidden="false" customHeight="false" outlineLevel="0" collapsed="false">
      <c r="A219" s="0" t="s">
        <v>285</v>
      </c>
      <c r="B219" s="2" t="n">
        <v>45939</v>
      </c>
      <c r="C219" s="3" t="s">
        <v>30</v>
      </c>
      <c r="D219" s="3" t="s">
        <v>28</v>
      </c>
      <c r="E219" s="3" t="s">
        <v>15</v>
      </c>
      <c r="F219" s="3" t="s">
        <v>22</v>
      </c>
      <c r="G219" s="0" t="n">
        <v>320</v>
      </c>
      <c r="H219" s="0" t="n">
        <v>67</v>
      </c>
      <c r="I219" s="0" t="n">
        <v>20</v>
      </c>
      <c r="J219" s="0" t="n">
        <v>24</v>
      </c>
      <c r="K219" s="0" t="n">
        <v>5</v>
      </c>
      <c r="L219" s="3" t="s">
        <v>17</v>
      </c>
    </row>
    <row r="220" customFormat="false" ht="15" hidden="false" customHeight="false" outlineLevel="0" collapsed="false">
      <c r="A220" s="0" t="s">
        <v>286</v>
      </c>
      <c r="B220" s="2" t="n">
        <v>45715</v>
      </c>
      <c r="C220" s="3" t="s">
        <v>24</v>
      </c>
      <c r="D220" s="3" t="s">
        <v>25</v>
      </c>
      <c r="E220" s="3" t="s">
        <v>15</v>
      </c>
      <c r="F220" s="3" t="s">
        <v>16</v>
      </c>
      <c r="G220" s="0" t="n">
        <v>628</v>
      </c>
      <c r="H220" s="0" t="n">
        <v>104</v>
      </c>
      <c r="I220" s="0" t="n">
        <v>0</v>
      </c>
      <c r="J220" s="0" t="n">
        <v>20</v>
      </c>
      <c r="K220" s="0" t="n">
        <v>5</v>
      </c>
      <c r="L220" s="3" t="s">
        <v>17</v>
      </c>
    </row>
    <row r="221" customFormat="false" ht="15" hidden="false" customHeight="false" outlineLevel="0" collapsed="false">
      <c r="A221" s="0" t="s">
        <v>287</v>
      </c>
      <c r="B221" s="2" t="n">
        <v>45711</v>
      </c>
      <c r="C221" s="3" t="s">
        <v>27</v>
      </c>
      <c r="D221" s="3" t="s">
        <v>31</v>
      </c>
      <c r="E221" s="3" t="s">
        <v>21</v>
      </c>
      <c r="F221" s="3" t="s">
        <v>36</v>
      </c>
      <c r="G221" s="0" t="n">
        <v>543</v>
      </c>
      <c r="H221" s="0" t="n">
        <v>0</v>
      </c>
      <c r="I221" s="0" t="n">
        <v>0</v>
      </c>
      <c r="J221" s="0" t="n">
        <v>44</v>
      </c>
      <c r="K221" s="0" t="n">
        <v>3.8</v>
      </c>
      <c r="L221" s="3" t="s">
        <v>17</v>
      </c>
    </row>
    <row r="222" customFormat="false" ht="15" hidden="false" customHeight="false" outlineLevel="0" collapsed="false">
      <c r="A222" s="0" t="s">
        <v>288</v>
      </c>
      <c r="B222" s="2" t="n">
        <v>46000</v>
      </c>
      <c r="C222" s="3" t="s">
        <v>13</v>
      </c>
      <c r="D222" s="3" t="s">
        <v>25</v>
      </c>
      <c r="E222" s="3" t="s">
        <v>21</v>
      </c>
      <c r="F222" s="3" t="s">
        <v>22</v>
      </c>
      <c r="G222" s="0" t="n">
        <v>348</v>
      </c>
      <c r="H222" s="0" t="n">
        <v>77</v>
      </c>
      <c r="I222" s="0" t="n">
        <v>20</v>
      </c>
      <c r="J222" s="0" t="n">
        <v>19</v>
      </c>
      <c r="K222" s="0" t="n">
        <v>5</v>
      </c>
      <c r="L222" s="3" t="s">
        <v>17</v>
      </c>
    </row>
    <row r="223" customFormat="false" ht="15" hidden="false" customHeight="false" outlineLevel="0" collapsed="false">
      <c r="A223" s="0" t="s">
        <v>289</v>
      </c>
      <c r="B223" s="0" t="s">
        <v>290</v>
      </c>
      <c r="C223" s="0" t="s">
        <v>30</v>
      </c>
      <c r="D223" s="0" t="s">
        <v>25</v>
      </c>
      <c r="E223" s="0" t="s">
        <v>15</v>
      </c>
      <c r="F223" s="0" t="s">
        <v>16</v>
      </c>
      <c r="G223" s="0" t="n">
        <v>439</v>
      </c>
      <c r="H223" s="0" t="n">
        <v>94</v>
      </c>
      <c r="I223" s="0" t="n">
        <v>40</v>
      </c>
      <c r="J223" s="0" t="n">
        <v>24</v>
      </c>
      <c r="K223" s="0" t="n">
        <v>4.5</v>
      </c>
      <c r="L223" s="0" t="s">
        <v>17</v>
      </c>
    </row>
    <row r="224" customFormat="false" ht="15" hidden="false" customHeight="false" outlineLevel="0" collapsed="false">
      <c r="A224" s="0" t="s">
        <v>291</v>
      </c>
      <c r="B224" s="2" t="n">
        <v>45783</v>
      </c>
      <c r="C224" s="3" t="s">
        <v>292</v>
      </c>
      <c r="D224" s="3" t="s">
        <v>25</v>
      </c>
      <c r="E224" s="3" t="s">
        <v>21</v>
      </c>
      <c r="F224" s="3" t="s">
        <v>16</v>
      </c>
      <c r="G224" s="0" t="n">
        <v>582</v>
      </c>
      <c r="H224" s="0" t="n">
        <v>0</v>
      </c>
      <c r="I224" s="0" t="n">
        <v>0</v>
      </c>
      <c r="J224" s="0" t="n">
        <v>26</v>
      </c>
      <c r="K224" s="0" t="n">
        <v>4.6</v>
      </c>
      <c r="L224" s="3" t="s">
        <v>17</v>
      </c>
    </row>
    <row r="225" customFormat="false" ht="15" hidden="false" customHeight="false" outlineLevel="0" collapsed="false">
      <c r="A225" s="0" t="s">
        <v>293</v>
      </c>
      <c r="B225" s="2" t="n">
        <v>45853</v>
      </c>
      <c r="C225" s="3" t="s">
        <v>24</v>
      </c>
      <c r="D225" s="3" t="s">
        <v>14</v>
      </c>
      <c r="E225" s="3" t="s">
        <v>21</v>
      </c>
      <c r="F225" s="3" t="s">
        <v>22</v>
      </c>
      <c r="G225" s="0" t="n">
        <v>272</v>
      </c>
      <c r="H225" s="0" t="n">
        <v>41</v>
      </c>
      <c r="I225" s="0" t="n">
        <v>40</v>
      </c>
      <c r="J225" s="0" t="n">
        <v>24</v>
      </c>
      <c r="L225" s="3" t="s">
        <v>17</v>
      </c>
    </row>
    <row r="226" customFormat="false" ht="15" hidden="false" customHeight="false" outlineLevel="0" collapsed="false">
      <c r="A226" s="0" t="s">
        <v>294</v>
      </c>
      <c r="B226" s="2" t="n">
        <v>45914</v>
      </c>
      <c r="C226" s="3" t="s">
        <v>63</v>
      </c>
      <c r="D226" s="3" t="s">
        <v>28</v>
      </c>
      <c r="E226" s="3" t="s">
        <v>15</v>
      </c>
      <c r="F226" s="3" t="s">
        <v>16</v>
      </c>
      <c r="G226" s="0" t="n">
        <v>439</v>
      </c>
      <c r="H226" s="0" t="n">
        <v>0</v>
      </c>
      <c r="I226" s="0" t="n">
        <v>45</v>
      </c>
      <c r="J226" s="0" t="n">
        <v>36</v>
      </c>
      <c r="K226" s="0" t="n">
        <v>4.4</v>
      </c>
      <c r="L226" s="3" t="s">
        <v>17</v>
      </c>
    </row>
    <row r="227" customFormat="false" ht="15" hidden="false" customHeight="false" outlineLevel="0" collapsed="false">
      <c r="A227" s="0" t="s">
        <v>295</v>
      </c>
      <c r="B227" s="2" t="n">
        <v>46009</v>
      </c>
      <c r="C227" s="3" t="s">
        <v>27</v>
      </c>
      <c r="D227" s="3" t="s">
        <v>28</v>
      </c>
      <c r="E227" s="3" t="s">
        <v>21</v>
      </c>
      <c r="F227" s="3" t="s">
        <v>22</v>
      </c>
      <c r="G227" s="0" t="n">
        <v>423</v>
      </c>
      <c r="H227" s="0" t="n">
        <v>0</v>
      </c>
      <c r="I227" s="0" t="n">
        <v>45</v>
      </c>
      <c r="J227" s="0" t="n">
        <v>40</v>
      </c>
      <c r="L227" s="3" t="s">
        <v>17</v>
      </c>
    </row>
    <row r="228" customFormat="false" ht="15" hidden="false" customHeight="false" outlineLevel="0" collapsed="false">
      <c r="A228" s="0" t="s">
        <v>296</v>
      </c>
      <c r="B228" s="2" t="n">
        <v>45777</v>
      </c>
      <c r="C228" s="3" t="s">
        <v>27</v>
      </c>
      <c r="D228" s="3" t="s">
        <v>31</v>
      </c>
      <c r="E228" s="3" t="s">
        <v>15</v>
      </c>
      <c r="F228" s="3" t="s">
        <v>16</v>
      </c>
      <c r="G228" s="0" t="n">
        <v>376</v>
      </c>
      <c r="H228" s="0" t="n">
        <v>0</v>
      </c>
      <c r="I228" s="0" t="n">
        <v>45</v>
      </c>
      <c r="L228" s="3" t="s">
        <v>68</v>
      </c>
    </row>
    <row r="229" customFormat="false" ht="15" hidden="false" customHeight="false" outlineLevel="0" collapsed="false">
      <c r="A229" s="0" t="s">
        <v>297</v>
      </c>
      <c r="B229" s="2" t="n">
        <v>45999</v>
      </c>
      <c r="C229" s="3" t="s">
        <v>40</v>
      </c>
      <c r="D229" s="3" t="s">
        <v>14</v>
      </c>
      <c r="E229" s="3" t="s">
        <v>99</v>
      </c>
      <c r="F229" s="3" t="s">
        <v>22</v>
      </c>
      <c r="G229" s="0" t="n">
        <v>394</v>
      </c>
      <c r="H229" s="0" t="n">
        <v>41</v>
      </c>
      <c r="I229" s="0" t="n">
        <v>20</v>
      </c>
      <c r="J229" s="0" t="n">
        <v>29</v>
      </c>
      <c r="K229" s="0" t="n">
        <v>4.8</v>
      </c>
      <c r="L229" s="3" t="s">
        <v>17</v>
      </c>
    </row>
    <row r="230" customFormat="false" ht="15" hidden="false" customHeight="false" outlineLevel="0" collapsed="false">
      <c r="A230" s="0" t="s">
        <v>298</v>
      </c>
      <c r="B230" s="2" t="n">
        <v>45668</v>
      </c>
      <c r="C230" s="3" t="s">
        <v>24</v>
      </c>
      <c r="D230" s="3" t="s">
        <v>28</v>
      </c>
      <c r="E230" s="3" t="s">
        <v>21</v>
      </c>
      <c r="F230" s="3" t="s">
        <v>16</v>
      </c>
      <c r="G230" s="0" t="n">
        <v>460</v>
      </c>
      <c r="H230" s="0" t="n">
        <v>0</v>
      </c>
      <c r="I230" s="0" t="n">
        <v>20</v>
      </c>
      <c r="J230" s="0" t="n">
        <v>31</v>
      </c>
      <c r="L230" s="3" t="s">
        <v>17</v>
      </c>
    </row>
    <row r="231" customFormat="false" ht="15" hidden="false" customHeight="false" outlineLevel="0" collapsed="false">
      <c r="A231" s="0" t="s">
        <v>299</v>
      </c>
      <c r="B231" s="2" t="n">
        <v>45877</v>
      </c>
      <c r="C231" s="3" t="s">
        <v>45</v>
      </c>
      <c r="D231" s="3" t="s">
        <v>31</v>
      </c>
      <c r="E231" s="3" t="s">
        <v>15</v>
      </c>
      <c r="F231" s="3" t="s">
        <v>22</v>
      </c>
      <c r="G231" s="0" t="n">
        <v>499</v>
      </c>
      <c r="H231" s="0" t="n">
        <v>0</v>
      </c>
      <c r="I231" s="0" t="n">
        <v>20</v>
      </c>
      <c r="L231" s="3" t="s">
        <v>68</v>
      </c>
    </row>
    <row r="232" customFormat="false" ht="15" hidden="false" customHeight="false" outlineLevel="0" collapsed="false">
      <c r="A232" s="0" t="s">
        <v>300</v>
      </c>
      <c r="B232" s="2" t="n">
        <v>45904</v>
      </c>
      <c r="C232" s="3" t="s">
        <v>40</v>
      </c>
      <c r="D232" s="3" t="s">
        <v>20</v>
      </c>
      <c r="E232" s="3" t="s">
        <v>21</v>
      </c>
      <c r="F232" s="3" t="s">
        <v>16</v>
      </c>
      <c r="G232" s="0" t="n">
        <v>431</v>
      </c>
      <c r="H232" s="0" t="n">
        <v>95</v>
      </c>
      <c r="I232" s="0" t="n">
        <v>20</v>
      </c>
      <c r="J232" s="0" t="n">
        <v>38</v>
      </c>
      <c r="K232" s="0" t="n">
        <v>4.1</v>
      </c>
      <c r="L232" s="3" t="s">
        <v>17</v>
      </c>
    </row>
    <row r="233" customFormat="false" ht="15" hidden="false" customHeight="false" outlineLevel="0" collapsed="false">
      <c r="A233" s="0" t="s">
        <v>301</v>
      </c>
      <c r="B233" s="2" t="n">
        <v>45704</v>
      </c>
      <c r="C233" s="3" t="s">
        <v>24</v>
      </c>
      <c r="D233" s="3" t="s">
        <v>56</v>
      </c>
      <c r="E233" s="3" t="s">
        <v>58</v>
      </c>
      <c r="F233" s="3" t="s">
        <v>16</v>
      </c>
      <c r="G233" s="0" t="n">
        <v>274</v>
      </c>
      <c r="H233" s="0" t="n">
        <v>62</v>
      </c>
      <c r="I233" s="0" t="n">
        <v>40</v>
      </c>
      <c r="J233" s="0" t="n">
        <v>42</v>
      </c>
      <c r="K233" s="0" t="n">
        <v>3.9</v>
      </c>
      <c r="L233" s="3" t="s">
        <v>17</v>
      </c>
    </row>
    <row r="234" customFormat="false" ht="15" hidden="false" customHeight="false" outlineLevel="0" collapsed="false">
      <c r="A234" s="0" t="s">
        <v>302</v>
      </c>
      <c r="B234" s="2" t="n">
        <v>45718</v>
      </c>
      <c r="C234" s="3" t="s">
        <v>51</v>
      </c>
      <c r="D234" s="3" t="s">
        <v>56</v>
      </c>
      <c r="E234" s="3" t="s">
        <v>15</v>
      </c>
      <c r="F234" s="3" t="s">
        <v>54</v>
      </c>
      <c r="G234" s="0" t="n">
        <v>272</v>
      </c>
      <c r="H234" s="0" t="n">
        <v>53</v>
      </c>
      <c r="I234" s="0" t="n">
        <v>40</v>
      </c>
      <c r="J234" s="0" t="n">
        <v>42</v>
      </c>
      <c r="K234" s="0" t="n">
        <v>4.5</v>
      </c>
      <c r="L234" s="3" t="s">
        <v>17</v>
      </c>
    </row>
    <row r="235" customFormat="false" ht="15" hidden="false" customHeight="false" outlineLevel="0" collapsed="false">
      <c r="A235" s="0" t="s">
        <v>303</v>
      </c>
      <c r="B235" s="2" t="n">
        <v>45828</v>
      </c>
      <c r="C235" s="3" t="s">
        <v>40</v>
      </c>
      <c r="D235" s="3" t="s">
        <v>31</v>
      </c>
      <c r="E235" s="3" t="s">
        <v>21</v>
      </c>
      <c r="F235" s="3" t="s">
        <v>16</v>
      </c>
      <c r="G235" s="0" t="n">
        <v>424</v>
      </c>
      <c r="H235" s="0" t="n">
        <v>82</v>
      </c>
      <c r="I235" s="0" t="n">
        <v>45</v>
      </c>
      <c r="J235" s="0" t="n">
        <v>36</v>
      </c>
      <c r="K235" s="0" t="n">
        <v>4.4</v>
      </c>
      <c r="L235" s="3" t="s">
        <v>17</v>
      </c>
    </row>
    <row r="236" customFormat="false" ht="15" hidden="false" customHeight="false" outlineLevel="0" collapsed="false">
      <c r="A236" s="0" t="s">
        <v>304</v>
      </c>
      <c r="B236" s="2" t="n">
        <v>46012</v>
      </c>
      <c r="C236" s="3" t="s">
        <v>13</v>
      </c>
      <c r="D236" s="3" t="s">
        <v>56</v>
      </c>
      <c r="E236" s="3" t="s">
        <v>15</v>
      </c>
      <c r="F236" s="3" t="s">
        <v>36</v>
      </c>
      <c r="G236" s="0" t="n">
        <v>258</v>
      </c>
      <c r="H236" s="0" t="n">
        <v>0</v>
      </c>
      <c r="I236" s="0" t="n">
        <v>20</v>
      </c>
      <c r="J236" s="0" t="n">
        <v>20</v>
      </c>
      <c r="K236" s="0" t="n">
        <v>4.2</v>
      </c>
      <c r="L236" s="3" t="s">
        <v>17</v>
      </c>
    </row>
    <row r="237" customFormat="false" ht="15" hidden="false" customHeight="false" outlineLevel="0" collapsed="false">
      <c r="A237" s="0" t="s">
        <v>305</v>
      </c>
      <c r="B237" s="2" t="n">
        <v>45891</v>
      </c>
      <c r="C237" s="3" t="s">
        <v>71</v>
      </c>
      <c r="D237" s="3" t="s">
        <v>31</v>
      </c>
      <c r="E237" s="3" t="s">
        <v>15</v>
      </c>
      <c r="F237" s="3" t="s">
        <v>22</v>
      </c>
      <c r="G237" s="0" t="n">
        <v>546</v>
      </c>
      <c r="H237" s="0" t="n">
        <v>112</v>
      </c>
      <c r="I237" s="0" t="n">
        <v>0</v>
      </c>
      <c r="J237" s="0" t="n">
        <v>31</v>
      </c>
      <c r="K237" s="0" t="n">
        <v>5</v>
      </c>
      <c r="L237" s="3" t="s">
        <v>17</v>
      </c>
    </row>
    <row r="238" customFormat="false" ht="15" hidden="false" customHeight="false" outlineLevel="0" collapsed="false">
      <c r="A238" s="0" t="s">
        <v>306</v>
      </c>
      <c r="B238" s="2" t="n">
        <v>46002</v>
      </c>
      <c r="C238" s="3" t="s">
        <v>307</v>
      </c>
      <c r="D238" s="3" t="s">
        <v>31</v>
      </c>
      <c r="E238" s="3" t="s">
        <v>21</v>
      </c>
      <c r="F238" s="3" t="s">
        <v>22</v>
      </c>
      <c r="G238" s="0" t="n">
        <v>559</v>
      </c>
      <c r="H238" s="0" t="n">
        <v>0</v>
      </c>
      <c r="I238" s="0" t="n">
        <v>0</v>
      </c>
      <c r="J238" s="0" t="n">
        <v>29</v>
      </c>
      <c r="K238" s="0" t="n">
        <v>4.8</v>
      </c>
      <c r="L238" s="3" t="s">
        <v>17</v>
      </c>
    </row>
    <row r="239" customFormat="false" ht="15" hidden="false" customHeight="false" outlineLevel="0" collapsed="false">
      <c r="A239" s="0" t="s">
        <v>308</v>
      </c>
      <c r="B239" s="2" t="n">
        <v>45961</v>
      </c>
      <c r="C239" s="3" t="s">
        <v>13</v>
      </c>
      <c r="D239" s="3" t="s">
        <v>31</v>
      </c>
      <c r="E239" s="3" t="s">
        <v>21</v>
      </c>
      <c r="F239" s="3" t="s">
        <v>22</v>
      </c>
      <c r="G239" s="0" t="n">
        <v>486</v>
      </c>
      <c r="H239" s="0" t="n">
        <v>0</v>
      </c>
      <c r="I239" s="0" t="n">
        <v>40</v>
      </c>
      <c r="J239" s="0" t="n">
        <v>28</v>
      </c>
      <c r="K239" s="0" t="n">
        <v>4.4</v>
      </c>
      <c r="L239" s="3" t="s">
        <v>17</v>
      </c>
    </row>
    <row r="240" customFormat="false" ht="15" hidden="false" customHeight="false" outlineLevel="0" collapsed="false">
      <c r="A240" s="0" t="s">
        <v>309</v>
      </c>
      <c r="B240" s="2" t="n">
        <v>45845</v>
      </c>
      <c r="C240" s="3" t="s">
        <v>45</v>
      </c>
      <c r="D240" s="3" t="s">
        <v>78</v>
      </c>
      <c r="E240" s="3" t="s">
        <v>21</v>
      </c>
      <c r="F240" s="3" t="s">
        <v>16</v>
      </c>
      <c r="G240" s="0" t="n">
        <v>331</v>
      </c>
      <c r="H240" s="0" t="n">
        <v>0</v>
      </c>
      <c r="I240" s="0" t="n">
        <v>30</v>
      </c>
      <c r="J240" s="0" t="n">
        <v>23</v>
      </c>
      <c r="K240" s="0" t="n">
        <v>4.3</v>
      </c>
      <c r="L240" s="3" t="s">
        <v>17</v>
      </c>
    </row>
    <row r="241" customFormat="false" ht="15" hidden="false" customHeight="false" outlineLevel="0" collapsed="false">
      <c r="A241" s="0" t="s">
        <v>310</v>
      </c>
      <c r="B241" s="2" t="n">
        <v>45954</v>
      </c>
      <c r="C241" s="3" t="s">
        <v>24</v>
      </c>
      <c r="D241" s="3" t="s">
        <v>25</v>
      </c>
      <c r="E241" s="3" t="s">
        <v>15</v>
      </c>
      <c r="F241" s="3" t="s">
        <v>34</v>
      </c>
      <c r="G241" s="0" t="n">
        <v>402</v>
      </c>
      <c r="H241" s="0" t="n">
        <v>0</v>
      </c>
      <c r="I241" s="0" t="n">
        <v>20</v>
      </c>
      <c r="J241" s="0" t="n">
        <v>36</v>
      </c>
      <c r="K241" s="0" t="n">
        <v>4.4</v>
      </c>
      <c r="L241" s="3" t="s">
        <v>17</v>
      </c>
    </row>
    <row r="242" customFormat="false" ht="15" hidden="false" customHeight="false" outlineLevel="0" collapsed="false">
      <c r="A242" s="0" t="s">
        <v>311</v>
      </c>
      <c r="B242" s="2" t="n">
        <v>45666</v>
      </c>
      <c r="C242" s="3" t="s">
        <v>27</v>
      </c>
      <c r="D242" s="3" t="s">
        <v>25</v>
      </c>
      <c r="E242" s="3" t="s">
        <v>15</v>
      </c>
      <c r="F242" s="3" t="s">
        <v>36</v>
      </c>
      <c r="G242" s="0" t="n">
        <v>415</v>
      </c>
      <c r="H242" s="0" t="n">
        <v>56</v>
      </c>
      <c r="I242" s="0" t="n">
        <v>30</v>
      </c>
      <c r="J242" s="0" t="n">
        <v>59</v>
      </c>
      <c r="K242" s="0" t="n">
        <v>4</v>
      </c>
      <c r="L242" s="3" t="s">
        <v>17</v>
      </c>
    </row>
    <row r="243" customFormat="false" ht="15" hidden="false" customHeight="false" outlineLevel="0" collapsed="false">
      <c r="A243" s="0" t="s">
        <v>312</v>
      </c>
      <c r="B243" s="2" t="n">
        <v>45705</v>
      </c>
      <c r="C243" s="3" t="s">
        <v>30</v>
      </c>
      <c r="D243" s="3" t="s">
        <v>25</v>
      </c>
      <c r="E243" s="3" t="s">
        <v>21</v>
      </c>
      <c r="F243" s="3" t="s">
        <v>16</v>
      </c>
      <c r="G243" s="0" t="n">
        <v>597</v>
      </c>
      <c r="H243" s="0" t="n">
        <v>0</v>
      </c>
      <c r="I243" s="0" t="n">
        <v>0</v>
      </c>
      <c r="J243" s="0" t="n">
        <v>28</v>
      </c>
      <c r="K243" s="0" t="n">
        <v>3.7</v>
      </c>
      <c r="L243" s="3" t="s">
        <v>17</v>
      </c>
    </row>
    <row r="244" customFormat="false" ht="15" hidden="false" customHeight="false" outlineLevel="0" collapsed="false">
      <c r="A244" s="0" t="s">
        <v>313</v>
      </c>
      <c r="B244" s="2" t="n">
        <v>45969</v>
      </c>
      <c r="C244" s="3" t="s">
        <v>24</v>
      </c>
      <c r="D244" s="3" t="s">
        <v>49</v>
      </c>
      <c r="E244" s="3" t="s">
        <v>15</v>
      </c>
      <c r="F244" s="3" t="s">
        <v>34</v>
      </c>
      <c r="G244" s="0" t="n">
        <v>642</v>
      </c>
      <c r="H244" s="0" t="n">
        <v>74</v>
      </c>
      <c r="I244" s="0" t="n">
        <v>0</v>
      </c>
      <c r="J244" s="0" t="n">
        <v>36</v>
      </c>
      <c r="K244" s="0" t="n">
        <v>4.4</v>
      </c>
      <c r="L244" s="3" t="s">
        <v>17</v>
      </c>
    </row>
    <row r="245" customFormat="false" ht="15" hidden="false" customHeight="false" outlineLevel="0" collapsed="false">
      <c r="A245" s="0" t="s">
        <v>314</v>
      </c>
      <c r="B245" s="2" t="n">
        <v>45958</v>
      </c>
      <c r="C245" s="3" t="s">
        <v>24</v>
      </c>
      <c r="D245" s="3" t="s">
        <v>20</v>
      </c>
      <c r="E245" s="3" t="s">
        <v>15</v>
      </c>
      <c r="F245" s="3" t="s">
        <v>22</v>
      </c>
      <c r="G245" s="0" t="n">
        <v>414</v>
      </c>
      <c r="H245" s="0" t="n">
        <v>43</v>
      </c>
      <c r="I245" s="0" t="n">
        <v>45</v>
      </c>
      <c r="J245" s="0" t="n">
        <v>27</v>
      </c>
      <c r="K245" s="0" t="n">
        <v>4.8</v>
      </c>
      <c r="L245" s="3" t="s">
        <v>17</v>
      </c>
    </row>
    <row r="246" customFormat="false" ht="15" hidden="false" customHeight="false" outlineLevel="0" collapsed="false">
      <c r="A246" s="0" t="s">
        <v>315</v>
      </c>
      <c r="B246" s="2" t="n">
        <v>45756</v>
      </c>
      <c r="C246" s="3" t="s">
        <v>40</v>
      </c>
      <c r="D246" s="3" t="s">
        <v>49</v>
      </c>
      <c r="E246" s="3" t="s">
        <v>21</v>
      </c>
      <c r="F246" s="3" t="s">
        <v>22</v>
      </c>
      <c r="G246" s="0" t="n">
        <v>484</v>
      </c>
      <c r="H246" s="0" t="n">
        <v>0</v>
      </c>
      <c r="I246" s="0" t="n">
        <v>20</v>
      </c>
      <c r="J246" s="0" t="n">
        <v>47</v>
      </c>
      <c r="K246" s="0" t="n">
        <v>2.8</v>
      </c>
      <c r="L246" s="3" t="s">
        <v>17</v>
      </c>
    </row>
    <row r="247" customFormat="false" ht="15" hidden="false" customHeight="false" outlineLevel="0" collapsed="false">
      <c r="A247" s="0" t="s">
        <v>316</v>
      </c>
      <c r="B247" s="2" t="n">
        <v>45868</v>
      </c>
      <c r="C247" s="3" t="s">
        <v>51</v>
      </c>
      <c r="D247" s="3" t="s">
        <v>25</v>
      </c>
      <c r="E247" s="3" t="s">
        <v>15</v>
      </c>
      <c r="F247" s="3" t="s">
        <v>36</v>
      </c>
      <c r="G247" s="0" t="n">
        <v>478</v>
      </c>
      <c r="H247" s="0" t="n">
        <v>60</v>
      </c>
      <c r="I247" s="0" t="n">
        <v>20</v>
      </c>
      <c r="J247" s="0" t="n">
        <v>41</v>
      </c>
      <c r="K247" s="0" t="n">
        <v>4.2</v>
      </c>
      <c r="L247" s="3" t="s">
        <v>17</v>
      </c>
    </row>
    <row r="248" customFormat="false" ht="15" hidden="false" customHeight="false" outlineLevel="0" collapsed="false">
      <c r="A248" s="0" t="s">
        <v>317</v>
      </c>
      <c r="B248" s="2" t="n">
        <v>45894</v>
      </c>
      <c r="C248" s="3" t="s">
        <v>13</v>
      </c>
      <c r="D248" s="3" t="s">
        <v>31</v>
      </c>
      <c r="E248" s="3" t="s">
        <v>15</v>
      </c>
      <c r="F248" s="3" t="s">
        <v>22</v>
      </c>
      <c r="G248" s="0" t="n">
        <v>419</v>
      </c>
      <c r="H248" s="0" t="n">
        <v>86</v>
      </c>
      <c r="I248" s="0" t="n">
        <v>40</v>
      </c>
      <c r="J248" s="0" t="n">
        <v>39</v>
      </c>
      <c r="K248" s="0" t="n">
        <v>4.5</v>
      </c>
      <c r="L248" s="3" t="s">
        <v>17</v>
      </c>
    </row>
    <row r="249" customFormat="false" ht="15" hidden="false" customHeight="false" outlineLevel="0" collapsed="false">
      <c r="A249" s="0" t="s">
        <v>318</v>
      </c>
      <c r="B249" s="2" t="n">
        <v>45981</v>
      </c>
      <c r="C249" s="3" t="s">
        <v>13</v>
      </c>
      <c r="D249" s="3" t="s">
        <v>20</v>
      </c>
      <c r="E249" s="3" t="s">
        <v>15</v>
      </c>
      <c r="F249" s="3" t="s">
        <v>22</v>
      </c>
      <c r="G249" s="0" t="n">
        <v>594</v>
      </c>
      <c r="H249" s="0" t="n">
        <v>92</v>
      </c>
      <c r="I249" s="0" t="n">
        <v>0</v>
      </c>
      <c r="J249" s="0" t="n">
        <v>43</v>
      </c>
      <c r="K249" s="0" t="n">
        <v>4.4</v>
      </c>
      <c r="L249" s="3" t="s">
        <v>17</v>
      </c>
    </row>
    <row r="250" customFormat="false" ht="15" hidden="false" customHeight="false" outlineLevel="0" collapsed="false">
      <c r="A250" s="0" t="s">
        <v>319</v>
      </c>
      <c r="B250" s="0" t="s">
        <v>320</v>
      </c>
      <c r="C250" s="0" t="s">
        <v>13</v>
      </c>
      <c r="D250" s="0" t="s">
        <v>25</v>
      </c>
      <c r="E250" s="0" t="s">
        <v>21</v>
      </c>
      <c r="F250" s="0" t="s">
        <v>54</v>
      </c>
      <c r="G250" s="0" t="n">
        <v>584</v>
      </c>
      <c r="H250" s="0" t="n">
        <v>0</v>
      </c>
      <c r="I250" s="0" t="n">
        <v>0</v>
      </c>
      <c r="J250" s="0" t="n">
        <v>30</v>
      </c>
      <c r="K250" s="0" t="n">
        <v>4.8</v>
      </c>
      <c r="L250" s="0" t="s">
        <v>17</v>
      </c>
    </row>
    <row r="251" customFormat="false" ht="15" hidden="false" customHeight="false" outlineLevel="0" collapsed="false">
      <c r="A251" s="0" t="s">
        <v>321</v>
      </c>
      <c r="B251" s="2" t="n">
        <v>45825</v>
      </c>
      <c r="C251" s="3" t="s">
        <v>164</v>
      </c>
      <c r="D251" s="3" t="s">
        <v>14</v>
      </c>
      <c r="E251" s="3" t="s">
        <v>21</v>
      </c>
      <c r="F251" s="3" t="s">
        <v>54</v>
      </c>
      <c r="G251" s="0" t="n">
        <v>183</v>
      </c>
      <c r="H251" s="0" t="n">
        <v>45</v>
      </c>
      <c r="I251" s="0" t="n">
        <v>45</v>
      </c>
      <c r="J251" s="0" t="n">
        <v>40</v>
      </c>
      <c r="K251" s="0" t="n">
        <v>4</v>
      </c>
      <c r="L251" s="3" t="s">
        <v>17</v>
      </c>
    </row>
    <row r="252" customFormat="false" ht="15" hidden="false" customHeight="false" outlineLevel="0" collapsed="false">
      <c r="A252" s="0" t="s">
        <v>322</v>
      </c>
      <c r="B252" s="2" t="n">
        <v>45811</v>
      </c>
      <c r="C252" s="3" t="s">
        <v>27</v>
      </c>
      <c r="D252" s="3" t="s">
        <v>14</v>
      </c>
      <c r="E252" s="3" t="s">
        <v>21</v>
      </c>
      <c r="F252" s="3" t="s">
        <v>34</v>
      </c>
      <c r="G252" s="0" t="n">
        <v>344</v>
      </c>
      <c r="H252" s="0" t="n">
        <v>0</v>
      </c>
      <c r="I252" s="0" t="n">
        <v>30</v>
      </c>
      <c r="J252" s="0" t="n">
        <v>54</v>
      </c>
      <c r="K252" s="0" t="n">
        <v>3.3</v>
      </c>
      <c r="L252" s="3" t="s">
        <v>17</v>
      </c>
    </row>
    <row r="253" customFormat="false" ht="15" hidden="false" customHeight="false" outlineLevel="0" collapsed="false">
      <c r="A253" s="0" t="s">
        <v>323</v>
      </c>
      <c r="B253" s="2" t="n">
        <v>45830</v>
      </c>
      <c r="C253" s="3" t="s">
        <v>164</v>
      </c>
      <c r="D253" s="3" t="s">
        <v>56</v>
      </c>
      <c r="E253" s="3" t="s">
        <v>15</v>
      </c>
      <c r="F253" s="3" t="s">
        <v>22</v>
      </c>
      <c r="G253" s="0" t="n">
        <v>332</v>
      </c>
      <c r="H253" s="0" t="n">
        <v>53</v>
      </c>
      <c r="I253" s="0" t="n">
        <v>30</v>
      </c>
      <c r="J253" s="0" t="n">
        <v>46</v>
      </c>
      <c r="K253" s="0" t="n">
        <v>3.1</v>
      </c>
      <c r="L253" s="3" t="s">
        <v>17</v>
      </c>
    </row>
    <row r="254" customFormat="false" ht="15" hidden="false" customHeight="false" outlineLevel="0" collapsed="false">
      <c r="A254" s="0" t="s">
        <v>324</v>
      </c>
      <c r="B254" s="2" t="n">
        <v>45910</v>
      </c>
      <c r="C254" s="3" t="s">
        <v>13</v>
      </c>
      <c r="D254" s="3" t="s">
        <v>78</v>
      </c>
      <c r="E254" s="3" t="s">
        <v>15</v>
      </c>
      <c r="F254" s="3" t="s">
        <v>36</v>
      </c>
      <c r="G254" s="0" t="n">
        <v>222</v>
      </c>
      <c r="H254" s="0" t="n">
        <v>0</v>
      </c>
      <c r="I254" s="0" t="n">
        <v>30</v>
      </c>
      <c r="J254" s="0" t="n">
        <v>17</v>
      </c>
      <c r="K254" s="0" t="n">
        <v>5</v>
      </c>
      <c r="L254" s="3" t="s">
        <v>17</v>
      </c>
    </row>
    <row r="255" customFormat="false" ht="15" hidden="false" customHeight="false" outlineLevel="0" collapsed="false">
      <c r="A255" s="0" t="s">
        <v>325</v>
      </c>
      <c r="B255" s="2" t="n">
        <v>45981</v>
      </c>
      <c r="C255" s="3" t="s">
        <v>24</v>
      </c>
      <c r="D255" s="3" t="s">
        <v>20</v>
      </c>
      <c r="E255" s="3" t="s">
        <v>21</v>
      </c>
      <c r="F255" s="3" t="s">
        <v>22</v>
      </c>
      <c r="G255" s="0" t="n">
        <v>747</v>
      </c>
      <c r="H255" s="0" t="n">
        <v>0</v>
      </c>
      <c r="I255" s="0" t="n">
        <v>0</v>
      </c>
      <c r="J255" s="0" t="n">
        <v>39</v>
      </c>
      <c r="K255" s="0" t="n">
        <v>4.5</v>
      </c>
      <c r="L255" s="3" t="s">
        <v>17</v>
      </c>
    </row>
    <row r="256" customFormat="false" ht="15" hidden="false" customHeight="false" outlineLevel="0" collapsed="false">
      <c r="A256" s="0" t="s">
        <v>326</v>
      </c>
      <c r="B256" s="2" t="n">
        <v>45841</v>
      </c>
      <c r="C256" s="3" t="s">
        <v>45</v>
      </c>
      <c r="D256" s="3" t="s">
        <v>25</v>
      </c>
      <c r="E256" s="3" t="s">
        <v>21</v>
      </c>
      <c r="F256" s="3" t="s">
        <v>16</v>
      </c>
      <c r="G256" s="0" t="n">
        <v>583</v>
      </c>
      <c r="H256" s="0" t="n">
        <v>99</v>
      </c>
      <c r="I256" s="0" t="n">
        <v>0</v>
      </c>
      <c r="J256" s="0" t="n">
        <v>26</v>
      </c>
      <c r="K256" s="0" t="n">
        <v>5</v>
      </c>
      <c r="L256" s="3" t="s">
        <v>17</v>
      </c>
    </row>
    <row r="257" customFormat="false" ht="15" hidden="false" customHeight="false" outlineLevel="0" collapsed="false">
      <c r="A257" s="0" t="s">
        <v>327</v>
      </c>
      <c r="B257" s="2" t="n">
        <v>45762</v>
      </c>
      <c r="C257" s="3" t="s">
        <v>30</v>
      </c>
      <c r="D257" s="3" t="s">
        <v>56</v>
      </c>
      <c r="E257" s="3" t="s">
        <v>21</v>
      </c>
      <c r="F257" s="3" t="s">
        <v>22</v>
      </c>
      <c r="G257" s="0" t="n">
        <v>392</v>
      </c>
      <c r="H257" s="0" t="n">
        <v>75</v>
      </c>
      <c r="I257" s="0" t="n">
        <v>45</v>
      </c>
      <c r="J257" s="0" t="n">
        <v>37</v>
      </c>
      <c r="K257" s="0" t="n">
        <v>3.9</v>
      </c>
      <c r="L257" s="3" t="s">
        <v>17</v>
      </c>
    </row>
    <row r="258" customFormat="false" ht="15" hidden="false" customHeight="false" outlineLevel="0" collapsed="false">
      <c r="A258" s="0" t="s">
        <v>328</v>
      </c>
      <c r="B258" s="2" t="n">
        <v>45758</v>
      </c>
      <c r="C258" s="3" t="s">
        <v>24</v>
      </c>
      <c r="D258" s="3" t="s">
        <v>31</v>
      </c>
      <c r="E258" s="3" t="s">
        <v>21</v>
      </c>
      <c r="F258" s="3" t="s">
        <v>54</v>
      </c>
      <c r="G258" s="0" t="n">
        <v>303</v>
      </c>
      <c r="H258" s="0" t="n">
        <v>0</v>
      </c>
      <c r="I258" s="0" t="n">
        <v>20</v>
      </c>
      <c r="J258" s="0" t="n">
        <v>39</v>
      </c>
      <c r="K258" s="0" t="n">
        <v>4.6</v>
      </c>
      <c r="L258" s="3" t="s">
        <v>17</v>
      </c>
    </row>
    <row r="259" customFormat="false" ht="15" hidden="false" customHeight="false" outlineLevel="0" collapsed="false">
      <c r="A259" s="0" t="s">
        <v>329</v>
      </c>
      <c r="B259" s="2" t="n">
        <v>45941</v>
      </c>
      <c r="C259" s="3" t="s">
        <v>27</v>
      </c>
      <c r="D259" s="3" t="s">
        <v>14</v>
      </c>
      <c r="E259" s="3" t="s">
        <v>21</v>
      </c>
      <c r="F259" s="3" t="s">
        <v>54</v>
      </c>
      <c r="G259" s="0" t="n">
        <v>308</v>
      </c>
      <c r="H259" s="0" t="n">
        <v>45</v>
      </c>
      <c r="I259" s="0" t="n">
        <v>20</v>
      </c>
      <c r="J259" s="0" t="n">
        <v>30</v>
      </c>
      <c r="K259" s="0" t="n">
        <v>3.6</v>
      </c>
      <c r="L259" s="3" t="s">
        <v>17</v>
      </c>
    </row>
    <row r="260" customFormat="false" ht="15" hidden="false" customHeight="false" outlineLevel="0" collapsed="false">
      <c r="A260" s="0" t="s">
        <v>330</v>
      </c>
      <c r="B260" s="2" t="n">
        <v>45965</v>
      </c>
      <c r="C260" s="3" t="s">
        <v>40</v>
      </c>
      <c r="D260" s="3" t="s">
        <v>31</v>
      </c>
      <c r="E260" s="3" t="s">
        <v>21</v>
      </c>
      <c r="F260" s="3" t="s">
        <v>34</v>
      </c>
      <c r="G260" s="0" t="n">
        <v>393</v>
      </c>
      <c r="H260" s="0" t="n">
        <v>0</v>
      </c>
      <c r="I260" s="0" t="n">
        <v>40</v>
      </c>
      <c r="J260" s="0" t="n">
        <v>40</v>
      </c>
      <c r="K260" s="0" t="n">
        <v>3.7</v>
      </c>
      <c r="L260" s="3" t="s">
        <v>17</v>
      </c>
    </row>
    <row r="261" customFormat="false" ht="15" hidden="false" customHeight="false" outlineLevel="0" collapsed="false">
      <c r="A261" s="0" t="s">
        <v>331</v>
      </c>
      <c r="B261" s="2" t="n">
        <v>45703</v>
      </c>
      <c r="C261" s="3" t="s">
        <v>19</v>
      </c>
      <c r="D261" s="3" t="s">
        <v>25</v>
      </c>
      <c r="E261" s="3" t="s">
        <v>21</v>
      </c>
      <c r="F261" s="3" t="s">
        <v>22</v>
      </c>
      <c r="G261" s="0" t="n">
        <v>351</v>
      </c>
      <c r="H261" s="0" t="n">
        <v>0</v>
      </c>
      <c r="I261" s="0" t="n">
        <v>40</v>
      </c>
      <c r="J261" s="0" t="n">
        <v>29</v>
      </c>
      <c r="K261" s="0" t="n">
        <v>4.5</v>
      </c>
      <c r="L261" s="3" t="s">
        <v>17</v>
      </c>
    </row>
    <row r="262" customFormat="false" ht="15" hidden="false" customHeight="false" outlineLevel="0" collapsed="false">
      <c r="A262" s="0" t="s">
        <v>332</v>
      </c>
      <c r="B262" s="2" t="n">
        <v>45687</v>
      </c>
      <c r="C262" s="3" t="s">
        <v>45</v>
      </c>
      <c r="D262" s="3" t="s">
        <v>20</v>
      </c>
      <c r="E262" s="3" t="s">
        <v>15</v>
      </c>
      <c r="F262" s="3" t="s">
        <v>16</v>
      </c>
      <c r="G262" s="0" t="n">
        <v>450</v>
      </c>
      <c r="H262" s="0" t="n">
        <v>103</v>
      </c>
      <c r="I262" s="0" t="n">
        <v>40</v>
      </c>
      <c r="J262" s="0" t="n">
        <v>33</v>
      </c>
      <c r="K262" s="0" t="n">
        <v>4.7</v>
      </c>
      <c r="L262" s="3" t="s">
        <v>17</v>
      </c>
    </row>
    <row r="263" customFormat="false" ht="15" hidden="false" customHeight="false" outlineLevel="0" collapsed="false">
      <c r="A263" s="0" t="s">
        <v>333</v>
      </c>
      <c r="B263" s="2" t="n">
        <v>45890</v>
      </c>
      <c r="C263" s="3" t="s">
        <v>51</v>
      </c>
      <c r="D263" s="3" t="s">
        <v>31</v>
      </c>
      <c r="E263" s="3" t="s">
        <v>21</v>
      </c>
      <c r="F263" s="3" t="s">
        <v>22</v>
      </c>
      <c r="G263" s="0" t="n">
        <v>582</v>
      </c>
      <c r="H263" s="0" t="n">
        <v>0</v>
      </c>
      <c r="I263" s="0" t="n">
        <v>0</v>
      </c>
      <c r="J263" s="0" t="n">
        <v>39</v>
      </c>
      <c r="K263" s="0" t="n">
        <v>5</v>
      </c>
      <c r="L263" s="3" t="s">
        <v>17</v>
      </c>
    </row>
    <row r="264" customFormat="false" ht="15" hidden="false" customHeight="false" outlineLevel="0" collapsed="false">
      <c r="A264" s="0" t="s">
        <v>334</v>
      </c>
      <c r="B264" s="2" t="n">
        <v>45721</v>
      </c>
      <c r="C264" s="3" t="s">
        <v>24</v>
      </c>
      <c r="D264" s="3" t="s">
        <v>31</v>
      </c>
      <c r="E264" s="3" t="s">
        <v>21</v>
      </c>
      <c r="F264" s="3" t="s">
        <v>54</v>
      </c>
      <c r="G264" s="0" t="n">
        <v>503</v>
      </c>
      <c r="H264" s="0" t="n">
        <v>0</v>
      </c>
      <c r="I264" s="0" t="n">
        <v>0</v>
      </c>
      <c r="J264" s="0" t="n">
        <v>46</v>
      </c>
      <c r="K264" s="0" t="n">
        <v>3.9</v>
      </c>
      <c r="L264" s="3" t="s">
        <v>17</v>
      </c>
    </row>
    <row r="265" customFormat="false" ht="15" hidden="false" customHeight="false" outlineLevel="0" collapsed="false">
      <c r="A265" s="0" t="s">
        <v>335</v>
      </c>
      <c r="B265" s="2" t="n">
        <v>45967</v>
      </c>
      <c r="C265" s="3" t="s">
        <v>40</v>
      </c>
      <c r="D265" s="3" t="s">
        <v>28</v>
      </c>
      <c r="E265" s="3" t="s">
        <v>58</v>
      </c>
      <c r="F265" s="3" t="s">
        <v>22</v>
      </c>
      <c r="G265" s="0" t="n">
        <v>400</v>
      </c>
      <c r="H265" s="0" t="n">
        <v>0</v>
      </c>
      <c r="I265" s="0" t="n">
        <v>20</v>
      </c>
      <c r="J265" s="0" t="n">
        <v>41</v>
      </c>
      <c r="K265" s="0" t="n">
        <v>3.7</v>
      </c>
      <c r="L265" s="3" t="s">
        <v>17</v>
      </c>
    </row>
    <row r="266" customFormat="false" ht="15" hidden="false" customHeight="false" outlineLevel="0" collapsed="false">
      <c r="A266" s="0" t="s">
        <v>336</v>
      </c>
      <c r="B266" s="2" t="n">
        <v>45787</v>
      </c>
      <c r="C266" s="3" t="s">
        <v>24</v>
      </c>
      <c r="D266" s="3" t="s">
        <v>31</v>
      </c>
      <c r="E266" s="3" t="s">
        <v>21</v>
      </c>
      <c r="G266" s="0" t="n">
        <v>461</v>
      </c>
      <c r="H266" s="0" t="n">
        <v>87</v>
      </c>
      <c r="I266" s="0" t="n">
        <v>30</v>
      </c>
      <c r="J266" s="0" t="n">
        <v>36</v>
      </c>
      <c r="L266" s="3" t="s">
        <v>17</v>
      </c>
    </row>
    <row r="267" customFormat="false" ht="15" hidden="false" customHeight="false" outlineLevel="0" collapsed="false">
      <c r="A267" s="0" t="s">
        <v>337</v>
      </c>
      <c r="B267" s="2" t="n">
        <v>45720</v>
      </c>
      <c r="C267" s="3" t="s">
        <v>40</v>
      </c>
      <c r="D267" s="3" t="s">
        <v>56</v>
      </c>
      <c r="E267" s="3" t="s">
        <v>21</v>
      </c>
      <c r="F267" s="3" t="s">
        <v>36</v>
      </c>
      <c r="G267" s="0" t="n">
        <v>358</v>
      </c>
      <c r="H267" s="0" t="n">
        <v>42</v>
      </c>
      <c r="I267" s="0" t="n">
        <v>40</v>
      </c>
      <c r="J267" s="0" t="n">
        <v>46</v>
      </c>
      <c r="L267" s="3" t="s">
        <v>17</v>
      </c>
    </row>
    <row r="268" customFormat="false" ht="15" hidden="false" customHeight="false" outlineLevel="0" collapsed="false">
      <c r="A268" s="0" t="s">
        <v>338</v>
      </c>
      <c r="B268" s="2" t="n">
        <v>45998</v>
      </c>
      <c r="C268" s="3" t="s">
        <v>40</v>
      </c>
      <c r="D268" s="3" t="s">
        <v>25</v>
      </c>
      <c r="E268" s="3" t="s">
        <v>21</v>
      </c>
      <c r="F268" s="3" t="s">
        <v>16</v>
      </c>
      <c r="G268" s="0" t="n">
        <v>432</v>
      </c>
      <c r="H268" s="0" t="n">
        <v>0</v>
      </c>
      <c r="I268" s="0" t="n">
        <v>30</v>
      </c>
      <c r="J268" s="0" t="n">
        <v>54</v>
      </c>
      <c r="K268" s="0" t="n">
        <v>4.9</v>
      </c>
      <c r="L268" s="3" t="s">
        <v>17</v>
      </c>
    </row>
    <row r="269" customFormat="false" ht="15" hidden="false" customHeight="false" outlineLevel="0" collapsed="false">
      <c r="A269" s="0" t="s">
        <v>339</v>
      </c>
      <c r="B269" s="2" t="n">
        <v>45729</v>
      </c>
      <c r="C269" s="3" t="s">
        <v>40</v>
      </c>
      <c r="D269" s="3" t="s">
        <v>25</v>
      </c>
      <c r="E269" s="3" t="s">
        <v>15</v>
      </c>
      <c r="F269" s="3" t="s">
        <v>36</v>
      </c>
      <c r="G269" s="0" t="n">
        <v>539</v>
      </c>
      <c r="H269" s="0" t="n">
        <v>82</v>
      </c>
      <c r="I269" s="0" t="n">
        <v>0</v>
      </c>
      <c r="J269" s="0" t="n">
        <v>44</v>
      </c>
      <c r="K269" s="0" t="n">
        <v>4.4</v>
      </c>
      <c r="L269" s="3" t="s">
        <v>17</v>
      </c>
    </row>
    <row r="270" customFormat="false" ht="15" hidden="false" customHeight="false" outlineLevel="0" collapsed="false">
      <c r="A270" s="0" t="s">
        <v>340</v>
      </c>
      <c r="B270" s="2" t="n">
        <v>45777</v>
      </c>
      <c r="C270" s="3" t="s">
        <v>19</v>
      </c>
      <c r="D270" s="3" t="s">
        <v>31</v>
      </c>
      <c r="E270" s="3" t="s">
        <v>21</v>
      </c>
      <c r="F270" s="3" t="s">
        <v>22</v>
      </c>
      <c r="G270" s="0" t="n">
        <v>390</v>
      </c>
      <c r="H270" s="0" t="n">
        <v>0</v>
      </c>
      <c r="I270" s="0" t="n">
        <v>30</v>
      </c>
      <c r="J270" s="0" t="n">
        <v>29</v>
      </c>
      <c r="K270" s="0" t="n">
        <v>5</v>
      </c>
      <c r="L270" s="3" t="s">
        <v>17</v>
      </c>
    </row>
    <row r="271" customFormat="false" ht="15" hidden="false" customHeight="false" outlineLevel="0" collapsed="false">
      <c r="A271" s="0" t="s">
        <v>341</v>
      </c>
      <c r="B271" s="2" t="n">
        <v>45724</v>
      </c>
      <c r="C271" s="3" t="s">
        <v>40</v>
      </c>
      <c r="D271" s="3" t="s">
        <v>28</v>
      </c>
      <c r="E271" s="3" t="s">
        <v>21</v>
      </c>
      <c r="F271" s="3" t="s">
        <v>36</v>
      </c>
      <c r="G271" s="0" t="n">
        <v>420</v>
      </c>
      <c r="H271" s="0" t="n">
        <v>0</v>
      </c>
      <c r="I271" s="0" t="n">
        <v>45</v>
      </c>
      <c r="J271" s="0" t="n">
        <v>41</v>
      </c>
      <c r="K271" s="0" t="n">
        <v>4</v>
      </c>
      <c r="L271" s="3" t="s">
        <v>17</v>
      </c>
    </row>
    <row r="272" customFormat="false" ht="15" hidden="false" customHeight="false" outlineLevel="0" collapsed="false">
      <c r="A272" s="0" t="s">
        <v>342</v>
      </c>
      <c r="B272" s="2" t="n">
        <v>45708</v>
      </c>
      <c r="C272" s="3" t="s">
        <v>40</v>
      </c>
      <c r="D272" s="3" t="s">
        <v>78</v>
      </c>
      <c r="E272" s="3" t="s">
        <v>15</v>
      </c>
      <c r="F272" s="3" t="s">
        <v>22</v>
      </c>
      <c r="G272" s="0" t="n">
        <v>394</v>
      </c>
      <c r="H272" s="0" t="n">
        <v>53</v>
      </c>
      <c r="I272" s="0" t="n">
        <v>40</v>
      </c>
      <c r="J272" s="0" t="n">
        <v>40</v>
      </c>
      <c r="K272" s="0" t="n">
        <v>4.1</v>
      </c>
      <c r="L272" s="3" t="s">
        <v>17</v>
      </c>
    </row>
    <row r="273" customFormat="false" ht="15" hidden="false" customHeight="false" outlineLevel="0" collapsed="false">
      <c r="A273" s="0" t="s">
        <v>343</v>
      </c>
      <c r="B273" s="2" t="n">
        <v>45667</v>
      </c>
      <c r="C273" s="3" t="s">
        <v>30</v>
      </c>
      <c r="D273" s="3" t="s">
        <v>31</v>
      </c>
      <c r="E273" s="3" t="s">
        <v>21</v>
      </c>
      <c r="G273" s="0" t="n">
        <v>675</v>
      </c>
      <c r="H273" s="0" t="n">
        <v>0</v>
      </c>
      <c r="I273" s="0" t="n">
        <v>0</v>
      </c>
      <c r="J273" s="0" t="n">
        <v>31</v>
      </c>
      <c r="L273" s="3" t="s">
        <v>17</v>
      </c>
    </row>
    <row r="274" customFormat="false" ht="15" hidden="false" customHeight="false" outlineLevel="0" collapsed="false">
      <c r="A274" s="0" t="s">
        <v>344</v>
      </c>
      <c r="B274" s="2" t="n">
        <v>45682</v>
      </c>
      <c r="C274" s="3" t="s">
        <v>27</v>
      </c>
      <c r="D274" s="3" t="s">
        <v>78</v>
      </c>
      <c r="E274" s="3" t="s">
        <v>21</v>
      </c>
      <c r="F274" s="3" t="s">
        <v>16</v>
      </c>
      <c r="G274" s="0" t="n">
        <v>235</v>
      </c>
      <c r="H274" s="0" t="n">
        <v>38</v>
      </c>
      <c r="I274" s="0" t="n">
        <v>20</v>
      </c>
      <c r="J274" s="0" t="n">
        <v>57</v>
      </c>
      <c r="K274" s="0" t="n">
        <v>3.5</v>
      </c>
      <c r="L274" s="3" t="s">
        <v>17</v>
      </c>
    </row>
    <row r="275" customFormat="false" ht="15" hidden="false" customHeight="false" outlineLevel="0" collapsed="false">
      <c r="A275" s="0" t="s">
        <v>345</v>
      </c>
      <c r="B275" s="2" t="n">
        <v>45732</v>
      </c>
      <c r="C275" s="3" t="s">
        <v>30</v>
      </c>
      <c r="D275" s="3" t="s">
        <v>20</v>
      </c>
      <c r="E275" s="3" t="s">
        <v>21</v>
      </c>
      <c r="F275" s="3" t="s">
        <v>22</v>
      </c>
      <c r="G275" s="0" t="n">
        <v>767</v>
      </c>
      <c r="H275" s="0" t="n">
        <v>83</v>
      </c>
      <c r="I275" s="0" t="n">
        <v>0</v>
      </c>
      <c r="J275" s="0" t="n">
        <v>26</v>
      </c>
      <c r="K275" s="0" t="n">
        <v>4.4</v>
      </c>
      <c r="L275" s="3" t="s">
        <v>17</v>
      </c>
    </row>
    <row r="276" customFormat="false" ht="15" hidden="false" customHeight="false" outlineLevel="0" collapsed="false">
      <c r="A276" s="0" t="s">
        <v>346</v>
      </c>
      <c r="B276" s="2" t="n">
        <v>45681</v>
      </c>
      <c r="C276" s="3" t="s">
        <v>13</v>
      </c>
      <c r="D276" s="3" t="s">
        <v>20</v>
      </c>
      <c r="E276" s="3" t="s">
        <v>15</v>
      </c>
      <c r="F276" s="3" t="s">
        <v>34</v>
      </c>
      <c r="G276" s="0" t="n">
        <v>563</v>
      </c>
      <c r="H276" s="0" t="n">
        <v>129</v>
      </c>
      <c r="I276" s="0" t="n">
        <v>0</v>
      </c>
      <c r="J276" s="0" t="n">
        <v>41</v>
      </c>
      <c r="K276" s="0" t="n">
        <v>3.8</v>
      </c>
      <c r="L276" s="3" t="s">
        <v>17</v>
      </c>
    </row>
    <row r="277" customFormat="false" ht="15" hidden="false" customHeight="false" outlineLevel="0" collapsed="false">
      <c r="A277" s="0" t="s">
        <v>347</v>
      </c>
      <c r="B277" s="2" t="n">
        <v>45889</v>
      </c>
      <c r="C277" s="3" t="s">
        <v>45</v>
      </c>
      <c r="D277" s="3" t="s">
        <v>28</v>
      </c>
      <c r="E277" s="3" t="s">
        <v>21</v>
      </c>
      <c r="F277" s="3" t="s">
        <v>22</v>
      </c>
      <c r="G277" s="0" t="n">
        <v>518</v>
      </c>
      <c r="H277" s="0" t="n">
        <v>0</v>
      </c>
      <c r="I277" s="0" t="n">
        <v>0</v>
      </c>
      <c r="J277" s="0" t="n">
        <v>29</v>
      </c>
      <c r="K277" s="0" t="n">
        <v>4.2</v>
      </c>
      <c r="L277" s="3" t="s">
        <v>17</v>
      </c>
    </row>
    <row r="278" customFormat="false" ht="15" hidden="false" customHeight="false" outlineLevel="0" collapsed="false">
      <c r="A278" s="0" t="s">
        <v>348</v>
      </c>
      <c r="B278" s="2" t="n">
        <v>45920</v>
      </c>
      <c r="C278" s="3" t="s">
        <v>13</v>
      </c>
      <c r="D278" s="3" t="s">
        <v>28</v>
      </c>
      <c r="E278" s="3" t="s">
        <v>15</v>
      </c>
      <c r="F278" s="3" t="s">
        <v>22</v>
      </c>
      <c r="G278" s="0" t="n">
        <v>370</v>
      </c>
      <c r="H278" s="0" t="n">
        <v>87</v>
      </c>
      <c r="I278" s="0" t="n">
        <v>30</v>
      </c>
      <c r="J278" s="0" t="n">
        <v>23</v>
      </c>
      <c r="K278" s="0" t="n">
        <v>4.6</v>
      </c>
      <c r="L278" s="3" t="s">
        <v>17</v>
      </c>
    </row>
    <row r="279" customFormat="false" ht="15" hidden="false" customHeight="false" outlineLevel="0" collapsed="false">
      <c r="A279" s="0" t="s">
        <v>349</v>
      </c>
      <c r="B279" s="2" t="n">
        <v>45818</v>
      </c>
      <c r="C279" s="3" t="s">
        <v>27</v>
      </c>
      <c r="D279" s="3" t="s">
        <v>14</v>
      </c>
      <c r="E279" s="3" t="s">
        <v>15</v>
      </c>
      <c r="F279" s="3" t="s">
        <v>36</v>
      </c>
      <c r="G279" s="0" t="n">
        <v>379</v>
      </c>
      <c r="H279" s="0" t="n">
        <v>83</v>
      </c>
      <c r="I279" s="0" t="n">
        <v>20</v>
      </c>
      <c r="J279" s="0" t="n">
        <v>41</v>
      </c>
      <c r="L279" s="3" t="s">
        <v>17</v>
      </c>
    </row>
    <row r="280" customFormat="false" ht="15" hidden="false" customHeight="false" outlineLevel="0" collapsed="false">
      <c r="A280" s="0" t="s">
        <v>350</v>
      </c>
      <c r="B280" s="2" t="n">
        <v>45789</v>
      </c>
      <c r="C280" s="3" t="s">
        <v>13</v>
      </c>
      <c r="D280" s="3" t="s">
        <v>56</v>
      </c>
      <c r="E280" s="3" t="s">
        <v>21</v>
      </c>
      <c r="F280" s="3" t="s">
        <v>22</v>
      </c>
      <c r="G280" s="0" t="n">
        <v>493</v>
      </c>
      <c r="H280" s="0" t="n">
        <v>0</v>
      </c>
      <c r="I280" s="0" t="n">
        <v>45</v>
      </c>
      <c r="J280" s="0" t="n">
        <v>29</v>
      </c>
      <c r="K280" s="0" t="n">
        <v>4.6</v>
      </c>
      <c r="L280" s="3" t="s">
        <v>17</v>
      </c>
    </row>
    <row r="281" customFormat="false" ht="15" hidden="false" customHeight="false" outlineLevel="0" collapsed="false">
      <c r="A281" s="0" t="s">
        <v>351</v>
      </c>
      <c r="B281" s="2" t="n">
        <v>45858</v>
      </c>
      <c r="C281" s="3" t="s">
        <v>27</v>
      </c>
      <c r="D281" s="3" t="s">
        <v>20</v>
      </c>
      <c r="E281" s="3" t="s">
        <v>15</v>
      </c>
      <c r="F281" s="3" t="s">
        <v>34</v>
      </c>
      <c r="G281" s="0" t="n">
        <v>829</v>
      </c>
      <c r="H281" s="0" t="n">
        <v>173</v>
      </c>
      <c r="I281" s="0" t="n">
        <v>0</v>
      </c>
      <c r="J281" s="0" t="n">
        <v>46</v>
      </c>
      <c r="K281" s="0" t="n">
        <v>4.1</v>
      </c>
      <c r="L281" s="3" t="s">
        <v>17</v>
      </c>
    </row>
    <row r="282" customFormat="false" ht="15" hidden="false" customHeight="false" outlineLevel="0" collapsed="false">
      <c r="A282" s="0" t="s">
        <v>352</v>
      </c>
      <c r="B282" s="0" t="s">
        <v>265</v>
      </c>
      <c r="C282" s="0" t="s">
        <v>24</v>
      </c>
      <c r="D282" s="0" t="s">
        <v>25</v>
      </c>
      <c r="E282" s="0" t="s">
        <v>15</v>
      </c>
      <c r="F282" s="0" t="s">
        <v>36</v>
      </c>
      <c r="G282" s="0" t="n">
        <v>401</v>
      </c>
      <c r="H282" s="0" t="n">
        <v>0</v>
      </c>
      <c r="I282" s="0" t="n">
        <v>40</v>
      </c>
      <c r="J282" s="0" t="n">
        <v>37</v>
      </c>
      <c r="K282" s="0" t="n">
        <v>4.1</v>
      </c>
      <c r="L282" s="0" t="s">
        <v>17</v>
      </c>
    </row>
    <row r="283" customFormat="false" ht="15" hidden="false" customHeight="false" outlineLevel="0" collapsed="false">
      <c r="A283" s="0" t="s">
        <v>353</v>
      </c>
      <c r="B283" s="0" t="s">
        <v>354</v>
      </c>
      <c r="C283" s="0" t="s">
        <v>355</v>
      </c>
      <c r="D283" s="0" t="s">
        <v>31</v>
      </c>
      <c r="E283" s="0" t="s">
        <v>21</v>
      </c>
      <c r="F283" s="0" t="s">
        <v>22</v>
      </c>
      <c r="G283" s="0" t="n">
        <v>549</v>
      </c>
      <c r="H283" s="0" t="n">
        <v>0</v>
      </c>
      <c r="I283" s="0" t="n">
        <v>0</v>
      </c>
      <c r="J283" s="0" t="n">
        <v>35</v>
      </c>
      <c r="K283" s="0" t="n">
        <v>3.9</v>
      </c>
      <c r="L283" s="0" t="s">
        <v>17</v>
      </c>
    </row>
    <row r="284" customFormat="false" ht="15" hidden="false" customHeight="false" outlineLevel="0" collapsed="false">
      <c r="A284" s="0" t="s">
        <v>356</v>
      </c>
      <c r="B284" s="2" t="n">
        <v>45677</v>
      </c>
      <c r="C284" s="3" t="s">
        <v>40</v>
      </c>
      <c r="D284" s="3" t="s">
        <v>28</v>
      </c>
      <c r="E284" s="3" t="s">
        <v>15</v>
      </c>
      <c r="F284" s="3" t="s">
        <v>36</v>
      </c>
      <c r="G284" s="0" t="n">
        <v>508</v>
      </c>
      <c r="H284" s="0" t="n">
        <v>95</v>
      </c>
      <c r="I284" s="0" t="n">
        <v>0</v>
      </c>
      <c r="J284" s="0" t="n">
        <v>48</v>
      </c>
      <c r="K284" s="0" t="n">
        <v>4</v>
      </c>
      <c r="L284" s="3" t="s">
        <v>17</v>
      </c>
    </row>
    <row r="285" customFormat="false" ht="15" hidden="false" customHeight="false" outlineLevel="0" collapsed="false">
      <c r="A285" s="0" t="s">
        <v>357</v>
      </c>
      <c r="B285" s="2" t="n">
        <v>45735</v>
      </c>
      <c r="C285" s="3" t="s">
        <v>30</v>
      </c>
      <c r="D285" s="3" t="s">
        <v>31</v>
      </c>
      <c r="E285" s="3" t="s">
        <v>21</v>
      </c>
      <c r="F285" s="3" t="s">
        <v>22</v>
      </c>
      <c r="G285" s="0" t="n">
        <v>550</v>
      </c>
      <c r="H285" s="0" t="n">
        <v>0</v>
      </c>
      <c r="I285" s="0" t="n">
        <v>0</v>
      </c>
      <c r="J285" s="0" t="n">
        <v>39</v>
      </c>
      <c r="L285" s="3" t="s">
        <v>17</v>
      </c>
    </row>
    <row r="286" customFormat="false" ht="15" hidden="false" customHeight="false" outlineLevel="0" collapsed="false">
      <c r="A286" s="0" t="s">
        <v>358</v>
      </c>
      <c r="B286" s="2" t="n">
        <v>45758</v>
      </c>
      <c r="C286" s="3" t="s">
        <v>24</v>
      </c>
      <c r="D286" s="3" t="s">
        <v>25</v>
      </c>
      <c r="E286" s="3" t="s">
        <v>21</v>
      </c>
      <c r="F286" s="3" t="s">
        <v>22</v>
      </c>
      <c r="G286" s="0" t="n">
        <v>430</v>
      </c>
      <c r="H286" s="0" t="n">
        <v>0</v>
      </c>
      <c r="I286" s="0" t="n">
        <v>30</v>
      </c>
      <c r="L286" s="3" t="s">
        <v>68</v>
      </c>
    </row>
    <row r="287" customFormat="false" ht="15" hidden="false" customHeight="false" outlineLevel="0" collapsed="false">
      <c r="A287" s="0" t="s">
        <v>359</v>
      </c>
      <c r="B287" s="2" t="n">
        <v>45763</v>
      </c>
      <c r="C287" s="3" t="s">
        <v>40</v>
      </c>
      <c r="D287" s="3" t="s">
        <v>31</v>
      </c>
      <c r="E287" s="3" t="s">
        <v>21</v>
      </c>
      <c r="F287" s="3" t="s">
        <v>22</v>
      </c>
      <c r="G287" s="0" t="n">
        <v>475</v>
      </c>
      <c r="H287" s="0" t="n">
        <v>99</v>
      </c>
      <c r="I287" s="0" t="n">
        <v>45</v>
      </c>
      <c r="J287" s="0" t="n">
        <v>40</v>
      </c>
      <c r="K287" s="0" t="n">
        <v>4.7</v>
      </c>
      <c r="L287" s="3" t="s">
        <v>17</v>
      </c>
    </row>
    <row r="288" customFormat="false" ht="15" hidden="false" customHeight="false" outlineLevel="0" collapsed="false">
      <c r="A288" s="0" t="s">
        <v>360</v>
      </c>
      <c r="B288" s="2" t="n">
        <v>45882</v>
      </c>
      <c r="C288" s="3" t="s">
        <v>24</v>
      </c>
      <c r="D288" s="3" t="s">
        <v>31</v>
      </c>
      <c r="E288" s="3" t="s">
        <v>21</v>
      </c>
      <c r="F288" s="3" t="s">
        <v>36</v>
      </c>
      <c r="G288" s="0" t="n">
        <v>432</v>
      </c>
      <c r="H288" s="0" t="n">
        <v>0</v>
      </c>
      <c r="I288" s="0" t="n">
        <v>20</v>
      </c>
      <c r="J288" s="0" t="n">
        <v>36</v>
      </c>
      <c r="K288" s="0" t="n">
        <v>3.6</v>
      </c>
      <c r="L288" s="3" t="s">
        <v>17</v>
      </c>
    </row>
    <row r="289" customFormat="false" ht="15" hidden="false" customHeight="false" outlineLevel="0" collapsed="false">
      <c r="A289" s="0" t="s">
        <v>361</v>
      </c>
      <c r="B289" s="2" t="n">
        <v>45827</v>
      </c>
      <c r="C289" s="3" t="s">
        <v>45</v>
      </c>
      <c r="D289" s="3" t="s">
        <v>20</v>
      </c>
      <c r="E289" s="3" t="s">
        <v>21</v>
      </c>
      <c r="F289" s="3" t="s">
        <v>16</v>
      </c>
      <c r="G289" s="0" t="n">
        <v>406</v>
      </c>
      <c r="H289" s="0" t="n">
        <v>0</v>
      </c>
      <c r="I289" s="0" t="n">
        <v>30</v>
      </c>
      <c r="J289" s="0" t="n">
        <v>35</v>
      </c>
      <c r="K289" s="0" t="n">
        <v>5</v>
      </c>
      <c r="L289" s="3" t="s">
        <v>17</v>
      </c>
    </row>
    <row r="290" customFormat="false" ht="15" hidden="false" customHeight="false" outlineLevel="0" collapsed="false">
      <c r="A290" s="0" t="s">
        <v>362</v>
      </c>
      <c r="B290" s="2" t="n">
        <v>45679</v>
      </c>
      <c r="C290" s="3" t="s">
        <v>24</v>
      </c>
      <c r="D290" s="3" t="s">
        <v>20</v>
      </c>
      <c r="E290" s="3" t="s">
        <v>15</v>
      </c>
      <c r="F290" s="3" t="s">
        <v>16</v>
      </c>
      <c r="G290" s="0" t="n">
        <v>714</v>
      </c>
      <c r="H290" s="0" t="n">
        <v>0</v>
      </c>
      <c r="I290" s="0" t="n">
        <v>0</v>
      </c>
      <c r="J290" s="0" t="n">
        <v>32</v>
      </c>
      <c r="K290" s="0" t="n">
        <v>4.3</v>
      </c>
      <c r="L290" s="3" t="s">
        <v>17</v>
      </c>
    </row>
    <row r="291" customFormat="false" ht="15" hidden="false" customHeight="false" outlineLevel="0" collapsed="false">
      <c r="A291" s="0" t="s">
        <v>363</v>
      </c>
      <c r="B291" s="2" t="n">
        <v>45811</v>
      </c>
      <c r="C291" s="3" t="s">
        <v>13</v>
      </c>
      <c r="D291" s="3" t="s">
        <v>56</v>
      </c>
      <c r="E291" s="3" t="s">
        <v>21</v>
      </c>
      <c r="F291" s="3" t="s">
        <v>54</v>
      </c>
      <c r="G291" s="0" t="n">
        <v>335</v>
      </c>
      <c r="H291" s="0" t="n">
        <v>0</v>
      </c>
      <c r="I291" s="0" t="n">
        <v>20</v>
      </c>
      <c r="J291" s="0" t="n">
        <v>34</v>
      </c>
      <c r="K291" s="0" t="n">
        <v>4.5</v>
      </c>
      <c r="L291" s="3" t="s">
        <v>17</v>
      </c>
    </row>
    <row r="292" customFormat="false" ht="15" hidden="false" customHeight="false" outlineLevel="0" collapsed="false">
      <c r="A292" s="0" t="s">
        <v>364</v>
      </c>
      <c r="B292" s="0" t="s">
        <v>365</v>
      </c>
      <c r="C292" s="0" t="s">
        <v>45</v>
      </c>
      <c r="D292" s="0" t="s">
        <v>31</v>
      </c>
      <c r="E292" s="0" t="s">
        <v>15</v>
      </c>
      <c r="F292" s="0" t="s">
        <v>22</v>
      </c>
      <c r="G292" s="0" t="n">
        <v>396</v>
      </c>
      <c r="H292" s="0" t="n">
        <v>87</v>
      </c>
      <c r="I292" s="0" t="n">
        <v>20</v>
      </c>
      <c r="J292" s="0" t="n">
        <v>29</v>
      </c>
      <c r="K292" s="0" t="n">
        <v>4</v>
      </c>
      <c r="L292" s="0" t="s">
        <v>17</v>
      </c>
    </row>
    <row r="293" customFormat="false" ht="15" hidden="false" customHeight="false" outlineLevel="0" collapsed="false">
      <c r="A293" s="0" t="s">
        <v>366</v>
      </c>
      <c r="B293" s="0" t="s">
        <v>367</v>
      </c>
      <c r="C293" s="0" t="s">
        <v>40</v>
      </c>
      <c r="D293" s="0" t="s">
        <v>56</v>
      </c>
      <c r="E293" s="0" t="s">
        <v>21</v>
      </c>
      <c r="F293" s="0" t="s">
        <v>54</v>
      </c>
      <c r="G293" s="0" t="n">
        <v>350</v>
      </c>
      <c r="H293" s="0" t="n">
        <v>0</v>
      </c>
      <c r="I293" s="0" t="n">
        <v>40</v>
      </c>
      <c r="J293" s="0" t="n">
        <v>28</v>
      </c>
      <c r="K293" s="0" t="n">
        <v>5</v>
      </c>
      <c r="L293" s="0" t="s">
        <v>17</v>
      </c>
    </row>
    <row r="294" customFormat="false" ht="15" hidden="false" customHeight="false" outlineLevel="0" collapsed="false">
      <c r="A294" s="0" t="s">
        <v>368</v>
      </c>
      <c r="B294" s="2" t="n">
        <v>45970</v>
      </c>
      <c r="C294" s="3" t="s">
        <v>30</v>
      </c>
      <c r="D294" s="3" t="s">
        <v>25</v>
      </c>
      <c r="E294" s="3" t="s">
        <v>21</v>
      </c>
      <c r="F294" s="3" t="s">
        <v>36</v>
      </c>
      <c r="G294" s="0" t="n">
        <v>353</v>
      </c>
      <c r="H294" s="0" t="n">
        <v>80</v>
      </c>
      <c r="I294" s="0" t="n">
        <v>45</v>
      </c>
      <c r="J294" s="0" t="n">
        <v>32</v>
      </c>
      <c r="K294" s="0" t="n">
        <v>4.3</v>
      </c>
      <c r="L294" s="3" t="s">
        <v>17</v>
      </c>
    </row>
    <row r="295" customFormat="false" ht="15" hidden="false" customHeight="false" outlineLevel="0" collapsed="false">
      <c r="A295" s="0" t="s">
        <v>369</v>
      </c>
      <c r="B295" s="2" t="n">
        <v>45681</v>
      </c>
      <c r="C295" s="3" t="s">
        <v>24</v>
      </c>
      <c r="D295" s="3" t="s">
        <v>28</v>
      </c>
      <c r="E295" s="3" t="s">
        <v>15</v>
      </c>
      <c r="F295" s="3" t="s">
        <v>54</v>
      </c>
      <c r="G295" s="0" t="n">
        <v>314</v>
      </c>
      <c r="H295" s="0" t="n">
        <v>34</v>
      </c>
      <c r="I295" s="0" t="n">
        <v>40</v>
      </c>
      <c r="L295" s="3" t="s">
        <v>68</v>
      </c>
    </row>
    <row r="296" customFormat="false" ht="15" hidden="false" customHeight="false" outlineLevel="0" collapsed="false">
      <c r="A296" s="0" t="s">
        <v>370</v>
      </c>
      <c r="B296" s="2" t="n">
        <v>45999</v>
      </c>
      <c r="C296" s="3" t="s">
        <v>24</v>
      </c>
      <c r="D296" s="3" t="s">
        <v>20</v>
      </c>
      <c r="E296" s="3" t="s">
        <v>15</v>
      </c>
      <c r="F296" s="3" t="s">
        <v>54</v>
      </c>
      <c r="G296" s="0" t="n">
        <v>448</v>
      </c>
      <c r="H296" s="0" t="n">
        <v>0</v>
      </c>
      <c r="I296" s="0" t="n">
        <v>30</v>
      </c>
      <c r="J296" s="0" t="n">
        <v>34</v>
      </c>
      <c r="K296" s="0" t="n">
        <v>4</v>
      </c>
      <c r="L296" s="3" t="s">
        <v>17</v>
      </c>
    </row>
    <row r="297" customFormat="false" ht="15" hidden="false" customHeight="false" outlineLevel="0" collapsed="false">
      <c r="A297" s="0" t="s">
        <v>371</v>
      </c>
      <c r="B297" s="2" t="n">
        <v>45701</v>
      </c>
      <c r="C297" s="3" t="s">
        <v>13</v>
      </c>
      <c r="D297" s="3" t="s">
        <v>56</v>
      </c>
      <c r="E297" s="3" t="s">
        <v>21</v>
      </c>
      <c r="F297" s="3" t="s">
        <v>54</v>
      </c>
      <c r="G297" s="0" t="n">
        <v>328</v>
      </c>
      <c r="H297" s="0" t="n">
        <v>0</v>
      </c>
      <c r="I297" s="0" t="n">
        <v>30</v>
      </c>
      <c r="J297" s="0" t="n">
        <v>36</v>
      </c>
      <c r="K297" s="0" t="n">
        <v>4.1</v>
      </c>
      <c r="L297" s="3" t="s">
        <v>17</v>
      </c>
    </row>
    <row r="298" customFormat="false" ht="15" hidden="false" customHeight="false" outlineLevel="0" collapsed="false">
      <c r="A298" s="0" t="s">
        <v>372</v>
      </c>
      <c r="B298" s="2" t="n">
        <v>45973</v>
      </c>
      <c r="C298" s="3" t="s">
        <v>45</v>
      </c>
      <c r="D298" s="3" t="s">
        <v>56</v>
      </c>
      <c r="E298" s="3" t="s">
        <v>15</v>
      </c>
      <c r="F298" s="3" t="s">
        <v>22</v>
      </c>
      <c r="G298" s="0" t="n">
        <v>292</v>
      </c>
      <c r="H298" s="0" t="n">
        <v>45</v>
      </c>
      <c r="I298" s="0" t="n">
        <v>20</v>
      </c>
      <c r="L298" s="3" t="s">
        <v>68</v>
      </c>
    </row>
    <row r="299" customFormat="false" ht="15" hidden="false" customHeight="false" outlineLevel="0" collapsed="false">
      <c r="A299" s="0" t="s">
        <v>373</v>
      </c>
      <c r="B299" s="0" t="s">
        <v>163</v>
      </c>
      <c r="C299" s="0" t="s">
        <v>24</v>
      </c>
      <c r="D299" s="0" t="s">
        <v>78</v>
      </c>
      <c r="E299" s="0" t="s">
        <v>15</v>
      </c>
      <c r="F299" s="0" t="s">
        <v>36</v>
      </c>
      <c r="G299" s="0" t="n">
        <v>384</v>
      </c>
      <c r="H299" s="0" t="n">
        <v>78</v>
      </c>
      <c r="I299" s="0" t="n">
        <v>40</v>
      </c>
      <c r="J299" s="0" t="n">
        <v>30</v>
      </c>
      <c r="K299" s="0" t="n">
        <v>4.5</v>
      </c>
      <c r="L299" s="0" t="s">
        <v>17</v>
      </c>
    </row>
    <row r="300" customFormat="false" ht="15" hidden="false" customHeight="false" outlineLevel="0" collapsed="false">
      <c r="A300" s="0" t="s">
        <v>374</v>
      </c>
      <c r="B300" s="2" t="n">
        <v>46016</v>
      </c>
      <c r="C300" s="3" t="s">
        <v>375</v>
      </c>
      <c r="D300" s="3" t="s">
        <v>28</v>
      </c>
      <c r="E300" s="3" t="s">
        <v>15</v>
      </c>
      <c r="F300" s="3" t="s">
        <v>36</v>
      </c>
      <c r="G300" s="0" t="n">
        <v>413</v>
      </c>
      <c r="H300" s="0" t="n">
        <v>0</v>
      </c>
      <c r="I300" s="0" t="n">
        <v>20</v>
      </c>
      <c r="J300" s="0" t="n">
        <v>40</v>
      </c>
      <c r="K300" s="0" t="n">
        <v>4.1</v>
      </c>
      <c r="L300" s="3" t="s">
        <v>17</v>
      </c>
    </row>
    <row r="301" customFormat="false" ht="15" hidden="false" customHeight="false" outlineLevel="0" collapsed="false">
      <c r="A301" s="0" t="s">
        <v>374</v>
      </c>
      <c r="B301" s="2" t="n">
        <v>46016</v>
      </c>
      <c r="C301" s="3" t="s">
        <v>375</v>
      </c>
      <c r="D301" s="3" t="s">
        <v>28</v>
      </c>
      <c r="E301" s="3" t="s">
        <v>15</v>
      </c>
      <c r="F301" s="3" t="s">
        <v>36</v>
      </c>
      <c r="G301" s="0" t="n">
        <v>413</v>
      </c>
      <c r="H301" s="0" t="n">
        <v>0</v>
      </c>
      <c r="I301" s="0" t="n">
        <v>20</v>
      </c>
      <c r="J301" s="0" t="n">
        <v>40</v>
      </c>
      <c r="K301" s="0" t="n">
        <v>4.1</v>
      </c>
      <c r="L301" s="3" t="s">
        <v>17</v>
      </c>
    </row>
    <row r="302" customFormat="false" ht="15" hidden="false" customHeight="false" outlineLevel="0" collapsed="false">
      <c r="A302" s="0" t="s">
        <v>376</v>
      </c>
      <c r="B302" s="2" t="n">
        <v>45960</v>
      </c>
      <c r="C302" s="3" t="s">
        <v>24</v>
      </c>
      <c r="D302" s="3" t="s">
        <v>56</v>
      </c>
      <c r="E302" s="3" t="s">
        <v>21</v>
      </c>
      <c r="F302" s="3" t="s">
        <v>34</v>
      </c>
      <c r="G302" s="0" t="n">
        <v>420</v>
      </c>
      <c r="H302" s="0" t="n">
        <v>0</v>
      </c>
      <c r="I302" s="0" t="n">
        <v>45</v>
      </c>
      <c r="J302" s="0" t="n">
        <v>31</v>
      </c>
      <c r="K302" s="0" t="n">
        <v>4</v>
      </c>
      <c r="L302" s="3" t="s">
        <v>17</v>
      </c>
    </row>
    <row r="303" customFormat="false" ht="15" hidden="false" customHeight="false" outlineLevel="0" collapsed="false">
      <c r="A303" s="0" t="s">
        <v>377</v>
      </c>
      <c r="B303" s="2" t="n">
        <v>45953</v>
      </c>
      <c r="C303" s="3" t="s">
        <v>27</v>
      </c>
      <c r="D303" s="3" t="s">
        <v>56</v>
      </c>
      <c r="E303" s="3" t="s">
        <v>21</v>
      </c>
      <c r="F303" s="3" t="s">
        <v>22</v>
      </c>
      <c r="G303" s="0" t="n">
        <v>423</v>
      </c>
      <c r="H303" s="0" t="n">
        <v>0</v>
      </c>
      <c r="I303" s="0" t="n">
        <v>30</v>
      </c>
      <c r="J303" s="0" t="n">
        <v>36</v>
      </c>
      <c r="K303" s="0" t="n">
        <v>3.9</v>
      </c>
      <c r="L303" s="3" t="s">
        <v>17</v>
      </c>
    </row>
    <row r="304" customFormat="false" ht="15" hidden="false" customHeight="false" outlineLevel="0" collapsed="false">
      <c r="A304" s="0" t="s">
        <v>378</v>
      </c>
      <c r="B304" s="2" t="n">
        <v>45907</v>
      </c>
      <c r="C304" s="3" t="s">
        <v>13</v>
      </c>
      <c r="D304" s="3" t="s">
        <v>31</v>
      </c>
      <c r="E304" s="3" t="s">
        <v>21</v>
      </c>
      <c r="F304" s="3" t="s">
        <v>54</v>
      </c>
      <c r="G304" s="0" t="n">
        <v>579</v>
      </c>
      <c r="H304" s="0" t="n">
        <v>0</v>
      </c>
      <c r="I304" s="0" t="n">
        <v>0</v>
      </c>
      <c r="J304" s="0" t="n">
        <v>29</v>
      </c>
      <c r="K304" s="0" t="n">
        <v>4.2</v>
      </c>
      <c r="L304" s="3" t="s">
        <v>17</v>
      </c>
    </row>
    <row r="305" customFormat="false" ht="15" hidden="false" customHeight="false" outlineLevel="0" collapsed="false">
      <c r="A305" s="0" t="s">
        <v>379</v>
      </c>
      <c r="B305" s="2" t="n">
        <v>45952</v>
      </c>
      <c r="C305" s="3" t="s">
        <v>27</v>
      </c>
      <c r="D305" s="3" t="s">
        <v>49</v>
      </c>
      <c r="E305" s="3" t="s">
        <v>21</v>
      </c>
      <c r="F305" s="3" t="s">
        <v>22</v>
      </c>
      <c r="G305" s="0" t="n">
        <v>616</v>
      </c>
      <c r="H305" s="0" t="n">
        <v>74</v>
      </c>
      <c r="I305" s="0" t="n">
        <v>0</v>
      </c>
      <c r="J305" s="0" t="n">
        <v>41</v>
      </c>
      <c r="K305" s="0" t="n">
        <v>4.4</v>
      </c>
      <c r="L305" s="3" t="s">
        <v>17</v>
      </c>
    </row>
    <row r="306" customFormat="false" ht="15" hidden="false" customHeight="false" outlineLevel="0" collapsed="false">
      <c r="A306" s="0" t="s">
        <v>380</v>
      </c>
      <c r="B306" s="2" t="n">
        <v>45716</v>
      </c>
      <c r="C306" s="3" t="s">
        <v>13</v>
      </c>
      <c r="D306" s="3" t="s">
        <v>25</v>
      </c>
      <c r="E306" s="3" t="s">
        <v>15</v>
      </c>
      <c r="F306" s="3" t="s">
        <v>16</v>
      </c>
      <c r="G306" s="0" t="n">
        <v>599</v>
      </c>
      <c r="H306" s="0" t="n">
        <v>137</v>
      </c>
      <c r="I306" s="0" t="n">
        <v>0</v>
      </c>
      <c r="J306" s="0" t="n">
        <v>37</v>
      </c>
      <c r="K306" s="0" t="n">
        <v>4.6</v>
      </c>
      <c r="L306" s="3" t="s">
        <v>17</v>
      </c>
    </row>
    <row r="307" customFormat="false" ht="15" hidden="false" customHeight="false" outlineLevel="0" collapsed="false">
      <c r="A307" s="0" t="s">
        <v>381</v>
      </c>
      <c r="B307" s="2" t="n">
        <v>45870</v>
      </c>
      <c r="C307" s="3" t="s">
        <v>40</v>
      </c>
      <c r="D307" s="3" t="s">
        <v>25</v>
      </c>
      <c r="E307" s="3" t="s">
        <v>15</v>
      </c>
      <c r="F307" s="3" t="s">
        <v>16</v>
      </c>
      <c r="G307" s="0" t="n">
        <v>363</v>
      </c>
      <c r="H307" s="0" t="n">
        <v>0</v>
      </c>
      <c r="I307" s="0" t="n">
        <v>20</v>
      </c>
      <c r="J307" s="0" t="n">
        <v>40</v>
      </c>
      <c r="K307" s="0" t="n">
        <v>4.5</v>
      </c>
      <c r="L307" s="3" t="s">
        <v>17</v>
      </c>
    </row>
    <row r="308" customFormat="false" ht="15" hidden="false" customHeight="false" outlineLevel="0" collapsed="false">
      <c r="A308" s="0" t="s">
        <v>382</v>
      </c>
      <c r="B308" s="2" t="n">
        <v>45862</v>
      </c>
      <c r="C308" s="3" t="s">
        <v>13</v>
      </c>
      <c r="D308" s="3" t="s">
        <v>78</v>
      </c>
      <c r="E308" s="3" t="s">
        <v>21</v>
      </c>
      <c r="F308" s="3" t="s">
        <v>22</v>
      </c>
      <c r="G308" s="0" t="n">
        <v>458</v>
      </c>
      <c r="H308" s="0" t="n">
        <v>0</v>
      </c>
      <c r="I308" s="0" t="n">
        <v>40</v>
      </c>
      <c r="J308" s="0" t="n">
        <v>26</v>
      </c>
      <c r="K308" s="0" t="n">
        <v>4.5</v>
      </c>
      <c r="L308" s="3" t="s">
        <v>17</v>
      </c>
    </row>
    <row r="309" customFormat="false" ht="15" hidden="false" customHeight="false" outlineLevel="0" collapsed="false">
      <c r="A309" s="0" t="s">
        <v>382</v>
      </c>
      <c r="B309" s="2" t="n">
        <v>45862</v>
      </c>
      <c r="C309" s="3" t="s">
        <v>13</v>
      </c>
      <c r="D309" s="3" t="s">
        <v>78</v>
      </c>
      <c r="E309" s="3" t="s">
        <v>21</v>
      </c>
      <c r="F309" s="3" t="s">
        <v>22</v>
      </c>
      <c r="G309" s="0" t="n">
        <v>458</v>
      </c>
      <c r="H309" s="0" t="n">
        <v>0</v>
      </c>
      <c r="I309" s="0" t="n">
        <v>40</v>
      </c>
      <c r="J309" s="0" t="n">
        <v>26</v>
      </c>
      <c r="K309" s="0" t="n">
        <v>4.5</v>
      </c>
      <c r="L309" s="3" t="s">
        <v>17</v>
      </c>
    </row>
    <row r="310" customFormat="false" ht="15" hidden="false" customHeight="false" outlineLevel="0" collapsed="false">
      <c r="A310" s="0" t="s">
        <v>383</v>
      </c>
      <c r="B310" s="2" t="n">
        <v>45978</v>
      </c>
      <c r="C310" s="3" t="s">
        <v>13</v>
      </c>
      <c r="D310" s="3" t="s">
        <v>28</v>
      </c>
      <c r="E310" s="3" t="s">
        <v>21</v>
      </c>
      <c r="F310" s="3" t="s">
        <v>36</v>
      </c>
      <c r="G310" s="0" t="n">
        <v>389</v>
      </c>
      <c r="H310" s="0" t="n">
        <v>0</v>
      </c>
      <c r="I310" s="0" t="n">
        <v>30</v>
      </c>
      <c r="J310" s="0" t="n">
        <v>42</v>
      </c>
      <c r="K310" s="0" t="n">
        <v>4.3</v>
      </c>
      <c r="L310" s="3" t="s">
        <v>17</v>
      </c>
    </row>
    <row r="311" customFormat="false" ht="15" hidden="false" customHeight="false" outlineLevel="0" collapsed="false">
      <c r="A311" s="0" t="s">
        <v>384</v>
      </c>
      <c r="B311" s="2" t="n">
        <v>45844</v>
      </c>
      <c r="C311" s="3" t="s">
        <v>13</v>
      </c>
      <c r="D311" s="3" t="s">
        <v>31</v>
      </c>
      <c r="E311" s="3" t="s">
        <v>21</v>
      </c>
      <c r="F311" s="3" t="s">
        <v>22</v>
      </c>
      <c r="G311" s="0" t="n">
        <v>327</v>
      </c>
      <c r="H311" s="0" t="n">
        <v>54</v>
      </c>
      <c r="I311" s="0" t="n">
        <v>45</v>
      </c>
      <c r="J311" s="0" t="n">
        <v>40</v>
      </c>
      <c r="K311" s="0" t="n">
        <v>4.1</v>
      </c>
      <c r="L311" s="3" t="s">
        <v>17</v>
      </c>
    </row>
    <row r="312" customFormat="false" ht="15" hidden="false" customHeight="false" outlineLevel="0" collapsed="false">
      <c r="A312" s="0" t="s">
        <v>385</v>
      </c>
      <c r="B312" s="2" t="n">
        <v>45815</v>
      </c>
      <c r="C312" s="3" t="s">
        <v>40</v>
      </c>
      <c r="D312" s="3" t="s">
        <v>31</v>
      </c>
      <c r="E312" s="3" t="s">
        <v>21</v>
      </c>
      <c r="F312" s="3" t="s">
        <v>36</v>
      </c>
      <c r="G312" s="0" t="n">
        <v>670</v>
      </c>
      <c r="H312" s="0" t="n">
        <v>88</v>
      </c>
      <c r="I312" s="0" t="n">
        <v>0</v>
      </c>
      <c r="J312" s="0" t="n">
        <v>32</v>
      </c>
      <c r="K312" s="0" t="n">
        <v>3.5</v>
      </c>
      <c r="L312" s="3" t="s">
        <v>17</v>
      </c>
    </row>
    <row r="313" customFormat="false" ht="15" hidden="false" customHeight="false" outlineLevel="0" collapsed="false">
      <c r="A313" s="0" t="s">
        <v>386</v>
      </c>
      <c r="B313" s="2" t="n">
        <v>45906</v>
      </c>
      <c r="C313" s="3" t="s">
        <v>27</v>
      </c>
      <c r="D313" s="3" t="s">
        <v>31</v>
      </c>
      <c r="E313" s="3" t="s">
        <v>21</v>
      </c>
      <c r="F313" s="3" t="s">
        <v>36</v>
      </c>
      <c r="G313" s="0" t="n">
        <v>376</v>
      </c>
      <c r="H313" s="0" t="n">
        <v>0</v>
      </c>
      <c r="I313" s="0" t="n">
        <v>45</v>
      </c>
      <c r="J313" s="0" t="n">
        <v>51</v>
      </c>
      <c r="K313" s="0" t="n">
        <v>3.8</v>
      </c>
      <c r="L313" s="3" t="s">
        <v>17</v>
      </c>
    </row>
    <row r="314" customFormat="false" ht="15" hidden="false" customHeight="false" outlineLevel="0" collapsed="false">
      <c r="A314" s="0" t="s">
        <v>387</v>
      </c>
      <c r="B314" s="2" t="n">
        <v>45769</v>
      </c>
      <c r="C314" s="3" t="s">
        <v>27</v>
      </c>
      <c r="D314" s="3" t="s">
        <v>20</v>
      </c>
      <c r="E314" s="3" t="s">
        <v>21</v>
      </c>
      <c r="F314" s="3" t="s">
        <v>22</v>
      </c>
      <c r="G314" s="0" t="n">
        <v>754</v>
      </c>
      <c r="H314" s="0" t="n">
        <v>0</v>
      </c>
      <c r="I314" s="0" t="n">
        <v>0</v>
      </c>
      <c r="J314" s="0" t="n">
        <v>44</v>
      </c>
      <c r="K314" s="0" t="n">
        <v>3.9</v>
      </c>
      <c r="L314" s="3" t="s">
        <v>17</v>
      </c>
    </row>
    <row r="315" customFormat="false" ht="15" hidden="false" customHeight="false" outlineLevel="0" collapsed="false">
      <c r="A315" s="0" t="s">
        <v>388</v>
      </c>
      <c r="B315" s="2" t="n">
        <v>45718</v>
      </c>
      <c r="C315" s="3" t="s">
        <v>40</v>
      </c>
      <c r="D315" s="3" t="s">
        <v>31</v>
      </c>
      <c r="E315" s="3" t="s">
        <v>21</v>
      </c>
      <c r="F315" s="3" t="s">
        <v>36</v>
      </c>
      <c r="G315" s="0" t="n">
        <v>425</v>
      </c>
      <c r="H315" s="0" t="n">
        <v>0</v>
      </c>
      <c r="I315" s="0" t="n">
        <v>20</v>
      </c>
      <c r="J315" s="0" t="n">
        <v>37</v>
      </c>
      <c r="K315" s="0" t="n">
        <v>3.7</v>
      </c>
      <c r="L315" s="3" t="s">
        <v>17</v>
      </c>
    </row>
    <row r="316" customFormat="false" ht="15" hidden="false" customHeight="false" outlineLevel="0" collapsed="false">
      <c r="A316" s="0" t="s">
        <v>389</v>
      </c>
      <c r="B316" s="2" t="n">
        <v>45849</v>
      </c>
      <c r="C316" s="3" t="s">
        <v>24</v>
      </c>
      <c r="D316" s="3" t="s">
        <v>49</v>
      </c>
      <c r="E316" s="3" t="s">
        <v>21</v>
      </c>
      <c r="F316" s="3" t="s">
        <v>22</v>
      </c>
      <c r="G316" s="0" t="n">
        <v>670</v>
      </c>
      <c r="H316" s="0" t="n">
        <v>0</v>
      </c>
      <c r="I316" s="0" t="n">
        <v>0</v>
      </c>
      <c r="J316" s="0" t="n">
        <v>39</v>
      </c>
      <c r="K316" s="0" t="n">
        <v>3.9</v>
      </c>
      <c r="L316" s="3" t="s">
        <v>17</v>
      </c>
    </row>
    <row r="317" customFormat="false" ht="15" hidden="false" customHeight="false" outlineLevel="0" collapsed="false">
      <c r="A317" s="0" t="s">
        <v>390</v>
      </c>
      <c r="B317" s="0" t="s">
        <v>391</v>
      </c>
      <c r="C317" s="0" t="s">
        <v>27</v>
      </c>
      <c r="D317" s="0" t="s">
        <v>49</v>
      </c>
      <c r="E317" s="0" t="s">
        <v>21</v>
      </c>
      <c r="F317" s="0" t="s">
        <v>36</v>
      </c>
      <c r="G317" s="0" t="n">
        <v>641</v>
      </c>
      <c r="H317" s="0" t="n">
        <v>0</v>
      </c>
      <c r="I317" s="0" t="n">
        <v>0</v>
      </c>
      <c r="J317" s="0" t="n">
        <v>42</v>
      </c>
      <c r="K317" s="0" t="n">
        <v>4.2</v>
      </c>
      <c r="L317" s="0" t="s">
        <v>17</v>
      </c>
    </row>
    <row r="318" customFormat="false" ht="15" hidden="false" customHeight="false" outlineLevel="0" collapsed="false">
      <c r="A318" s="0" t="s">
        <v>392</v>
      </c>
      <c r="B318" s="2" t="n">
        <v>45756</v>
      </c>
      <c r="C318" s="3" t="s">
        <v>13</v>
      </c>
      <c r="D318" s="3" t="s">
        <v>20</v>
      </c>
      <c r="E318" s="3" t="s">
        <v>21</v>
      </c>
      <c r="F318" s="3" t="s">
        <v>54</v>
      </c>
      <c r="G318" s="0" t="n">
        <v>398</v>
      </c>
      <c r="H318" s="0" t="n">
        <v>0</v>
      </c>
      <c r="I318" s="0" t="n">
        <v>30</v>
      </c>
      <c r="J318" s="0" t="n">
        <v>37</v>
      </c>
      <c r="K318" s="0" t="n">
        <v>3.7</v>
      </c>
      <c r="L318" s="3" t="s">
        <v>17</v>
      </c>
    </row>
    <row r="319" customFormat="false" ht="15" hidden="false" customHeight="false" outlineLevel="0" collapsed="false">
      <c r="A319" s="0" t="s">
        <v>393</v>
      </c>
      <c r="B319" s="2" t="n">
        <v>45808</v>
      </c>
      <c r="C319" s="3" t="s">
        <v>24</v>
      </c>
      <c r="D319" s="3" t="s">
        <v>20</v>
      </c>
      <c r="E319" s="3" t="s">
        <v>21</v>
      </c>
      <c r="F319" s="3" t="s">
        <v>22</v>
      </c>
      <c r="G319" s="0" t="n">
        <v>612</v>
      </c>
      <c r="H319" s="0" t="n">
        <v>79</v>
      </c>
      <c r="I319" s="0" t="n">
        <v>0</v>
      </c>
      <c r="J319" s="0" t="n">
        <v>37</v>
      </c>
      <c r="K319" s="0" t="n">
        <v>3.9</v>
      </c>
      <c r="L319" s="3" t="s">
        <v>17</v>
      </c>
    </row>
    <row r="320" customFormat="false" ht="15" hidden="false" customHeight="false" outlineLevel="0" collapsed="false">
      <c r="A320" s="0" t="s">
        <v>394</v>
      </c>
      <c r="B320" s="0" t="s">
        <v>395</v>
      </c>
      <c r="C320" s="0" t="s">
        <v>30</v>
      </c>
      <c r="D320" s="0" t="s">
        <v>25</v>
      </c>
      <c r="E320" s="0" t="s">
        <v>21</v>
      </c>
      <c r="F320" s="0" t="s">
        <v>36</v>
      </c>
      <c r="G320" s="0" t="n">
        <v>349</v>
      </c>
      <c r="H320" s="0" t="n">
        <v>0</v>
      </c>
      <c r="I320" s="0" t="n">
        <v>40</v>
      </c>
      <c r="J320" s="0" t="n">
        <v>29</v>
      </c>
      <c r="K320" s="0" t="n">
        <v>5</v>
      </c>
      <c r="L320" s="0" t="s">
        <v>17</v>
      </c>
    </row>
    <row r="321" customFormat="false" ht="15" hidden="false" customHeight="false" outlineLevel="0" collapsed="false">
      <c r="A321" s="0" t="s">
        <v>396</v>
      </c>
      <c r="B321" s="2" t="n">
        <v>45793</v>
      </c>
      <c r="C321" s="3" t="s">
        <v>27</v>
      </c>
      <c r="D321" s="3" t="s">
        <v>31</v>
      </c>
      <c r="E321" s="3" t="s">
        <v>99</v>
      </c>
      <c r="F321" s="3" t="s">
        <v>16</v>
      </c>
      <c r="G321" s="0" t="n">
        <v>338</v>
      </c>
      <c r="H321" s="0" t="n">
        <v>0</v>
      </c>
      <c r="I321" s="0" t="n">
        <v>40</v>
      </c>
      <c r="L321" s="3" t="s">
        <v>68</v>
      </c>
    </row>
    <row r="322" customFormat="false" ht="15" hidden="false" customHeight="false" outlineLevel="0" collapsed="false">
      <c r="A322" s="0" t="s">
        <v>397</v>
      </c>
      <c r="B322" s="0" t="s">
        <v>398</v>
      </c>
      <c r="C322" s="0" t="s">
        <v>30</v>
      </c>
      <c r="D322" s="0" t="s">
        <v>28</v>
      </c>
      <c r="E322" s="0" t="s">
        <v>15</v>
      </c>
      <c r="F322" s="0" t="s">
        <v>16</v>
      </c>
      <c r="G322" s="0" t="n">
        <v>543</v>
      </c>
      <c r="H322" s="0" t="n">
        <v>91</v>
      </c>
      <c r="I322" s="0" t="n">
        <v>0</v>
      </c>
      <c r="J322" s="0" t="n">
        <v>35</v>
      </c>
      <c r="K322" s="0" t="n">
        <v>4.2</v>
      </c>
      <c r="L322" s="0" t="s">
        <v>17</v>
      </c>
    </row>
    <row r="323" customFormat="false" ht="15" hidden="false" customHeight="false" outlineLevel="0" collapsed="false">
      <c r="A323" s="0" t="s">
        <v>399</v>
      </c>
      <c r="B323" s="2" t="n">
        <v>45921</v>
      </c>
      <c r="C323" s="3" t="s">
        <v>27</v>
      </c>
      <c r="D323" s="3" t="s">
        <v>31</v>
      </c>
      <c r="E323" s="3" t="s">
        <v>21</v>
      </c>
      <c r="F323" s="3" t="s">
        <v>36</v>
      </c>
      <c r="G323" s="0" t="n">
        <v>678</v>
      </c>
      <c r="H323" s="0" t="n">
        <v>0</v>
      </c>
      <c r="I323" s="0" t="n">
        <v>0</v>
      </c>
      <c r="J323" s="0" t="n">
        <v>39</v>
      </c>
      <c r="K323" s="0" t="n">
        <v>3.6</v>
      </c>
      <c r="L323" s="3" t="s">
        <v>17</v>
      </c>
    </row>
    <row r="324" customFormat="false" ht="15" hidden="false" customHeight="false" outlineLevel="0" collapsed="false">
      <c r="A324" s="0" t="s">
        <v>400</v>
      </c>
      <c r="B324" s="2" t="n">
        <v>45781</v>
      </c>
      <c r="C324" s="3" t="s">
        <v>27</v>
      </c>
      <c r="D324" s="3" t="s">
        <v>31</v>
      </c>
      <c r="E324" s="3" t="s">
        <v>21</v>
      </c>
      <c r="F324" s="3" t="s">
        <v>16</v>
      </c>
      <c r="G324" s="0" t="n">
        <v>636</v>
      </c>
      <c r="H324" s="0" t="n">
        <v>106</v>
      </c>
      <c r="I324" s="0" t="n">
        <v>0</v>
      </c>
      <c r="J324" s="0" t="n">
        <v>47</v>
      </c>
      <c r="K324" s="0" t="n">
        <v>3.6</v>
      </c>
      <c r="L324" s="3" t="s">
        <v>17</v>
      </c>
    </row>
    <row r="325" customFormat="false" ht="15" hidden="false" customHeight="false" outlineLevel="0" collapsed="false">
      <c r="A325" s="0" t="s">
        <v>401</v>
      </c>
      <c r="B325" s="2" t="n">
        <v>46006</v>
      </c>
      <c r="C325" s="3" t="s">
        <v>27</v>
      </c>
      <c r="D325" s="3" t="s">
        <v>25</v>
      </c>
      <c r="E325" s="3" t="s">
        <v>21</v>
      </c>
      <c r="F325" s="3" t="s">
        <v>34</v>
      </c>
      <c r="G325" s="0" t="n">
        <v>513</v>
      </c>
      <c r="H325" s="0" t="n">
        <v>97</v>
      </c>
      <c r="I325" s="0" t="n">
        <v>0</v>
      </c>
      <c r="J325" s="0" t="n">
        <v>45</v>
      </c>
      <c r="K325" s="0" t="n">
        <v>3.9</v>
      </c>
      <c r="L325" s="3" t="s">
        <v>17</v>
      </c>
    </row>
    <row r="326" customFormat="false" ht="15" hidden="false" customHeight="false" outlineLevel="0" collapsed="false">
      <c r="A326" s="0" t="s">
        <v>402</v>
      </c>
      <c r="B326" s="2" t="n">
        <v>45996</v>
      </c>
      <c r="C326" s="3" t="s">
        <v>51</v>
      </c>
      <c r="D326" s="3" t="s">
        <v>31</v>
      </c>
      <c r="E326" s="3" t="s">
        <v>21</v>
      </c>
      <c r="F326" s="3" t="s">
        <v>22</v>
      </c>
      <c r="G326" s="0" t="n">
        <v>419</v>
      </c>
      <c r="H326" s="0" t="n">
        <v>0</v>
      </c>
      <c r="I326" s="0" t="n">
        <v>30</v>
      </c>
      <c r="J326" s="0" t="n">
        <v>33</v>
      </c>
      <c r="L326" s="3" t="s">
        <v>17</v>
      </c>
    </row>
    <row r="327" customFormat="false" ht="15" hidden="false" customHeight="false" outlineLevel="0" collapsed="false">
      <c r="A327" s="0" t="s">
        <v>403</v>
      </c>
      <c r="B327" s="2" t="n">
        <v>45850</v>
      </c>
      <c r="C327" s="3" t="s">
        <v>27</v>
      </c>
      <c r="D327" s="3" t="s">
        <v>56</v>
      </c>
      <c r="E327" s="3" t="s">
        <v>15</v>
      </c>
      <c r="F327" s="3" t="s">
        <v>22</v>
      </c>
      <c r="G327" s="0" t="n">
        <v>539</v>
      </c>
      <c r="H327" s="0" t="n">
        <v>0</v>
      </c>
      <c r="I327" s="0" t="n">
        <v>0</v>
      </c>
      <c r="J327" s="0" t="n">
        <v>49</v>
      </c>
      <c r="L327" s="3" t="s">
        <v>17</v>
      </c>
    </row>
    <row r="328" customFormat="false" ht="15" hidden="false" customHeight="false" outlineLevel="0" collapsed="false">
      <c r="A328" s="0" t="s">
        <v>404</v>
      </c>
      <c r="B328" s="2" t="n">
        <v>45793</v>
      </c>
      <c r="C328" s="3" t="s">
        <v>27</v>
      </c>
      <c r="D328" s="3" t="s">
        <v>28</v>
      </c>
      <c r="E328" s="3" t="s">
        <v>21</v>
      </c>
      <c r="F328" s="3" t="s">
        <v>36</v>
      </c>
      <c r="G328" s="0" t="n">
        <v>595</v>
      </c>
      <c r="H328" s="0" t="n">
        <v>0</v>
      </c>
      <c r="I328" s="0" t="n">
        <v>0</v>
      </c>
      <c r="J328" s="0" t="n">
        <v>43</v>
      </c>
      <c r="K328" s="0" t="n">
        <v>4.8</v>
      </c>
      <c r="L328" s="3" t="s">
        <v>17</v>
      </c>
    </row>
    <row r="329" customFormat="false" ht="15" hidden="false" customHeight="false" outlineLevel="0" collapsed="false">
      <c r="A329" s="0" t="s">
        <v>405</v>
      </c>
      <c r="B329" s="2" t="n">
        <v>45870</v>
      </c>
      <c r="C329" s="3" t="s">
        <v>27</v>
      </c>
      <c r="D329" s="3" t="s">
        <v>14</v>
      </c>
      <c r="E329" s="3" t="s">
        <v>21</v>
      </c>
      <c r="F329" s="3" t="s">
        <v>22</v>
      </c>
      <c r="G329" s="0" t="n">
        <v>293</v>
      </c>
      <c r="H329" s="0" t="n">
        <v>0</v>
      </c>
      <c r="I329" s="0" t="n">
        <v>30</v>
      </c>
      <c r="J329" s="0" t="n">
        <v>43</v>
      </c>
      <c r="K329" s="0" t="n">
        <v>4.5</v>
      </c>
      <c r="L329" s="3" t="s">
        <v>17</v>
      </c>
    </row>
    <row r="330" customFormat="false" ht="15" hidden="false" customHeight="false" outlineLevel="0" collapsed="false">
      <c r="A330" s="0" t="s">
        <v>406</v>
      </c>
      <c r="B330" s="2" t="n">
        <v>45975</v>
      </c>
      <c r="C330" s="3" t="s">
        <v>13</v>
      </c>
      <c r="D330" s="3" t="s">
        <v>20</v>
      </c>
      <c r="E330" s="3" t="s">
        <v>21</v>
      </c>
      <c r="F330" s="3" t="s">
        <v>34</v>
      </c>
      <c r="G330" s="0" t="n">
        <v>813</v>
      </c>
      <c r="H330" s="0" t="n">
        <v>180</v>
      </c>
      <c r="I330" s="0" t="n">
        <v>0</v>
      </c>
      <c r="J330" s="0" t="n">
        <v>32</v>
      </c>
      <c r="K330" s="0" t="n">
        <v>4.9</v>
      </c>
      <c r="L330" s="3" t="s">
        <v>17</v>
      </c>
    </row>
    <row r="331" customFormat="false" ht="15" hidden="false" customHeight="false" outlineLevel="0" collapsed="false">
      <c r="A331" s="0" t="s">
        <v>407</v>
      </c>
      <c r="B331" s="2" t="n">
        <v>45910</v>
      </c>
      <c r="C331" s="3" t="s">
        <v>40</v>
      </c>
      <c r="D331" s="3" t="s">
        <v>14</v>
      </c>
      <c r="E331" s="3" t="s">
        <v>21</v>
      </c>
      <c r="F331" s="3" t="s">
        <v>22</v>
      </c>
      <c r="G331" s="0" t="n">
        <v>420</v>
      </c>
      <c r="H331" s="0" t="n">
        <v>0</v>
      </c>
      <c r="I331" s="0" t="n">
        <v>30</v>
      </c>
      <c r="J331" s="0" t="n">
        <v>50</v>
      </c>
      <c r="K331" s="0" t="n">
        <v>3.2</v>
      </c>
      <c r="L331" s="3" t="s">
        <v>17</v>
      </c>
    </row>
    <row r="332" customFormat="false" ht="15" hidden="false" customHeight="false" outlineLevel="0" collapsed="false">
      <c r="A332" s="0" t="s">
        <v>408</v>
      </c>
      <c r="B332" s="2" t="n">
        <v>45961</v>
      </c>
      <c r="C332" s="3" t="s">
        <v>27</v>
      </c>
      <c r="D332" s="3" t="s">
        <v>56</v>
      </c>
      <c r="E332" s="3" t="s">
        <v>15</v>
      </c>
      <c r="F332" s="3" t="s">
        <v>36</v>
      </c>
      <c r="G332" s="0" t="n">
        <v>403</v>
      </c>
      <c r="H332" s="0" t="n">
        <v>60</v>
      </c>
      <c r="I332" s="0" t="n">
        <v>45</v>
      </c>
      <c r="J332" s="0" t="n">
        <v>37</v>
      </c>
      <c r="K332" s="0" t="n">
        <v>4.1</v>
      </c>
      <c r="L332" s="3" t="s">
        <v>17</v>
      </c>
    </row>
    <row r="333" customFormat="false" ht="15" hidden="false" customHeight="false" outlineLevel="0" collapsed="false">
      <c r="A333" s="0" t="s">
        <v>409</v>
      </c>
      <c r="B333" s="0" t="s">
        <v>410</v>
      </c>
      <c r="C333" s="0" t="s">
        <v>27</v>
      </c>
      <c r="D333" s="0" t="s">
        <v>14</v>
      </c>
      <c r="E333" s="0" t="s">
        <v>21</v>
      </c>
      <c r="F333" s="0" t="s">
        <v>34</v>
      </c>
      <c r="G333" s="0" t="n">
        <v>392</v>
      </c>
      <c r="H333" s="0" t="n">
        <v>52</v>
      </c>
      <c r="I333" s="0" t="n">
        <v>45</v>
      </c>
      <c r="J333" s="0" t="n">
        <v>40</v>
      </c>
      <c r="K333" s="0" t="n">
        <v>4.4</v>
      </c>
      <c r="L333" s="0" t="s">
        <v>17</v>
      </c>
    </row>
    <row r="334" customFormat="false" ht="15" hidden="false" customHeight="false" outlineLevel="0" collapsed="false">
      <c r="A334" s="0" t="s">
        <v>411</v>
      </c>
      <c r="B334" s="2" t="n">
        <v>45904</v>
      </c>
      <c r="C334" s="3" t="s">
        <v>51</v>
      </c>
      <c r="D334" s="3" t="s">
        <v>56</v>
      </c>
      <c r="E334" s="3" t="s">
        <v>21</v>
      </c>
      <c r="F334" s="3" t="s">
        <v>22</v>
      </c>
      <c r="G334" s="0" t="n">
        <v>231</v>
      </c>
      <c r="H334" s="0" t="n">
        <v>0</v>
      </c>
      <c r="I334" s="0" t="n">
        <v>40</v>
      </c>
      <c r="J334" s="0" t="n">
        <v>26</v>
      </c>
      <c r="L334" s="3" t="s">
        <v>17</v>
      </c>
    </row>
    <row r="335" customFormat="false" ht="15" hidden="false" customHeight="false" outlineLevel="0" collapsed="false">
      <c r="A335" s="0" t="s">
        <v>412</v>
      </c>
      <c r="B335" s="2" t="n">
        <v>45778</v>
      </c>
      <c r="C335" s="3" t="s">
        <v>27</v>
      </c>
      <c r="D335" s="3" t="s">
        <v>25</v>
      </c>
      <c r="E335" s="3" t="s">
        <v>21</v>
      </c>
      <c r="F335" s="3" t="s">
        <v>22</v>
      </c>
      <c r="G335" s="0" t="n">
        <v>402</v>
      </c>
      <c r="H335" s="0" t="n">
        <v>0</v>
      </c>
      <c r="I335" s="0" t="n">
        <v>20</v>
      </c>
      <c r="J335" s="0" t="n">
        <v>47</v>
      </c>
      <c r="K335" s="0" t="n">
        <v>4.9</v>
      </c>
      <c r="L335" s="3" t="s">
        <v>17</v>
      </c>
    </row>
    <row r="336" customFormat="false" ht="15" hidden="false" customHeight="false" outlineLevel="0" collapsed="false">
      <c r="A336" s="0" t="s">
        <v>413</v>
      </c>
      <c r="B336" s="0" t="s">
        <v>414</v>
      </c>
      <c r="C336" s="0" t="s">
        <v>27</v>
      </c>
      <c r="D336" s="0" t="s">
        <v>49</v>
      </c>
      <c r="E336" s="0" t="s">
        <v>21</v>
      </c>
      <c r="F336" s="0" t="s">
        <v>16</v>
      </c>
      <c r="G336" s="0" t="n">
        <v>429</v>
      </c>
      <c r="H336" s="0" t="n">
        <v>0</v>
      </c>
      <c r="I336" s="0" t="n">
        <v>20</v>
      </c>
      <c r="L336" s="0" t="s">
        <v>68</v>
      </c>
    </row>
    <row r="337" customFormat="false" ht="15" hidden="false" customHeight="false" outlineLevel="0" collapsed="false">
      <c r="A337" s="0" t="s">
        <v>415</v>
      </c>
      <c r="B337" s="2" t="n">
        <v>45744</v>
      </c>
      <c r="C337" s="3" t="s">
        <v>19</v>
      </c>
      <c r="D337" s="3" t="s">
        <v>25</v>
      </c>
      <c r="E337" s="3" t="s">
        <v>99</v>
      </c>
      <c r="F337" s="3" t="s">
        <v>54</v>
      </c>
      <c r="G337" s="0" t="n">
        <v>403</v>
      </c>
      <c r="H337" s="0" t="n">
        <v>86</v>
      </c>
      <c r="I337" s="0" t="n">
        <v>45</v>
      </c>
      <c r="J337" s="0" t="n">
        <v>25</v>
      </c>
      <c r="K337" s="0" t="n">
        <v>5</v>
      </c>
      <c r="L337" s="3" t="s">
        <v>17</v>
      </c>
    </row>
    <row r="338" customFormat="false" ht="15" hidden="false" customHeight="false" outlineLevel="0" collapsed="false">
      <c r="A338" s="0" t="s">
        <v>416</v>
      </c>
      <c r="B338" s="2" t="n">
        <v>45925</v>
      </c>
      <c r="C338" s="3" t="s">
        <v>27</v>
      </c>
      <c r="D338" s="3" t="s">
        <v>31</v>
      </c>
      <c r="E338" s="3" t="s">
        <v>21</v>
      </c>
      <c r="F338" s="3" t="s">
        <v>16</v>
      </c>
      <c r="G338" s="0" t="n">
        <v>447</v>
      </c>
      <c r="H338" s="0" t="n">
        <v>67</v>
      </c>
      <c r="I338" s="0" t="n">
        <v>20</v>
      </c>
      <c r="J338" s="0" t="n">
        <v>38</v>
      </c>
      <c r="K338" s="0" t="n">
        <v>5</v>
      </c>
      <c r="L338" s="3" t="s">
        <v>17</v>
      </c>
    </row>
    <row r="339" customFormat="false" ht="15" hidden="false" customHeight="false" outlineLevel="0" collapsed="false">
      <c r="A339" s="0" t="s">
        <v>417</v>
      </c>
      <c r="B339" s="0" t="s">
        <v>418</v>
      </c>
      <c r="C339" s="0" t="s">
        <v>40</v>
      </c>
      <c r="D339" s="0" t="s">
        <v>25</v>
      </c>
      <c r="E339" s="0" t="s">
        <v>21</v>
      </c>
      <c r="F339" s="0" t="s">
        <v>16</v>
      </c>
      <c r="G339" s="0" t="n">
        <v>545</v>
      </c>
      <c r="H339" s="0" t="n">
        <v>0</v>
      </c>
      <c r="I339" s="0" t="n">
        <v>0</v>
      </c>
      <c r="J339" s="0" t="n">
        <v>38</v>
      </c>
      <c r="K339" s="0" t="n">
        <v>4.2</v>
      </c>
      <c r="L339" s="0" t="s">
        <v>17</v>
      </c>
    </row>
    <row r="340" customFormat="false" ht="15" hidden="false" customHeight="false" outlineLevel="0" collapsed="false">
      <c r="A340" s="0" t="s">
        <v>419</v>
      </c>
      <c r="B340" s="2" t="n">
        <v>45715</v>
      </c>
      <c r="C340" s="3" t="s">
        <v>24</v>
      </c>
      <c r="D340" s="3" t="s">
        <v>25</v>
      </c>
      <c r="E340" s="3" t="s">
        <v>15</v>
      </c>
      <c r="F340" s="3" t="s">
        <v>36</v>
      </c>
      <c r="G340" s="0" t="n">
        <v>642</v>
      </c>
      <c r="H340" s="0" t="n">
        <v>0</v>
      </c>
      <c r="I340" s="0" t="n">
        <v>0</v>
      </c>
      <c r="J340" s="0" t="n">
        <v>27</v>
      </c>
      <c r="K340" s="0" t="n">
        <v>4.3</v>
      </c>
      <c r="L340" s="3" t="s">
        <v>17</v>
      </c>
    </row>
    <row r="341" customFormat="false" ht="15" hidden="false" customHeight="false" outlineLevel="0" collapsed="false">
      <c r="A341" s="0" t="s">
        <v>420</v>
      </c>
      <c r="B341" s="2" t="n">
        <v>45897</v>
      </c>
      <c r="C341" s="3" t="s">
        <v>421</v>
      </c>
      <c r="D341" s="3" t="s">
        <v>25</v>
      </c>
      <c r="E341" s="3" t="s">
        <v>21</v>
      </c>
      <c r="F341" s="3" t="s">
        <v>22</v>
      </c>
      <c r="G341" s="0" t="n">
        <v>273</v>
      </c>
      <c r="H341" s="0" t="n">
        <v>0</v>
      </c>
      <c r="I341" s="0" t="n">
        <v>45</v>
      </c>
      <c r="J341" s="0" t="n">
        <v>22</v>
      </c>
      <c r="K341" s="0" t="n">
        <v>4.7</v>
      </c>
      <c r="L341" s="3" t="s">
        <v>17</v>
      </c>
    </row>
    <row r="342" customFormat="false" ht="15" hidden="false" customHeight="false" outlineLevel="0" collapsed="false">
      <c r="A342" s="0" t="s">
        <v>422</v>
      </c>
      <c r="B342" s="2" t="n">
        <v>45699</v>
      </c>
      <c r="C342" s="3" t="s">
        <v>40</v>
      </c>
      <c r="D342" s="3" t="s">
        <v>56</v>
      </c>
      <c r="E342" s="3" t="s">
        <v>15</v>
      </c>
      <c r="F342" s="3" t="s">
        <v>16</v>
      </c>
      <c r="G342" s="0" t="n">
        <v>385</v>
      </c>
      <c r="H342" s="0" t="n">
        <v>0</v>
      </c>
      <c r="I342" s="0" t="n">
        <v>45</v>
      </c>
      <c r="L342" s="3" t="s">
        <v>68</v>
      </c>
    </row>
    <row r="343" customFormat="false" ht="15" hidden="false" customHeight="false" outlineLevel="0" collapsed="false">
      <c r="A343" s="0" t="s">
        <v>423</v>
      </c>
      <c r="B343" s="0" t="s">
        <v>221</v>
      </c>
      <c r="C343" s="0" t="s">
        <v>27</v>
      </c>
      <c r="D343" s="0" t="s">
        <v>14</v>
      </c>
      <c r="E343" s="0" t="s">
        <v>15</v>
      </c>
      <c r="F343" s="0" t="s">
        <v>22</v>
      </c>
      <c r="G343" s="0" t="n">
        <v>357</v>
      </c>
      <c r="H343" s="0" t="n">
        <v>0</v>
      </c>
      <c r="I343" s="0" t="n">
        <v>30</v>
      </c>
      <c r="J343" s="0" t="n">
        <v>27</v>
      </c>
      <c r="K343" s="0" t="n">
        <v>4.5</v>
      </c>
      <c r="L343" s="0" t="s">
        <v>17</v>
      </c>
    </row>
    <row r="344" customFormat="false" ht="15" hidden="false" customHeight="false" outlineLevel="0" collapsed="false">
      <c r="A344" s="0" t="s">
        <v>424</v>
      </c>
      <c r="B344" s="2" t="n">
        <v>45695</v>
      </c>
      <c r="C344" s="3" t="s">
        <v>30</v>
      </c>
      <c r="D344" s="3" t="s">
        <v>25</v>
      </c>
      <c r="E344" s="3" t="s">
        <v>15</v>
      </c>
      <c r="F344" s="3" t="s">
        <v>22</v>
      </c>
      <c r="G344" s="0" t="n">
        <v>538</v>
      </c>
      <c r="H344" s="0" t="n">
        <v>63</v>
      </c>
      <c r="I344" s="0" t="n">
        <v>0</v>
      </c>
      <c r="J344" s="0" t="n">
        <v>37</v>
      </c>
      <c r="K344" s="0" t="n">
        <v>3.4</v>
      </c>
      <c r="L344" s="3" t="s">
        <v>17</v>
      </c>
    </row>
    <row r="345" customFormat="false" ht="15" hidden="false" customHeight="false" outlineLevel="0" collapsed="false">
      <c r="A345" s="0" t="s">
        <v>425</v>
      </c>
      <c r="B345" s="2" t="n">
        <v>46003</v>
      </c>
      <c r="C345" s="3" t="s">
        <v>13</v>
      </c>
      <c r="D345" s="3" t="s">
        <v>56</v>
      </c>
      <c r="E345" s="3" t="s">
        <v>15</v>
      </c>
      <c r="F345" s="3" t="s">
        <v>36</v>
      </c>
      <c r="G345" s="0" t="n">
        <v>462</v>
      </c>
      <c r="H345" s="0" t="n">
        <v>61</v>
      </c>
      <c r="I345" s="0" t="n">
        <v>40</v>
      </c>
      <c r="J345" s="0" t="n">
        <v>44</v>
      </c>
      <c r="K345" s="0" t="n">
        <v>3.8</v>
      </c>
      <c r="L345" s="3" t="s">
        <v>17</v>
      </c>
    </row>
    <row r="346" customFormat="false" ht="15" hidden="false" customHeight="false" outlineLevel="0" collapsed="false">
      <c r="A346" s="0" t="s">
        <v>426</v>
      </c>
      <c r="B346" s="2" t="n">
        <v>45717</v>
      </c>
      <c r="C346" s="3" t="s">
        <v>185</v>
      </c>
      <c r="D346" s="3" t="s">
        <v>25</v>
      </c>
      <c r="E346" s="3" t="s">
        <v>21</v>
      </c>
      <c r="F346" s="3" t="s">
        <v>54</v>
      </c>
      <c r="G346" s="0" t="n">
        <v>581</v>
      </c>
      <c r="H346" s="0" t="n">
        <v>0</v>
      </c>
      <c r="I346" s="0" t="n">
        <v>0</v>
      </c>
      <c r="J346" s="0" t="n">
        <v>37</v>
      </c>
      <c r="K346" s="0" t="n">
        <v>4.2</v>
      </c>
      <c r="L346" s="3" t="s">
        <v>17</v>
      </c>
    </row>
    <row r="347" customFormat="false" ht="15" hidden="false" customHeight="false" outlineLevel="0" collapsed="false">
      <c r="A347" s="0" t="s">
        <v>427</v>
      </c>
      <c r="B347" s="2" t="n">
        <v>46010</v>
      </c>
      <c r="C347" s="3" t="s">
        <v>27</v>
      </c>
      <c r="D347" s="3" t="s">
        <v>14</v>
      </c>
      <c r="E347" s="3" t="s">
        <v>21</v>
      </c>
      <c r="F347" s="3" t="s">
        <v>54</v>
      </c>
      <c r="G347" s="0" t="n">
        <v>382</v>
      </c>
      <c r="H347" s="0" t="n">
        <v>52</v>
      </c>
      <c r="I347" s="0" t="n">
        <v>40</v>
      </c>
      <c r="J347" s="0" t="n">
        <v>51</v>
      </c>
      <c r="K347" s="0" t="n">
        <v>4.3</v>
      </c>
      <c r="L347" s="3" t="s">
        <v>17</v>
      </c>
    </row>
    <row r="348" customFormat="false" ht="15" hidden="false" customHeight="false" outlineLevel="0" collapsed="false">
      <c r="A348" s="0" t="s">
        <v>428</v>
      </c>
      <c r="B348" s="2" t="n">
        <v>45960</v>
      </c>
      <c r="C348" s="3" t="s">
        <v>40</v>
      </c>
      <c r="D348" s="3" t="s">
        <v>31</v>
      </c>
      <c r="E348" s="3" t="s">
        <v>15</v>
      </c>
      <c r="F348" s="3" t="s">
        <v>54</v>
      </c>
      <c r="G348" s="0" t="n">
        <v>408</v>
      </c>
      <c r="H348" s="0" t="n">
        <v>96</v>
      </c>
      <c r="I348" s="0" t="n">
        <v>20</v>
      </c>
      <c r="J348" s="0" t="n">
        <v>38</v>
      </c>
      <c r="K348" s="0" t="n">
        <v>4.8</v>
      </c>
      <c r="L348" s="3" t="s">
        <v>17</v>
      </c>
    </row>
    <row r="349" customFormat="false" ht="15" hidden="false" customHeight="false" outlineLevel="0" collapsed="false">
      <c r="A349" s="0" t="s">
        <v>429</v>
      </c>
      <c r="B349" s="2" t="n">
        <v>45890</v>
      </c>
      <c r="C349" s="3" t="s">
        <v>51</v>
      </c>
      <c r="D349" s="3" t="s">
        <v>31</v>
      </c>
      <c r="E349" s="3" t="s">
        <v>21</v>
      </c>
      <c r="F349" s="3" t="s">
        <v>16</v>
      </c>
      <c r="G349" s="0" t="n">
        <v>370</v>
      </c>
      <c r="H349" s="0" t="n">
        <v>0</v>
      </c>
      <c r="I349" s="0" t="n">
        <v>45</v>
      </c>
      <c r="J349" s="0" t="n">
        <v>46</v>
      </c>
      <c r="K349" s="0" t="n">
        <v>3.5</v>
      </c>
      <c r="L349" s="3" t="s">
        <v>17</v>
      </c>
    </row>
    <row r="350" customFormat="false" ht="15" hidden="false" customHeight="false" outlineLevel="0" collapsed="false">
      <c r="A350" s="0" t="s">
        <v>430</v>
      </c>
      <c r="B350" s="2" t="n">
        <v>45954</v>
      </c>
      <c r="C350" s="3" t="s">
        <v>40</v>
      </c>
      <c r="D350" s="3" t="s">
        <v>56</v>
      </c>
      <c r="E350" s="3" t="s">
        <v>21</v>
      </c>
      <c r="F350" s="3" t="s">
        <v>22</v>
      </c>
      <c r="G350" s="0" t="n">
        <v>382</v>
      </c>
      <c r="H350" s="0" t="n">
        <v>0</v>
      </c>
      <c r="I350" s="0" t="n">
        <v>40</v>
      </c>
      <c r="J350" s="0" t="n">
        <v>35</v>
      </c>
      <c r="K350" s="0" t="n">
        <v>5</v>
      </c>
      <c r="L350" s="3" t="s">
        <v>17</v>
      </c>
    </row>
    <row r="351" customFormat="false" ht="15" hidden="false" customHeight="false" outlineLevel="0" collapsed="false">
      <c r="A351" s="0" t="s">
        <v>431</v>
      </c>
      <c r="B351" s="2" t="n">
        <v>45958</v>
      </c>
      <c r="C351" s="3" t="s">
        <v>13</v>
      </c>
      <c r="D351" s="3" t="s">
        <v>28</v>
      </c>
      <c r="E351" s="3" t="s">
        <v>15</v>
      </c>
      <c r="F351" s="3" t="s">
        <v>34</v>
      </c>
      <c r="G351" s="0" t="n">
        <v>421</v>
      </c>
      <c r="H351" s="0" t="n">
        <v>0</v>
      </c>
      <c r="I351" s="0" t="n">
        <v>20</v>
      </c>
      <c r="J351" s="0" t="n">
        <v>16</v>
      </c>
      <c r="K351" s="0" t="n">
        <v>4.8</v>
      </c>
      <c r="L351" s="3" t="s">
        <v>17</v>
      </c>
    </row>
    <row r="352" customFormat="false" ht="15" hidden="false" customHeight="false" outlineLevel="0" collapsed="false">
      <c r="A352" s="0" t="s">
        <v>432</v>
      </c>
      <c r="B352" s="0" t="s">
        <v>433</v>
      </c>
      <c r="C352" s="0" t="s">
        <v>127</v>
      </c>
      <c r="D352" s="0" t="s">
        <v>14</v>
      </c>
      <c r="E352" s="0" t="s">
        <v>15</v>
      </c>
      <c r="F352" s="0" t="s">
        <v>54</v>
      </c>
      <c r="G352" s="0" t="n">
        <v>372</v>
      </c>
      <c r="H352" s="0" t="n">
        <v>58</v>
      </c>
      <c r="I352" s="0" t="n">
        <v>20</v>
      </c>
      <c r="J352" s="0" t="n">
        <v>35</v>
      </c>
      <c r="K352" s="0" t="n">
        <v>4.4</v>
      </c>
      <c r="L352" s="0" t="s">
        <v>17</v>
      </c>
    </row>
    <row r="353" customFormat="false" ht="15" hidden="false" customHeight="false" outlineLevel="0" collapsed="false">
      <c r="A353" s="0" t="s">
        <v>434</v>
      </c>
      <c r="B353" s="2" t="n">
        <v>45764</v>
      </c>
      <c r="C353" s="3" t="s">
        <v>435</v>
      </c>
      <c r="D353" s="3" t="s">
        <v>20</v>
      </c>
      <c r="E353" s="3" t="s">
        <v>21</v>
      </c>
      <c r="F353" s="3" t="s">
        <v>36</v>
      </c>
      <c r="G353" s="0" t="n">
        <v>467</v>
      </c>
      <c r="H353" s="0" t="n">
        <v>0</v>
      </c>
      <c r="I353" s="0" t="n">
        <v>20</v>
      </c>
      <c r="J353" s="0" t="n">
        <v>45</v>
      </c>
      <c r="K353" s="0" t="n">
        <v>3.2</v>
      </c>
      <c r="L353" s="3" t="s">
        <v>17</v>
      </c>
    </row>
    <row r="354" customFormat="false" ht="15" hidden="false" customHeight="false" outlineLevel="0" collapsed="false">
      <c r="A354" s="0" t="s">
        <v>436</v>
      </c>
      <c r="B354" s="2" t="n">
        <v>45889</v>
      </c>
      <c r="C354" s="3" t="s">
        <v>27</v>
      </c>
      <c r="D354" s="3" t="s">
        <v>28</v>
      </c>
      <c r="E354" s="3" t="s">
        <v>15</v>
      </c>
      <c r="F354" s="3" t="s">
        <v>16</v>
      </c>
      <c r="G354" s="0" t="n">
        <v>508</v>
      </c>
      <c r="H354" s="0" t="n">
        <v>105</v>
      </c>
      <c r="I354" s="0" t="n">
        <v>0</v>
      </c>
      <c r="J354" s="0" t="n">
        <v>46</v>
      </c>
      <c r="K354" s="0" t="n">
        <v>3.7</v>
      </c>
      <c r="L354" s="3" t="s">
        <v>17</v>
      </c>
    </row>
    <row r="355" customFormat="false" ht="15" hidden="false" customHeight="false" outlineLevel="0" collapsed="false">
      <c r="A355" s="0" t="s">
        <v>437</v>
      </c>
      <c r="B355" s="2" t="n">
        <v>45699</v>
      </c>
      <c r="C355" s="3" t="s">
        <v>13</v>
      </c>
      <c r="D355" s="3" t="s">
        <v>56</v>
      </c>
      <c r="E355" s="3" t="s">
        <v>21</v>
      </c>
      <c r="F355" s="3" t="s">
        <v>36</v>
      </c>
      <c r="G355" s="0" t="n">
        <v>305</v>
      </c>
      <c r="H355" s="0" t="n">
        <v>35</v>
      </c>
      <c r="I355" s="0" t="n">
        <v>45</v>
      </c>
      <c r="J355" s="0" t="n">
        <v>29</v>
      </c>
      <c r="K355" s="0" t="n">
        <v>4.9</v>
      </c>
      <c r="L355" s="3" t="s">
        <v>17</v>
      </c>
    </row>
    <row r="356" customFormat="false" ht="15" hidden="false" customHeight="false" outlineLevel="0" collapsed="false">
      <c r="A356" s="0" t="s">
        <v>438</v>
      </c>
      <c r="B356" s="2" t="n">
        <v>45898</v>
      </c>
      <c r="C356" s="3" t="s">
        <v>24</v>
      </c>
      <c r="D356" s="3" t="s">
        <v>31</v>
      </c>
      <c r="E356" s="3" t="s">
        <v>15</v>
      </c>
      <c r="F356" s="3" t="s">
        <v>36</v>
      </c>
      <c r="G356" s="0" t="n">
        <v>527</v>
      </c>
      <c r="H356" s="0" t="n">
        <v>0</v>
      </c>
      <c r="I356" s="0" t="n">
        <v>0</v>
      </c>
      <c r="J356" s="0" t="n">
        <v>38</v>
      </c>
      <c r="K356" s="0" t="n">
        <v>4.3</v>
      </c>
      <c r="L356" s="3" t="s">
        <v>17</v>
      </c>
    </row>
    <row r="357" customFormat="false" ht="15" hidden="false" customHeight="false" outlineLevel="0" collapsed="false">
      <c r="A357" s="0" t="s">
        <v>439</v>
      </c>
      <c r="B357" s="2" t="n">
        <v>45731</v>
      </c>
      <c r="C357" s="3" t="s">
        <v>45</v>
      </c>
      <c r="D357" s="3" t="s">
        <v>31</v>
      </c>
      <c r="E357" s="3" t="s">
        <v>21</v>
      </c>
      <c r="F357" s="3" t="s">
        <v>54</v>
      </c>
      <c r="G357" s="0" t="n">
        <v>524</v>
      </c>
      <c r="H357" s="0" t="n">
        <v>0</v>
      </c>
      <c r="I357" s="0" t="n">
        <v>0</v>
      </c>
      <c r="J357" s="0" t="n">
        <v>37</v>
      </c>
      <c r="K357" s="0" t="n">
        <v>4.3</v>
      </c>
      <c r="L357" s="3" t="s">
        <v>17</v>
      </c>
    </row>
    <row r="358" customFormat="false" ht="15" hidden="false" customHeight="false" outlineLevel="0" collapsed="false">
      <c r="A358" s="0" t="s">
        <v>440</v>
      </c>
      <c r="B358" s="2" t="n">
        <v>45880</v>
      </c>
      <c r="C358" s="3" t="s">
        <v>27</v>
      </c>
      <c r="D358" s="3" t="s">
        <v>31</v>
      </c>
      <c r="E358" s="3" t="s">
        <v>21</v>
      </c>
      <c r="F358" s="3" t="s">
        <v>36</v>
      </c>
      <c r="G358" s="0" t="n">
        <v>717</v>
      </c>
      <c r="H358" s="0" t="n">
        <v>0</v>
      </c>
      <c r="I358" s="0" t="n">
        <v>0</v>
      </c>
      <c r="J358" s="0" t="n">
        <v>41</v>
      </c>
      <c r="K358" s="0" t="n">
        <v>4.2</v>
      </c>
      <c r="L358" s="3" t="s">
        <v>17</v>
      </c>
    </row>
    <row r="359" customFormat="false" ht="15" hidden="false" customHeight="false" outlineLevel="0" collapsed="false">
      <c r="A359" s="0" t="s">
        <v>441</v>
      </c>
      <c r="B359" s="2" t="n">
        <v>45883</v>
      </c>
      <c r="C359" s="3" t="s">
        <v>13</v>
      </c>
      <c r="D359" s="3" t="s">
        <v>25</v>
      </c>
      <c r="E359" s="3" t="s">
        <v>15</v>
      </c>
      <c r="F359" s="3" t="s">
        <v>16</v>
      </c>
      <c r="G359" s="0" t="n">
        <v>474</v>
      </c>
      <c r="H359" s="0" t="n">
        <v>0</v>
      </c>
      <c r="I359" s="0" t="n">
        <v>40</v>
      </c>
      <c r="J359" s="0" t="n">
        <v>51</v>
      </c>
      <c r="K359" s="0" t="n">
        <v>3.2</v>
      </c>
      <c r="L359" s="3" t="s">
        <v>17</v>
      </c>
    </row>
    <row r="360" customFormat="false" ht="15" hidden="false" customHeight="false" outlineLevel="0" collapsed="false">
      <c r="A360" s="0" t="s">
        <v>442</v>
      </c>
      <c r="B360" s="2" t="n">
        <v>45845</v>
      </c>
      <c r="C360" s="3" t="s">
        <v>45</v>
      </c>
      <c r="D360" s="3" t="s">
        <v>56</v>
      </c>
      <c r="E360" s="3" t="s">
        <v>15</v>
      </c>
      <c r="F360" s="3" t="s">
        <v>22</v>
      </c>
      <c r="G360" s="0" t="n">
        <v>292</v>
      </c>
      <c r="H360" s="0" t="n">
        <v>0</v>
      </c>
      <c r="I360" s="0" t="n">
        <v>40</v>
      </c>
      <c r="J360" s="0" t="n">
        <v>26</v>
      </c>
      <c r="K360" s="0" t="n">
        <v>4.5</v>
      </c>
      <c r="L360" s="3" t="s">
        <v>17</v>
      </c>
    </row>
    <row r="361" customFormat="false" ht="15" hidden="false" customHeight="false" outlineLevel="0" collapsed="false">
      <c r="A361" s="0" t="s">
        <v>443</v>
      </c>
      <c r="B361" s="2" t="n">
        <v>45865</v>
      </c>
      <c r="C361" s="3" t="s">
        <v>19</v>
      </c>
      <c r="D361" s="3" t="s">
        <v>25</v>
      </c>
      <c r="E361" s="3" t="s">
        <v>21</v>
      </c>
      <c r="F361" s="3" t="s">
        <v>16</v>
      </c>
      <c r="G361" s="0" t="n">
        <v>397</v>
      </c>
      <c r="H361" s="0" t="n">
        <v>46</v>
      </c>
      <c r="I361" s="0" t="n">
        <v>20</v>
      </c>
      <c r="J361" s="0" t="n">
        <v>35</v>
      </c>
      <c r="K361" s="0" t="n">
        <v>5</v>
      </c>
      <c r="L361" s="3" t="s">
        <v>17</v>
      </c>
    </row>
    <row r="362" customFormat="false" ht="15" hidden="false" customHeight="false" outlineLevel="0" collapsed="false">
      <c r="A362" s="0" t="s">
        <v>444</v>
      </c>
      <c r="B362" s="2" t="n">
        <v>45947</v>
      </c>
      <c r="C362" s="3" t="s">
        <v>24</v>
      </c>
      <c r="D362" s="3" t="s">
        <v>20</v>
      </c>
      <c r="E362" s="3" t="s">
        <v>58</v>
      </c>
      <c r="F362" s="3" t="s">
        <v>22</v>
      </c>
      <c r="G362" s="0" t="n">
        <v>444</v>
      </c>
      <c r="H362" s="0" t="n">
        <v>0</v>
      </c>
      <c r="I362" s="0" t="n">
        <v>45</v>
      </c>
      <c r="J362" s="0" t="n">
        <v>41</v>
      </c>
      <c r="K362" s="0" t="n">
        <v>4.7</v>
      </c>
      <c r="L362" s="3" t="s">
        <v>17</v>
      </c>
    </row>
    <row r="363" customFormat="false" ht="15" hidden="false" customHeight="false" outlineLevel="0" collapsed="false">
      <c r="A363" s="0" t="s">
        <v>445</v>
      </c>
      <c r="B363" s="2" t="n">
        <v>45959</v>
      </c>
      <c r="C363" s="3" t="s">
        <v>24</v>
      </c>
      <c r="D363" s="3" t="s">
        <v>56</v>
      </c>
      <c r="E363" s="3" t="s">
        <v>21</v>
      </c>
      <c r="F363" s="3" t="s">
        <v>54</v>
      </c>
      <c r="H363" s="0" t="n">
        <v>0</v>
      </c>
      <c r="I363" s="0" t="n">
        <v>20</v>
      </c>
      <c r="J363" s="0" t="n">
        <v>31</v>
      </c>
      <c r="K363" s="0" t="n">
        <v>4.3</v>
      </c>
      <c r="L363" s="3" t="s">
        <v>17</v>
      </c>
    </row>
    <row r="364" customFormat="false" ht="15" hidden="false" customHeight="false" outlineLevel="0" collapsed="false">
      <c r="A364" s="0" t="s">
        <v>446</v>
      </c>
      <c r="B364" s="2" t="n">
        <v>45854</v>
      </c>
      <c r="C364" s="3" t="s">
        <v>24</v>
      </c>
      <c r="D364" s="3" t="s">
        <v>28</v>
      </c>
      <c r="E364" s="3" t="s">
        <v>15</v>
      </c>
      <c r="F364" s="3" t="s">
        <v>16</v>
      </c>
      <c r="G364" s="0" t="n">
        <v>505</v>
      </c>
      <c r="H364" s="0" t="n">
        <v>0</v>
      </c>
      <c r="I364" s="0" t="n">
        <v>0</v>
      </c>
      <c r="J364" s="0" t="n">
        <v>33</v>
      </c>
      <c r="K364" s="0" t="n">
        <v>5</v>
      </c>
      <c r="L364" s="3" t="s">
        <v>17</v>
      </c>
    </row>
    <row r="365" customFormat="false" ht="15" hidden="false" customHeight="false" outlineLevel="0" collapsed="false">
      <c r="A365" s="0" t="s">
        <v>447</v>
      </c>
      <c r="B365" s="2" t="n">
        <v>45892</v>
      </c>
      <c r="C365" s="3" t="s">
        <v>24</v>
      </c>
      <c r="D365" s="3" t="s">
        <v>28</v>
      </c>
      <c r="E365" s="3" t="s">
        <v>15</v>
      </c>
      <c r="F365" s="3" t="s">
        <v>16</v>
      </c>
      <c r="G365" s="0" t="n">
        <v>478</v>
      </c>
      <c r="H365" s="0" t="n">
        <v>48</v>
      </c>
      <c r="I365" s="0" t="n">
        <v>40</v>
      </c>
      <c r="J365" s="0" t="n">
        <v>43</v>
      </c>
      <c r="K365" s="0" t="n">
        <v>3.4</v>
      </c>
      <c r="L365" s="3" t="s">
        <v>17</v>
      </c>
    </row>
    <row r="366" customFormat="false" ht="15" hidden="false" customHeight="false" outlineLevel="0" collapsed="false">
      <c r="A366" s="0" t="s">
        <v>448</v>
      </c>
      <c r="B366" s="2" t="n">
        <v>46001</v>
      </c>
      <c r="C366" s="3" t="s">
        <v>27</v>
      </c>
      <c r="D366" s="3" t="s">
        <v>25</v>
      </c>
      <c r="E366" s="3" t="s">
        <v>21</v>
      </c>
      <c r="F366" s="3" t="s">
        <v>22</v>
      </c>
      <c r="G366" s="0" t="n">
        <v>315</v>
      </c>
      <c r="H366" s="0" t="n">
        <v>0</v>
      </c>
      <c r="I366" s="0" t="n">
        <v>40</v>
      </c>
      <c r="J366" s="0" t="n">
        <v>43</v>
      </c>
      <c r="K366" s="0" t="n">
        <v>3.6</v>
      </c>
      <c r="L366" s="3" t="s">
        <v>17</v>
      </c>
    </row>
    <row r="367" customFormat="false" ht="15" hidden="false" customHeight="false" outlineLevel="0" collapsed="false">
      <c r="A367" s="0" t="s">
        <v>449</v>
      </c>
      <c r="B367" s="2" t="n">
        <v>45710</v>
      </c>
      <c r="C367" s="3" t="s">
        <v>19</v>
      </c>
      <c r="D367" s="3" t="s">
        <v>25</v>
      </c>
      <c r="E367" s="3" t="s">
        <v>21</v>
      </c>
      <c r="F367" s="3" t="s">
        <v>34</v>
      </c>
      <c r="G367" s="0" t="n">
        <v>545</v>
      </c>
      <c r="H367" s="0" t="n">
        <v>97</v>
      </c>
      <c r="I367" s="0" t="n">
        <v>0</v>
      </c>
      <c r="J367" s="0" t="n">
        <v>30</v>
      </c>
      <c r="K367" s="0" t="n">
        <v>5</v>
      </c>
      <c r="L367" s="3" t="s">
        <v>17</v>
      </c>
    </row>
    <row r="368" customFormat="false" ht="15" hidden="false" customHeight="false" outlineLevel="0" collapsed="false">
      <c r="A368" s="0" t="s">
        <v>450</v>
      </c>
      <c r="B368" s="2" t="n">
        <v>45709</v>
      </c>
      <c r="C368" s="3" t="s">
        <v>19</v>
      </c>
      <c r="D368" s="3" t="s">
        <v>20</v>
      </c>
      <c r="E368" s="3" t="s">
        <v>15</v>
      </c>
      <c r="F368" s="3" t="s">
        <v>16</v>
      </c>
      <c r="G368" s="0" t="n">
        <v>583</v>
      </c>
      <c r="H368" s="0" t="n">
        <v>78</v>
      </c>
      <c r="I368" s="0" t="n">
        <v>0</v>
      </c>
      <c r="J368" s="0" t="n">
        <v>17</v>
      </c>
      <c r="K368" s="0" t="n">
        <v>5</v>
      </c>
      <c r="L368" s="3" t="s">
        <v>17</v>
      </c>
    </row>
    <row r="369" customFormat="false" ht="15" hidden="false" customHeight="false" outlineLevel="0" collapsed="false">
      <c r="A369" s="0" t="s">
        <v>451</v>
      </c>
      <c r="B369" s="0" t="s">
        <v>150</v>
      </c>
      <c r="C369" s="0" t="s">
        <v>164</v>
      </c>
      <c r="D369" s="0" t="s">
        <v>20</v>
      </c>
      <c r="E369" s="0" t="s">
        <v>21</v>
      </c>
      <c r="F369" s="0" t="s">
        <v>22</v>
      </c>
      <c r="G369" s="0" t="n">
        <v>566</v>
      </c>
      <c r="H369" s="0" t="n">
        <v>0</v>
      </c>
      <c r="I369" s="0" t="n">
        <v>0</v>
      </c>
      <c r="J369" s="0" t="n">
        <v>47</v>
      </c>
      <c r="K369" s="0" t="n">
        <v>3.8</v>
      </c>
      <c r="L369" s="0" t="s">
        <v>17</v>
      </c>
    </row>
    <row r="370" customFormat="false" ht="15" hidden="false" customHeight="false" outlineLevel="0" collapsed="false">
      <c r="A370" s="0" t="s">
        <v>452</v>
      </c>
      <c r="B370" s="2" t="n">
        <v>45912</v>
      </c>
      <c r="C370" s="3" t="s">
        <v>13</v>
      </c>
      <c r="D370" s="3" t="s">
        <v>25</v>
      </c>
      <c r="E370" s="3" t="s">
        <v>21</v>
      </c>
      <c r="F370" s="3" t="s">
        <v>36</v>
      </c>
      <c r="G370" s="0" t="n">
        <v>470</v>
      </c>
      <c r="H370" s="0" t="n">
        <v>107</v>
      </c>
      <c r="I370" s="0" t="n">
        <v>30</v>
      </c>
      <c r="J370" s="0" t="n">
        <v>35</v>
      </c>
      <c r="K370" s="0" t="n">
        <v>4.2</v>
      </c>
      <c r="L370" s="3" t="s">
        <v>17</v>
      </c>
    </row>
    <row r="371" customFormat="false" ht="15" hidden="false" customHeight="false" outlineLevel="0" collapsed="false">
      <c r="A371" s="0" t="s">
        <v>453</v>
      </c>
      <c r="B371" s="2" t="n">
        <v>45828</v>
      </c>
      <c r="C371" s="3" t="s">
        <v>45</v>
      </c>
      <c r="D371" s="3" t="s">
        <v>25</v>
      </c>
      <c r="E371" s="3" t="s">
        <v>15</v>
      </c>
      <c r="F371" s="3" t="s">
        <v>22</v>
      </c>
      <c r="G371" s="0" t="n">
        <v>543</v>
      </c>
      <c r="H371" s="0" t="n">
        <v>66</v>
      </c>
      <c r="I371" s="0" t="n">
        <v>0</v>
      </c>
      <c r="J371" s="0" t="n">
        <v>30</v>
      </c>
      <c r="K371" s="0" t="n">
        <v>4</v>
      </c>
      <c r="L371" s="3" t="s">
        <v>17</v>
      </c>
    </row>
    <row r="372" customFormat="false" ht="15" hidden="false" customHeight="false" outlineLevel="0" collapsed="false">
      <c r="A372" s="0" t="s">
        <v>454</v>
      </c>
      <c r="B372" s="2" t="n">
        <v>45951</v>
      </c>
      <c r="C372" s="3" t="s">
        <v>51</v>
      </c>
      <c r="D372" s="3" t="s">
        <v>28</v>
      </c>
      <c r="E372" s="3" t="s">
        <v>15</v>
      </c>
      <c r="F372" s="3" t="s">
        <v>16</v>
      </c>
      <c r="G372" s="0" t="n">
        <v>559</v>
      </c>
      <c r="H372" s="0" t="n">
        <v>0</v>
      </c>
      <c r="I372" s="0" t="n">
        <v>0</v>
      </c>
      <c r="J372" s="0" t="n">
        <v>38</v>
      </c>
      <c r="K372" s="0" t="n">
        <v>4.3</v>
      </c>
      <c r="L372" s="3" t="s">
        <v>17</v>
      </c>
    </row>
    <row r="373" customFormat="false" ht="15" hidden="false" customHeight="false" outlineLevel="0" collapsed="false">
      <c r="A373" s="0" t="s">
        <v>455</v>
      </c>
      <c r="B373" s="0" t="s">
        <v>456</v>
      </c>
      <c r="C373" s="0" t="s">
        <v>24</v>
      </c>
      <c r="D373" s="0" t="s">
        <v>20</v>
      </c>
      <c r="E373" s="0" t="s">
        <v>15</v>
      </c>
      <c r="F373" s="0" t="s">
        <v>22</v>
      </c>
      <c r="G373" s="0" t="n">
        <v>657</v>
      </c>
      <c r="H373" s="0" t="n">
        <v>80</v>
      </c>
      <c r="I373" s="0" t="n">
        <v>0</v>
      </c>
      <c r="J373" s="0" t="n">
        <v>33</v>
      </c>
      <c r="K373" s="0" t="n">
        <v>4.4</v>
      </c>
      <c r="L373" s="0" t="s">
        <v>17</v>
      </c>
    </row>
    <row r="374" customFormat="false" ht="15" hidden="false" customHeight="false" outlineLevel="0" collapsed="false">
      <c r="A374" s="0" t="s">
        <v>457</v>
      </c>
      <c r="B374" s="2" t="n">
        <v>45795</v>
      </c>
      <c r="C374" s="3" t="s">
        <v>27</v>
      </c>
      <c r="D374" s="3" t="s">
        <v>31</v>
      </c>
      <c r="E374" s="3" t="s">
        <v>21</v>
      </c>
      <c r="F374" s="3" t="s">
        <v>16</v>
      </c>
      <c r="G374" s="0" t="n">
        <v>660</v>
      </c>
      <c r="H374" s="0" t="n">
        <v>0</v>
      </c>
      <c r="I374" s="0" t="n">
        <v>0</v>
      </c>
      <c r="J374" s="0" t="n">
        <v>38</v>
      </c>
      <c r="K374" s="0" t="n">
        <v>4.2</v>
      </c>
      <c r="L374" s="3" t="s">
        <v>17</v>
      </c>
    </row>
    <row r="375" customFormat="false" ht="15" hidden="false" customHeight="false" outlineLevel="0" collapsed="false">
      <c r="A375" s="0" t="s">
        <v>458</v>
      </c>
      <c r="B375" s="2" t="n">
        <v>45991</v>
      </c>
      <c r="C375" s="3" t="s">
        <v>30</v>
      </c>
      <c r="D375" s="3" t="s">
        <v>56</v>
      </c>
      <c r="E375" s="3" t="s">
        <v>21</v>
      </c>
      <c r="F375" s="3" t="s">
        <v>36</v>
      </c>
      <c r="G375" s="0" t="n">
        <v>501</v>
      </c>
      <c r="H375" s="0" t="n">
        <v>0</v>
      </c>
      <c r="I375" s="0" t="n">
        <v>0</v>
      </c>
      <c r="J375" s="0" t="n">
        <v>29</v>
      </c>
      <c r="K375" s="0" t="n">
        <v>3.8</v>
      </c>
      <c r="L375" s="3" t="s">
        <v>17</v>
      </c>
    </row>
    <row r="376" customFormat="false" ht="15" hidden="false" customHeight="false" outlineLevel="0" collapsed="false">
      <c r="A376" s="0" t="s">
        <v>459</v>
      </c>
      <c r="B376" s="0" t="s">
        <v>460</v>
      </c>
      <c r="C376" s="0" t="s">
        <v>24</v>
      </c>
      <c r="D376" s="0" t="s">
        <v>49</v>
      </c>
      <c r="E376" s="0" t="s">
        <v>21</v>
      </c>
      <c r="F376" s="0" t="s">
        <v>54</v>
      </c>
      <c r="G376" s="0" t="n">
        <v>514</v>
      </c>
      <c r="H376" s="0" t="n">
        <v>112</v>
      </c>
      <c r="I376" s="0" t="n">
        <v>0</v>
      </c>
      <c r="J376" s="0" t="n">
        <v>33</v>
      </c>
      <c r="K376" s="0" t="n">
        <v>4.5</v>
      </c>
      <c r="L376" s="0" t="s">
        <v>17</v>
      </c>
    </row>
    <row r="377" customFormat="false" ht="15" hidden="false" customHeight="false" outlineLevel="0" collapsed="false">
      <c r="A377" s="0" t="s">
        <v>461</v>
      </c>
      <c r="B377" s="2" t="n">
        <v>45771</v>
      </c>
      <c r="C377" s="3" t="s">
        <v>27</v>
      </c>
      <c r="D377" s="3" t="s">
        <v>31</v>
      </c>
      <c r="E377" s="3" t="s">
        <v>15</v>
      </c>
      <c r="F377" s="3" t="s">
        <v>22</v>
      </c>
      <c r="G377" s="0" t="n">
        <v>430</v>
      </c>
      <c r="H377" s="0" t="n">
        <v>65</v>
      </c>
      <c r="I377" s="0" t="n">
        <v>30</v>
      </c>
      <c r="J377" s="0" t="n">
        <v>57</v>
      </c>
      <c r="K377" s="0" t="n">
        <v>3.5</v>
      </c>
      <c r="L377" s="3" t="s">
        <v>17</v>
      </c>
    </row>
    <row r="378" customFormat="false" ht="15" hidden="false" customHeight="false" outlineLevel="0" collapsed="false">
      <c r="A378" s="0" t="s">
        <v>462</v>
      </c>
      <c r="B378" s="2" t="n">
        <v>45807</v>
      </c>
      <c r="C378" s="3" t="s">
        <v>19</v>
      </c>
      <c r="D378" s="3" t="s">
        <v>14</v>
      </c>
      <c r="E378" s="3" t="s">
        <v>21</v>
      </c>
      <c r="F378" s="3" t="s">
        <v>54</v>
      </c>
      <c r="G378" s="0" t="n">
        <v>348</v>
      </c>
      <c r="H378" s="0" t="n">
        <v>61</v>
      </c>
      <c r="I378" s="0" t="n">
        <v>30</v>
      </c>
      <c r="J378" s="0" t="n">
        <v>34</v>
      </c>
      <c r="K378" s="0" t="n">
        <v>3.8</v>
      </c>
      <c r="L378" s="3" t="s">
        <v>17</v>
      </c>
    </row>
    <row r="379" customFormat="false" ht="15" hidden="false" customHeight="false" outlineLevel="0" collapsed="false">
      <c r="A379" s="0" t="s">
        <v>463</v>
      </c>
      <c r="B379" s="2" t="n">
        <v>45788</v>
      </c>
      <c r="C379" s="3" t="s">
        <v>19</v>
      </c>
      <c r="D379" s="3" t="s">
        <v>31</v>
      </c>
      <c r="E379" s="3" t="s">
        <v>21</v>
      </c>
      <c r="F379" s="3" t="s">
        <v>36</v>
      </c>
      <c r="G379" s="0" t="n">
        <v>618</v>
      </c>
      <c r="H379" s="0" t="n">
        <v>124</v>
      </c>
      <c r="I379" s="0" t="n">
        <v>0</v>
      </c>
      <c r="J379" s="0" t="n">
        <v>21</v>
      </c>
      <c r="K379" s="0" t="n">
        <v>5</v>
      </c>
      <c r="L379" s="3" t="s">
        <v>17</v>
      </c>
    </row>
    <row r="380" customFormat="false" ht="15" hidden="false" customHeight="false" outlineLevel="0" collapsed="false">
      <c r="A380" s="0" t="s">
        <v>464</v>
      </c>
      <c r="B380" s="2" t="n">
        <v>45725</v>
      </c>
      <c r="C380" s="3" t="s">
        <v>45</v>
      </c>
      <c r="D380" s="3" t="s">
        <v>56</v>
      </c>
      <c r="E380" s="3" t="s">
        <v>21</v>
      </c>
      <c r="F380" s="3" t="s">
        <v>22</v>
      </c>
      <c r="G380" s="0" t="n">
        <v>262</v>
      </c>
      <c r="H380" s="0" t="n">
        <v>59</v>
      </c>
      <c r="I380" s="0" t="n">
        <v>30</v>
      </c>
      <c r="J380" s="0" t="n">
        <v>44</v>
      </c>
      <c r="K380" s="0" t="n">
        <v>5</v>
      </c>
      <c r="L380" s="3" t="s">
        <v>17</v>
      </c>
    </row>
    <row r="381" customFormat="false" ht="15" hidden="false" customHeight="false" outlineLevel="0" collapsed="false">
      <c r="A381" s="0" t="s">
        <v>465</v>
      </c>
      <c r="B381" s="2" t="n">
        <v>45722</v>
      </c>
      <c r="C381" s="3" t="s">
        <v>30</v>
      </c>
      <c r="D381" s="3" t="s">
        <v>56</v>
      </c>
      <c r="E381" s="3" t="s">
        <v>21</v>
      </c>
      <c r="F381" s="3" t="s">
        <v>22</v>
      </c>
      <c r="G381" s="0" t="n">
        <v>420</v>
      </c>
      <c r="H381" s="0" t="n">
        <v>0</v>
      </c>
      <c r="I381" s="0" t="n">
        <v>30</v>
      </c>
      <c r="J381" s="0" t="n">
        <v>28</v>
      </c>
      <c r="K381" s="0" t="n">
        <v>5</v>
      </c>
      <c r="L381" s="3" t="s">
        <v>17</v>
      </c>
    </row>
    <row r="382" customFormat="false" ht="15" hidden="false" customHeight="false" outlineLevel="0" collapsed="false">
      <c r="A382" s="0" t="s">
        <v>466</v>
      </c>
      <c r="B382" s="2" t="n">
        <v>46003</v>
      </c>
      <c r="C382" s="3" t="s">
        <v>24</v>
      </c>
      <c r="D382" s="3" t="s">
        <v>31</v>
      </c>
      <c r="E382" s="3" t="s">
        <v>15</v>
      </c>
      <c r="F382" s="3" t="s">
        <v>22</v>
      </c>
      <c r="G382" s="0" t="n">
        <v>590</v>
      </c>
      <c r="H382" s="0" t="n">
        <v>78</v>
      </c>
      <c r="I382" s="0" t="n">
        <v>0</v>
      </c>
      <c r="J382" s="0" t="n">
        <v>36</v>
      </c>
      <c r="K382" s="0" t="n">
        <v>4.6</v>
      </c>
      <c r="L382" s="3" t="s">
        <v>17</v>
      </c>
    </row>
    <row r="383" customFormat="false" ht="15" hidden="false" customHeight="false" outlineLevel="0" collapsed="false">
      <c r="A383" s="0" t="s">
        <v>467</v>
      </c>
      <c r="B383" s="2" t="n">
        <v>45835</v>
      </c>
      <c r="C383" s="3" t="s">
        <v>24</v>
      </c>
      <c r="D383" s="3" t="s">
        <v>49</v>
      </c>
      <c r="E383" s="3" t="s">
        <v>21</v>
      </c>
      <c r="F383" s="3" t="s">
        <v>54</v>
      </c>
      <c r="G383" s="0" t="n">
        <v>358</v>
      </c>
      <c r="H383" s="0" t="n">
        <v>0</v>
      </c>
      <c r="I383" s="0" t="n">
        <v>45</v>
      </c>
      <c r="J383" s="0" t="n">
        <v>42</v>
      </c>
      <c r="K383" s="0" t="n">
        <v>4</v>
      </c>
      <c r="L383" s="3" t="s">
        <v>17</v>
      </c>
    </row>
    <row r="384" customFormat="false" ht="15" hidden="false" customHeight="false" outlineLevel="0" collapsed="false">
      <c r="A384" s="0" t="s">
        <v>468</v>
      </c>
      <c r="B384" s="2" t="n">
        <v>45814</v>
      </c>
      <c r="C384" s="3" t="s">
        <v>27</v>
      </c>
      <c r="D384" s="3" t="s">
        <v>56</v>
      </c>
      <c r="E384" s="3" t="s">
        <v>21</v>
      </c>
      <c r="F384" s="3" t="s">
        <v>22</v>
      </c>
      <c r="G384" s="0" t="n">
        <v>423</v>
      </c>
      <c r="H384" s="0" t="n">
        <v>63</v>
      </c>
      <c r="I384" s="0" t="n">
        <v>45</v>
      </c>
      <c r="L384" s="3" t="s">
        <v>68</v>
      </c>
    </row>
    <row r="385" customFormat="false" ht="15" hidden="false" customHeight="false" outlineLevel="0" collapsed="false">
      <c r="A385" s="0" t="s">
        <v>469</v>
      </c>
      <c r="B385" s="2" t="n">
        <v>45936</v>
      </c>
      <c r="C385" s="3" t="s">
        <v>27</v>
      </c>
      <c r="D385" s="3" t="s">
        <v>78</v>
      </c>
      <c r="E385" s="3" t="s">
        <v>21</v>
      </c>
      <c r="F385" s="3" t="s">
        <v>16</v>
      </c>
      <c r="G385" s="0" t="n">
        <v>402</v>
      </c>
      <c r="H385" s="0" t="n">
        <v>0</v>
      </c>
      <c r="I385" s="0" t="n">
        <v>30</v>
      </c>
      <c r="J385" s="0" t="n">
        <v>40</v>
      </c>
      <c r="K385" s="0" t="n">
        <v>4.4</v>
      </c>
      <c r="L385" s="3" t="s">
        <v>17</v>
      </c>
    </row>
    <row r="386" customFormat="false" ht="15" hidden="false" customHeight="false" outlineLevel="0" collapsed="false">
      <c r="A386" s="0" t="s">
        <v>470</v>
      </c>
      <c r="B386" s="2" t="n">
        <v>45876</v>
      </c>
      <c r="C386" s="3" t="s">
        <v>27</v>
      </c>
      <c r="D386" s="3" t="s">
        <v>25</v>
      </c>
      <c r="E386" s="3" t="s">
        <v>15</v>
      </c>
      <c r="F386" s="3" t="s">
        <v>36</v>
      </c>
      <c r="G386" s="0" t="n">
        <v>387</v>
      </c>
      <c r="H386" s="0" t="n">
        <v>0</v>
      </c>
      <c r="I386" s="0" t="n">
        <v>30</v>
      </c>
      <c r="J386" s="0" t="n">
        <v>38</v>
      </c>
      <c r="K386" s="0" t="n">
        <v>4</v>
      </c>
      <c r="L386" s="3" t="s">
        <v>17</v>
      </c>
    </row>
    <row r="387" customFormat="false" ht="15" hidden="false" customHeight="false" outlineLevel="0" collapsed="false">
      <c r="A387" s="0" t="s">
        <v>471</v>
      </c>
      <c r="B387" s="2" t="n">
        <v>46003</v>
      </c>
      <c r="C387" s="3" t="s">
        <v>13</v>
      </c>
      <c r="D387" s="3" t="s">
        <v>14</v>
      </c>
      <c r="E387" s="3" t="s">
        <v>21</v>
      </c>
      <c r="F387" s="3" t="s">
        <v>54</v>
      </c>
      <c r="G387" s="0" t="n">
        <v>258</v>
      </c>
      <c r="H387" s="0" t="n">
        <v>46</v>
      </c>
      <c r="I387" s="0" t="n">
        <v>40</v>
      </c>
      <c r="J387" s="0" t="n">
        <v>34</v>
      </c>
      <c r="K387" s="0" t="n">
        <v>5</v>
      </c>
      <c r="L387" s="3" t="s">
        <v>17</v>
      </c>
    </row>
    <row r="388" customFormat="false" ht="15" hidden="false" customHeight="false" outlineLevel="0" collapsed="false">
      <c r="A388" s="0" t="s">
        <v>472</v>
      </c>
      <c r="B388" s="2" t="n">
        <v>45953</v>
      </c>
      <c r="C388" s="3" t="s">
        <v>27</v>
      </c>
      <c r="D388" s="3" t="s">
        <v>49</v>
      </c>
      <c r="E388" s="3" t="s">
        <v>21</v>
      </c>
      <c r="F388" s="3" t="s">
        <v>34</v>
      </c>
      <c r="G388" s="0" t="n">
        <v>547</v>
      </c>
      <c r="H388" s="0" t="n">
        <v>0</v>
      </c>
      <c r="I388" s="0" t="n">
        <v>0</v>
      </c>
      <c r="L388" s="3" t="s">
        <v>68</v>
      </c>
    </row>
    <row r="389" customFormat="false" ht="15" hidden="false" customHeight="false" outlineLevel="0" collapsed="false">
      <c r="A389" s="0" t="s">
        <v>473</v>
      </c>
      <c r="B389" s="2" t="n">
        <v>45850</v>
      </c>
      <c r="C389" s="3" t="s">
        <v>13</v>
      </c>
      <c r="D389" s="3" t="s">
        <v>20</v>
      </c>
      <c r="E389" s="3" t="s">
        <v>15</v>
      </c>
      <c r="F389" s="3" t="s">
        <v>36</v>
      </c>
      <c r="G389" s="0" t="n">
        <v>675</v>
      </c>
      <c r="H389" s="0" t="n">
        <v>0</v>
      </c>
      <c r="I389" s="0" t="n">
        <v>0</v>
      </c>
      <c r="J389" s="0" t="n">
        <v>32</v>
      </c>
      <c r="K389" s="0" t="n">
        <v>4.2</v>
      </c>
      <c r="L389" s="3" t="s">
        <v>17</v>
      </c>
    </row>
    <row r="390" customFormat="false" ht="15" hidden="false" customHeight="false" outlineLevel="0" collapsed="false">
      <c r="A390" s="0" t="s">
        <v>474</v>
      </c>
      <c r="B390" s="2" t="n">
        <v>45812</v>
      </c>
      <c r="C390" s="3" t="s">
        <v>24</v>
      </c>
      <c r="D390" s="3" t="s">
        <v>25</v>
      </c>
      <c r="E390" s="3" t="s">
        <v>21</v>
      </c>
      <c r="F390" s="3" t="s">
        <v>22</v>
      </c>
      <c r="G390" s="0" t="n">
        <v>389</v>
      </c>
      <c r="H390" s="0" t="n">
        <v>0</v>
      </c>
      <c r="I390" s="0" t="n">
        <v>20</v>
      </c>
      <c r="J390" s="0" t="n">
        <v>35</v>
      </c>
      <c r="K390" s="0" t="n">
        <v>4.7</v>
      </c>
      <c r="L390" s="3" t="s">
        <v>17</v>
      </c>
    </row>
    <row r="391" customFormat="false" ht="15" hidden="false" customHeight="false" outlineLevel="0" collapsed="false">
      <c r="A391" s="0" t="s">
        <v>475</v>
      </c>
      <c r="B391" s="0" t="s">
        <v>476</v>
      </c>
      <c r="C391" s="0" t="s">
        <v>24</v>
      </c>
      <c r="D391" s="0" t="s">
        <v>28</v>
      </c>
      <c r="E391" s="0" t="s">
        <v>21</v>
      </c>
      <c r="F391" s="0" t="s">
        <v>54</v>
      </c>
      <c r="G391" s="0" t="n">
        <v>516</v>
      </c>
      <c r="H391" s="0" t="n">
        <v>91</v>
      </c>
      <c r="I391" s="0" t="n">
        <v>0</v>
      </c>
      <c r="J391" s="0" t="n">
        <v>43</v>
      </c>
      <c r="K391" s="0" t="n">
        <v>3.7</v>
      </c>
      <c r="L391" s="0" t="s">
        <v>17</v>
      </c>
    </row>
    <row r="392" customFormat="false" ht="15" hidden="false" customHeight="false" outlineLevel="0" collapsed="false">
      <c r="A392" s="0" t="s">
        <v>477</v>
      </c>
      <c r="B392" s="2" t="n">
        <v>45932</v>
      </c>
      <c r="C392" s="3" t="s">
        <v>40</v>
      </c>
      <c r="D392" s="3" t="s">
        <v>20</v>
      </c>
      <c r="E392" s="3" t="s">
        <v>15</v>
      </c>
      <c r="F392" s="3" t="s">
        <v>22</v>
      </c>
      <c r="G392" s="0" t="n">
        <v>830</v>
      </c>
      <c r="H392" s="0" t="n">
        <v>0</v>
      </c>
      <c r="I392" s="0" t="n">
        <v>0</v>
      </c>
      <c r="J392" s="0" t="n">
        <v>40</v>
      </c>
      <c r="K392" s="0" t="n">
        <v>4</v>
      </c>
      <c r="L392" s="3" t="s">
        <v>17</v>
      </c>
    </row>
    <row r="393" customFormat="false" ht="15" hidden="false" customHeight="false" outlineLevel="0" collapsed="false">
      <c r="A393" s="0" t="s">
        <v>478</v>
      </c>
      <c r="B393" s="0" t="s">
        <v>479</v>
      </c>
      <c r="C393" s="0" t="s">
        <v>40</v>
      </c>
      <c r="D393" s="0" t="s">
        <v>49</v>
      </c>
      <c r="E393" s="0" t="s">
        <v>21</v>
      </c>
      <c r="F393" s="0" t="s">
        <v>22</v>
      </c>
      <c r="G393" s="0" t="n">
        <v>523</v>
      </c>
      <c r="H393" s="0" t="n">
        <v>0</v>
      </c>
      <c r="I393" s="0" t="n">
        <v>0</v>
      </c>
      <c r="L393" s="0" t="s">
        <v>68</v>
      </c>
    </row>
    <row r="394" customFormat="false" ht="15" hidden="false" customHeight="false" outlineLevel="0" collapsed="false">
      <c r="A394" s="0" t="s">
        <v>480</v>
      </c>
      <c r="B394" s="2" t="n">
        <v>45709</v>
      </c>
      <c r="C394" s="3" t="s">
        <v>45</v>
      </c>
      <c r="D394" s="3" t="s">
        <v>56</v>
      </c>
      <c r="E394" s="3" t="s">
        <v>21</v>
      </c>
      <c r="F394" s="3" t="s">
        <v>54</v>
      </c>
      <c r="G394" s="0" t="n">
        <v>307</v>
      </c>
      <c r="H394" s="0" t="n">
        <v>0</v>
      </c>
      <c r="I394" s="0" t="n">
        <v>30</v>
      </c>
      <c r="J394" s="0" t="n">
        <v>31</v>
      </c>
      <c r="K394" s="0" t="n">
        <v>5</v>
      </c>
      <c r="L394" s="3" t="s">
        <v>17</v>
      </c>
    </row>
    <row r="395" customFormat="false" ht="15" hidden="false" customHeight="false" outlineLevel="0" collapsed="false">
      <c r="A395" s="0" t="s">
        <v>481</v>
      </c>
      <c r="B395" s="2" t="n">
        <v>45976</v>
      </c>
      <c r="C395" s="3" t="s">
        <v>27</v>
      </c>
      <c r="D395" s="3" t="s">
        <v>25</v>
      </c>
      <c r="E395" s="3" t="s">
        <v>21</v>
      </c>
      <c r="F395" s="3" t="s">
        <v>22</v>
      </c>
      <c r="G395" s="0" t="n">
        <v>342</v>
      </c>
      <c r="H395" s="0" t="n">
        <v>84</v>
      </c>
      <c r="I395" s="0" t="n">
        <v>40</v>
      </c>
      <c r="J395" s="0" t="n">
        <v>55</v>
      </c>
      <c r="K395" s="0" t="n">
        <v>3.1</v>
      </c>
      <c r="L395" s="3" t="s">
        <v>17</v>
      </c>
    </row>
    <row r="396" customFormat="false" ht="15" hidden="false" customHeight="false" outlineLevel="0" collapsed="false">
      <c r="A396" s="0" t="s">
        <v>482</v>
      </c>
      <c r="B396" s="0" t="s">
        <v>483</v>
      </c>
      <c r="C396" s="0" t="s">
        <v>24</v>
      </c>
      <c r="D396" s="0" t="s">
        <v>31</v>
      </c>
      <c r="E396" s="0" t="s">
        <v>15</v>
      </c>
      <c r="F396" s="0" t="s">
        <v>22</v>
      </c>
      <c r="G396" s="0" t="n">
        <v>672</v>
      </c>
      <c r="H396" s="0" t="n">
        <v>141</v>
      </c>
      <c r="I396" s="0" t="n">
        <v>0</v>
      </c>
      <c r="J396" s="0" t="n">
        <v>37</v>
      </c>
      <c r="K396" s="0" t="n">
        <v>3.5</v>
      </c>
      <c r="L396" s="0" t="s">
        <v>17</v>
      </c>
    </row>
    <row r="397" customFormat="false" ht="15" hidden="false" customHeight="false" outlineLevel="0" collapsed="false">
      <c r="A397" s="0" t="s">
        <v>484</v>
      </c>
      <c r="B397" s="2" t="n">
        <v>45711</v>
      </c>
      <c r="C397" s="3" t="s">
        <v>13</v>
      </c>
      <c r="D397" s="3" t="s">
        <v>28</v>
      </c>
      <c r="E397" s="3" t="s">
        <v>15</v>
      </c>
      <c r="F397" s="3" t="s">
        <v>34</v>
      </c>
      <c r="G397" s="0" t="n">
        <v>419</v>
      </c>
      <c r="H397" s="0" t="n">
        <v>0</v>
      </c>
      <c r="I397" s="0" t="n">
        <v>30</v>
      </c>
      <c r="J397" s="0" t="n">
        <v>29</v>
      </c>
      <c r="K397" s="0" t="n">
        <v>4</v>
      </c>
      <c r="L397" s="3" t="s">
        <v>17</v>
      </c>
    </row>
    <row r="398" customFormat="false" ht="15" hidden="false" customHeight="false" outlineLevel="0" collapsed="false">
      <c r="A398" s="0" t="s">
        <v>485</v>
      </c>
      <c r="B398" s="2" t="n">
        <v>45888</v>
      </c>
      <c r="C398" s="3" t="s">
        <v>355</v>
      </c>
      <c r="D398" s="3" t="s">
        <v>78</v>
      </c>
      <c r="E398" s="3" t="s">
        <v>21</v>
      </c>
      <c r="F398" s="3" t="s">
        <v>22</v>
      </c>
      <c r="G398" s="0" t="n">
        <v>293</v>
      </c>
      <c r="H398" s="0" t="n">
        <v>0</v>
      </c>
      <c r="I398" s="0" t="n">
        <v>30</v>
      </c>
      <c r="J398" s="0" t="n">
        <v>29</v>
      </c>
      <c r="K398" s="0" t="n">
        <v>3.7</v>
      </c>
      <c r="L398" s="3" t="s">
        <v>17</v>
      </c>
    </row>
    <row r="399" customFormat="false" ht="15" hidden="false" customHeight="false" outlineLevel="0" collapsed="false">
      <c r="A399" s="0" t="s">
        <v>486</v>
      </c>
      <c r="B399" s="2" t="n">
        <v>45921</v>
      </c>
      <c r="C399" s="3" t="s">
        <v>40</v>
      </c>
      <c r="D399" s="3" t="s">
        <v>31</v>
      </c>
      <c r="E399" s="3" t="s">
        <v>15</v>
      </c>
      <c r="F399" s="3" t="s">
        <v>22</v>
      </c>
      <c r="G399" s="0" t="n">
        <v>401</v>
      </c>
      <c r="H399" s="0" t="n">
        <v>77</v>
      </c>
      <c r="I399" s="0" t="n">
        <v>30</v>
      </c>
      <c r="J399" s="0" t="n">
        <v>28</v>
      </c>
      <c r="K399" s="0" t="n">
        <v>3.7</v>
      </c>
      <c r="L399" s="3" t="s">
        <v>17</v>
      </c>
    </row>
    <row r="400" customFormat="false" ht="15" hidden="false" customHeight="false" outlineLevel="0" collapsed="false">
      <c r="A400" s="0" t="s">
        <v>487</v>
      </c>
      <c r="B400" s="2" t="n">
        <v>45663</v>
      </c>
      <c r="C400" s="3" t="s">
        <v>24</v>
      </c>
      <c r="D400" s="3" t="s">
        <v>28</v>
      </c>
      <c r="E400" s="3" t="s">
        <v>21</v>
      </c>
      <c r="F400" s="3" t="s">
        <v>34</v>
      </c>
      <c r="G400" s="0" t="n">
        <v>270</v>
      </c>
      <c r="H400" s="0" t="n">
        <v>0</v>
      </c>
      <c r="I400" s="0" t="n">
        <v>45</v>
      </c>
      <c r="J400" s="0" t="n">
        <v>33</v>
      </c>
      <c r="K400" s="0" t="n">
        <v>3.8</v>
      </c>
      <c r="L400" s="3" t="s">
        <v>17</v>
      </c>
    </row>
    <row r="401" customFormat="false" ht="15" hidden="false" customHeight="false" outlineLevel="0" collapsed="false">
      <c r="A401" s="0" t="s">
        <v>488</v>
      </c>
      <c r="B401" s="2" t="n">
        <v>45841</v>
      </c>
      <c r="C401" s="3" t="s">
        <v>292</v>
      </c>
      <c r="D401" s="3" t="s">
        <v>49</v>
      </c>
      <c r="E401" s="3" t="s">
        <v>21</v>
      </c>
      <c r="F401" s="3" t="s">
        <v>36</v>
      </c>
      <c r="G401" s="0" t="n">
        <v>649</v>
      </c>
      <c r="H401" s="0" t="n">
        <v>0</v>
      </c>
      <c r="I401" s="0" t="n">
        <v>0</v>
      </c>
      <c r="J401" s="0" t="n">
        <v>37</v>
      </c>
      <c r="K401" s="0" t="n">
        <v>4.8</v>
      </c>
      <c r="L401" s="3" t="s">
        <v>17</v>
      </c>
    </row>
    <row r="402" customFormat="false" ht="15" hidden="false" customHeight="false" outlineLevel="0" collapsed="false">
      <c r="A402" s="0" t="s">
        <v>489</v>
      </c>
      <c r="B402" s="2" t="n">
        <v>45968</v>
      </c>
      <c r="C402" s="3" t="s">
        <v>13</v>
      </c>
      <c r="D402" s="3" t="s">
        <v>31</v>
      </c>
      <c r="E402" s="3" t="s">
        <v>15</v>
      </c>
      <c r="F402" s="3" t="s">
        <v>36</v>
      </c>
      <c r="G402" s="0" t="n">
        <v>308</v>
      </c>
      <c r="H402" s="0" t="n">
        <v>58</v>
      </c>
      <c r="I402" s="0" t="n">
        <v>20</v>
      </c>
      <c r="J402" s="0" t="n">
        <v>29</v>
      </c>
      <c r="K402" s="0" t="n">
        <v>4.3</v>
      </c>
      <c r="L402" s="3" t="s">
        <v>17</v>
      </c>
    </row>
    <row r="403" customFormat="false" ht="15" hidden="false" customHeight="false" outlineLevel="0" collapsed="false">
      <c r="A403" s="0" t="s">
        <v>490</v>
      </c>
      <c r="B403" s="2" t="n">
        <v>45781</v>
      </c>
      <c r="C403" s="3" t="s">
        <v>24</v>
      </c>
      <c r="D403" s="3" t="s">
        <v>31</v>
      </c>
      <c r="E403" s="3" t="s">
        <v>21</v>
      </c>
      <c r="F403" s="3" t="s">
        <v>22</v>
      </c>
      <c r="G403" s="0" t="n">
        <v>438</v>
      </c>
      <c r="H403" s="0" t="n">
        <v>67</v>
      </c>
      <c r="I403" s="0" t="n">
        <v>30</v>
      </c>
      <c r="J403" s="0" t="n">
        <v>38</v>
      </c>
      <c r="K403" s="0" t="n">
        <v>4.2</v>
      </c>
      <c r="L403" s="3" t="s">
        <v>17</v>
      </c>
    </row>
    <row r="404" customFormat="false" ht="15" hidden="false" customHeight="false" outlineLevel="0" collapsed="false">
      <c r="A404" s="0" t="s">
        <v>491</v>
      </c>
      <c r="B404" s="2" t="n">
        <v>45842</v>
      </c>
      <c r="C404" s="3" t="s">
        <v>40</v>
      </c>
      <c r="D404" s="3" t="s">
        <v>28</v>
      </c>
      <c r="E404" s="3" t="s">
        <v>21</v>
      </c>
      <c r="F404" s="3" t="s">
        <v>16</v>
      </c>
      <c r="G404" s="0" t="n">
        <v>395</v>
      </c>
      <c r="H404" s="0" t="n">
        <v>0</v>
      </c>
      <c r="I404" s="0" t="n">
        <v>30</v>
      </c>
      <c r="J404" s="0" t="n">
        <v>34</v>
      </c>
      <c r="K404" s="0" t="n">
        <v>3.8</v>
      </c>
      <c r="L404" s="3" t="s">
        <v>17</v>
      </c>
    </row>
    <row r="405" customFormat="false" ht="15" hidden="false" customHeight="false" outlineLevel="0" collapsed="false">
      <c r="A405" s="0" t="s">
        <v>492</v>
      </c>
      <c r="B405" s="2" t="n">
        <v>45836</v>
      </c>
      <c r="C405" s="3" t="s">
        <v>40</v>
      </c>
      <c r="D405" s="3" t="s">
        <v>20</v>
      </c>
      <c r="E405" s="3" t="s">
        <v>58</v>
      </c>
      <c r="F405" s="3" t="s">
        <v>36</v>
      </c>
      <c r="G405" s="0" t="n">
        <v>767</v>
      </c>
      <c r="H405" s="0" t="n">
        <v>0</v>
      </c>
      <c r="I405" s="0" t="n">
        <v>0</v>
      </c>
      <c r="J405" s="0" t="n">
        <v>32</v>
      </c>
      <c r="L405" s="3" t="s">
        <v>17</v>
      </c>
    </row>
    <row r="406" customFormat="false" ht="15" hidden="false" customHeight="false" outlineLevel="0" collapsed="false">
      <c r="A406" s="0" t="s">
        <v>493</v>
      </c>
      <c r="B406" s="0" t="s">
        <v>494</v>
      </c>
      <c r="C406" s="0" t="s">
        <v>27</v>
      </c>
      <c r="D406" s="0" t="s">
        <v>31</v>
      </c>
      <c r="E406" s="0" t="s">
        <v>21</v>
      </c>
      <c r="F406" s="0" t="s">
        <v>22</v>
      </c>
      <c r="G406" s="0" t="n">
        <v>437</v>
      </c>
      <c r="H406" s="0" t="n">
        <v>0</v>
      </c>
      <c r="I406" s="0" t="n">
        <v>45</v>
      </c>
      <c r="J406" s="0" t="n">
        <v>46</v>
      </c>
      <c r="K406" s="0" t="n">
        <v>4.9</v>
      </c>
      <c r="L406" s="0" t="s">
        <v>17</v>
      </c>
    </row>
    <row r="407" customFormat="false" ht="15" hidden="false" customHeight="false" outlineLevel="0" collapsed="false">
      <c r="A407" s="0" t="s">
        <v>495</v>
      </c>
      <c r="B407" s="2" t="n">
        <v>45997</v>
      </c>
      <c r="C407" s="3" t="s">
        <v>40</v>
      </c>
      <c r="D407" s="3" t="s">
        <v>14</v>
      </c>
      <c r="E407" s="3" t="s">
        <v>15</v>
      </c>
      <c r="F407" s="3" t="s">
        <v>22</v>
      </c>
      <c r="G407" s="0" t="n">
        <v>315</v>
      </c>
      <c r="H407" s="0" t="n">
        <v>0</v>
      </c>
      <c r="I407" s="0" t="n">
        <v>30</v>
      </c>
      <c r="J407" s="0" t="n">
        <v>48</v>
      </c>
      <c r="K407" s="0" t="n">
        <v>3.5</v>
      </c>
      <c r="L407" s="3" t="s">
        <v>17</v>
      </c>
    </row>
    <row r="408" customFormat="false" ht="15" hidden="false" customHeight="false" outlineLevel="0" collapsed="false">
      <c r="A408" s="0" t="s">
        <v>496</v>
      </c>
      <c r="B408" s="2" t="n">
        <v>45953</v>
      </c>
      <c r="C408" s="3" t="s">
        <v>45</v>
      </c>
      <c r="D408" s="3" t="s">
        <v>56</v>
      </c>
      <c r="E408" s="3" t="s">
        <v>99</v>
      </c>
      <c r="F408" s="3" t="s">
        <v>22</v>
      </c>
      <c r="G408" s="0" t="n">
        <v>373</v>
      </c>
      <c r="H408" s="0" t="n">
        <v>69</v>
      </c>
      <c r="I408" s="0" t="n">
        <v>30</v>
      </c>
      <c r="J408" s="0" t="n">
        <v>22</v>
      </c>
      <c r="K408" s="0" t="n">
        <v>5</v>
      </c>
      <c r="L408" s="3" t="s">
        <v>17</v>
      </c>
    </row>
    <row r="409" customFormat="false" ht="15" hidden="false" customHeight="false" outlineLevel="0" collapsed="false">
      <c r="A409" s="0" t="s">
        <v>497</v>
      </c>
      <c r="B409" s="2" t="n">
        <v>45706</v>
      </c>
      <c r="C409" s="3" t="s">
        <v>40</v>
      </c>
      <c r="D409" s="3" t="s">
        <v>49</v>
      </c>
      <c r="E409" s="3" t="s">
        <v>21</v>
      </c>
      <c r="F409" s="3" t="s">
        <v>16</v>
      </c>
      <c r="G409" s="0" t="n">
        <v>404</v>
      </c>
      <c r="H409" s="0" t="n">
        <v>0</v>
      </c>
      <c r="I409" s="0" t="n">
        <v>20</v>
      </c>
      <c r="J409" s="0" t="n">
        <v>40</v>
      </c>
      <c r="K409" s="0" t="n">
        <v>4.3</v>
      </c>
      <c r="L409" s="3" t="s">
        <v>17</v>
      </c>
    </row>
    <row r="410" customFormat="false" ht="15" hidden="false" customHeight="false" outlineLevel="0" collapsed="false">
      <c r="A410" s="0" t="s">
        <v>498</v>
      </c>
      <c r="B410" s="2" t="n">
        <v>46021</v>
      </c>
      <c r="C410" s="3" t="s">
        <v>27</v>
      </c>
      <c r="D410" s="3" t="s">
        <v>14</v>
      </c>
      <c r="E410" s="3" t="s">
        <v>21</v>
      </c>
      <c r="F410" s="3" t="s">
        <v>22</v>
      </c>
      <c r="G410" s="0" t="n">
        <v>344</v>
      </c>
      <c r="H410" s="0" t="n">
        <v>0</v>
      </c>
      <c r="I410" s="0" t="n">
        <v>40</v>
      </c>
      <c r="J410" s="0" t="n">
        <v>29</v>
      </c>
      <c r="K410" s="0" t="n">
        <v>4.4</v>
      </c>
      <c r="L410" s="3" t="s">
        <v>17</v>
      </c>
    </row>
    <row r="411" customFormat="false" ht="15" hidden="false" customHeight="false" outlineLevel="0" collapsed="false">
      <c r="A411" s="0" t="s">
        <v>499</v>
      </c>
      <c r="B411" s="2" t="n">
        <v>45984</v>
      </c>
      <c r="C411" s="3" t="s">
        <v>27</v>
      </c>
      <c r="D411" s="3" t="s">
        <v>14</v>
      </c>
      <c r="E411" s="3" t="s">
        <v>58</v>
      </c>
      <c r="F411" s="3" t="s">
        <v>36</v>
      </c>
      <c r="G411" s="0" t="n">
        <v>408</v>
      </c>
      <c r="H411" s="0" t="n">
        <v>0</v>
      </c>
      <c r="I411" s="0" t="n">
        <v>20</v>
      </c>
      <c r="J411" s="0" t="n">
        <v>32</v>
      </c>
      <c r="K411" s="0" t="n">
        <v>4.6</v>
      </c>
      <c r="L411" s="3" t="s">
        <v>17</v>
      </c>
    </row>
    <row r="412" customFormat="false" ht="15" hidden="false" customHeight="false" outlineLevel="0" collapsed="false">
      <c r="A412" s="0" t="s">
        <v>500</v>
      </c>
      <c r="B412" s="2" t="n">
        <v>45776</v>
      </c>
      <c r="C412" s="3" t="s">
        <v>27</v>
      </c>
      <c r="D412" s="3" t="s">
        <v>56</v>
      </c>
      <c r="E412" s="3" t="s">
        <v>21</v>
      </c>
      <c r="F412" s="3" t="s">
        <v>54</v>
      </c>
      <c r="G412" s="0" t="n">
        <v>385</v>
      </c>
      <c r="H412" s="0" t="n">
        <v>0</v>
      </c>
      <c r="I412" s="0" t="n">
        <v>45</v>
      </c>
      <c r="J412" s="0" t="n">
        <v>38</v>
      </c>
      <c r="K412" s="0" t="n">
        <v>4.4</v>
      </c>
      <c r="L412" s="3" t="s">
        <v>17</v>
      </c>
    </row>
    <row r="413" customFormat="false" ht="15" hidden="false" customHeight="false" outlineLevel="0" collapsed="false">
      <c r="A413" s="0" t="s">
        <v>501</v>
      </c>
      <c r="B413" s="2" t="n">
        <v>45971</v>
      </c>
      <c r="C413" s="3" t="s">
        <v>40</v>
      </c>
      <c r="D413" s="3" t="s">
        <v>25</v>
      </c>
      <c r="E413" s="3" t="s">
        <v>15</v>
      </c>
      <c r="F413" s="3" t="s">
        <v>22</v>
      </c>
      <c r="G413" s="0" t="n">
        <v>340</v>
      </c>
      <c r="H413" s="0" t="n">
        <v>0</v>
      </c>
      <c r="I413" s="0" t="n">
        <v>40</v>
      </c>
      <c r="J413" s="0" t="n">
        <v>46</v>
      </c>
      <c r="K413" s="0" t="n">
        <v>4.9</v>
      </c>
      <c r="L413" s="3" t="s">
        <v>17</v>
      </c>
    </row>
    <row r="414" customFormat="false" ht="15" hidden="false" customHeight="false" outlineLevel="0" collapsed="false">
      <c r="A414" s="0" t="s">
        <v>502</v>
      </c>
      <c r="B414" s="2" t="n">
        <v>45704</v>
      </c>
      <c r="C414" s="3" t="s">
        <v>30</v>
      </c>
      <c r="D414" s="3" t="s">
        <v>56</v>
      </c>
      <c r="E414" s="3" t="s">
        <v>21</v>
      </c>
      <c r="F414" s="3" t="s">
        <v>34</v>
      </c>
      <c r="G414" s="0" t="n">
        <v>423</v>
      </c>
      <c r="H414" s="0" t="n">
        <v>0</v>
      </c>
      <c r="I414" s="0" t="n">
        <v>20</v>
      </c>
      <c r="J414" s="0" t="n">
        <v>26</v>
      </c>
      <c r="K414" s="0" t="n">
        <v>4.8</v>
      </c>
      <c r="L414" s="3" t="s">
        <v>17</v>
      </c>
    </row>
    <row r="415" customFormat="false" ht="15" hidden="false" customHeight="false" outlineLevel="0" collapsed="false">
      <c r="A415" s="0" t="s">
        <v>503</v>
      </c>
      <c r="B415" s="2" t="n">
        <v>46022</v>
      </c>
      <c r="C415" s="3" t="s">
        <v>307</v>
      </c>
      <c r="D415" s="3" t="s">
        <v>31</v>
      </c>
      <c r="E415" s="3" t="s">
        <v>15</v>
      </c>
      <c r="F415" s="3" t="s">
        <v>22</v>
      </c>
      <c r="G415" s="0" t="n">
        <v>414</v>
      </c>
      <c r="H415" s="0" t="n">
        <v>0</v>
      </c>
      <c r="I415" s="0" t="n">
        <v>45</v>
      </c>
      <c r="J415" s="0" t="n">
        <v>24</v>
      </c>
      <c r="K415" s="0" t="n">
        <v>4.8</v>
      </c>
      <c r="L415" s="3" t="s">
        <v>17</v>
      </c>
    </row>
    <row r="416" customFormat="false" ht="15" hidden="false" customHeight="false" outlineLevel="0" collapsed="false">
      <c r="A416" s="0" t="s">
        <v>504</v>
      </c>
      <c r="B416" s="2" t="n">
        <v>45914</v>
      </c>
      <c r="C416" s="3" t="s">
        <v>40</v>
      </c>
      <c r="D416" s="3" t="s">
        <v>20</v>
      </c>
      <c r="E416" s="3" t="s">
        <v>15</v>
      </c>
      <c r="F416" s="3" t="s">
        <v>22</v>
      </c>
      <c r="G416" s="0" t="n">
        <v>730</v>
      </c>
      <c r="H416" s="0" t="n">
        <v>158</v>
      </c>
      <c r="I416" s="0" t="n">
        <v>0</v>
      </c>
      <c r="J416" s="0" t="n">
        <v>38</v>
      </c>
      <c r="K416" s="0" t="n">
        <v>4</v>
      </c>
      <c r="L416" s="3" t="s">
        <v>17</v>
      </c>
    </row>
    <row r="417" customFormat="false" ht="15" hidden="false" customHeight="false" outlineLevel="0" collapsed="false">
      <c r="A417" s="0" t="s">
        <v>505</v>
      </c>
      <c r="B417" s="2" t="n">
        <v>45909</v>
      </c>
      <c r="C417" s="3" t="s">
        <v>40</v>
      </c>
      <c r="D417" s="3" t="s">
        <v>31</v>
      </c>
      <c r="E417" s="3" t="s">
        <v>58</v>
      </c>
      <c r="F417" s="3" t="s">
        <v>36</v>
      </c>
      <c r="G417" s="0" t="n">
        <v>439</v>
      </c>
      <c r="H417" s="0" t="n">
        <v>0</v>
      </c>
      <c r="I417" s="0" t="n">
        <v>30</v>
      </c>
      <c r="J417" s="0" t="n">
        <v>38</v>
      </c>
      <c r="K417" s="0" t="n">
        <v>4.6</v>
      </c>
      <c r="L417" s="3" t="s">
        <v>17</v>
      </c>
    </row>
    <row r="418" customFormat="false" ht="15" hidden="false" customHeight="false" outlineLevel="0" collapsed="false">
      <c r="A418" s="0" t="s">
        <v>506</v>
      </c>
      <c r="B418" s="2" t="n">
        <v>45697</v>
      </c>
      <c r="C418" s="3" t="s">
        <v>45</v>
      </c>
      <c r="D418" s="3" t="s">
        <v>56</v>
      </c>
      <c r="E418" s="3" t="s">
        <v>21</v>
      </c>
      <c r="F418" s="3" t="s">
        <v>16</v>
      </c>
      <c r="G418" s="0" t="n">
        <v>299</v>
      </c>
      <c r="H418" s="0" t="n">
        <v>0</v>
      </c>
      <c r="I418" s="0" t="n">
        <v>20</v>
      </c>
      <c r="J418" s="0" t="n">
        <v>25</v>
      </c>
      <c r="K418" s="0" t="n">
        <v>4</v>
      </c>
      <c r="L418" s="3" t="s">
        <v>17</v>
      </c>
    </row>
    <row r="419" customFormat="false" ht="15" hidden="false" customHeight="false" outlineLevel="0" collapsed="false">
      <c r="A419" s="0" t="s">
        <v>507</v>
      </c>
      <c r="B419" s="2" t="n">
        <v>45990</v>
      </c>
      <c r="C419" s="3" t="s">
        <v>27</v>
      </c>
      <c r="D419" s="3" t="s">
        <v>31</v>
      </c>
      <c r="E419" s="3" t="s">
        <v>21</v>
      </c>
      <c r="F419" s="3" t="s">
        <v>54</v>
      </c>
      <c r="G419" s="0" t="n">
        <v>493</v>
      </c>
      <c r="H419" s="0" t="n">
        <v>0</v>
      </c>
      <c r="I419" s="0" t="n">
        <v>30</v>
      </c>
      <c r="J419" s="0" t="n">
        <v>56</v>
      </c>
      <c r="K419" s="0" t="n">
        <v>3.8</v>
      </c>
      <c r="L419" s="3" t="s">
        <v>17</v>
      </c>
    </row>
    <row r="420" customFormat="false" ht="15" hidden="false" customHeight="false" outlineLevel="0" collapsed="false">
      <c r="A420" s="0" t="s">
        <v>508</v>
      </c>
      <c r="B420" s="2" t="n">
        <v>45670</v>
      </c>
      <c r="C420" s="3" t="s">
        <v>40</v>
      </c>
      <c r="D420" s="3" t="s">
        <v>25</v>
      </c>
      <c r="E420" s="3" t="s">
        <v>15</v>
      </c>
      <c r="F420" s="3" t="s">
        <v>16</v>
      </c>
      <c r="G420" s="0" t="n">
        <v>551</v>
      </c>
      <c r="H420" s="0" t="n">
        <v>115</v>
      </c>
      <c r="I420" s="0" t="n">
        <v>0</v>
      </c>
      <c r="J420" s="0" t="n">
        <v>36</v>
      </c>
      <c r="K420" s="0" t="n">
        <v>5</v>
      </c>
      <c r="L420" s="3" t="s">
        <v>17</v>
      </c>
    </row>
    <row r="421" customFormat="false" ht="15" hidden="false" customHeight="false" outlineLevel="0" collapsed="false">
      <c r="A421" s="0" t="s">
        <v>509</v>
      </c>
      <c r="B421" s="2" t="n">
        <v>45759</v>
      </c>
      <c r="C421" s="3" t="s">
        <v>24</v>
      </c>
      <c r="D421" s="3" t="s">
        <v>25</v>
      </c>
      <c r="E421" s="3" t="s">
        <v>21</v>
      </c>
      <c r="F421" s="3" t="s">
        <v>22</v>
      </c>
      <c r="G421" s="0" t="n">
        <v>402</v>
      </c>
      <c r="H421" s="0" t="n">
        <v>0</v>
      </c>
      <c r="I421" s="0" t="n">
        <v>30</v>
      </c>
      <c r="J421" s="0" t="n">
        <v>37</v>
      </c>
      <c r="K421" s="0" t="n">
        <v>3</v>
      </c>
      <c r="L421" s="3" t="s">
        <v>17</v>
      </c>
    </row>
    <row r="422" customFormat="false" ht="15" hidden="false" customHeight="false" outlineLevel="0" collapsed="false">
      <c r="A422" s="0" t="s">
        <v>510</v>
      </c>
      <c r="B422" s="2" t="n">
        <v>45719</v>
      </c>
      <c r="C422" s="3" t="s">
        <v>13</v>
      </c>
      <c r="D422" s="3" t="s">
        <v>20</v>
      </c>
      <c r="E422" s="3" t="s">
        <v>21</v>
      </c>
      <c r="F422" s="3" t="s">
        <v>16</v>
      </c>
      <c r="G422" s="0" t="n">
        <v>732</v>
      </c>
      <c r="H422" s="0" t="n">
        <v>0</v>
      </c>
      <c r="I422" s="0" t="n">
        <v>0</v>
      </c>
      <c r="J422" s="0" t="n">
        <v>30</v>
      </c>
      <c r="K422" s="0" t="n">
        <v>4.5</v>
      </c>
      <c r="L422" s="3" t="s">
        <v>17</v>
      </c>
    </row>
    <row r="423" customFormat="false" ht="15" hidden="false" customHeight="false" outlineLevel="0" collapsed="false">
      <c r="A423" s="0" t="s">
        <v>511</v>
      </c>
      <c r="B423" s="2" t="n">
        <v>45952</v>
      </c>
      <c r="C423" s="3" t="s">
        <v>13</v>
      </c>
      <c r="D423" s="3" t="s">
        <v>28</v>
      </c>
      <c r="E423" s="3" t="s">
        <v>21</v>
      </c>
      <c r="F423" s="3" t="s">
        <v>22</v>
      </c>
      <c r="G423" s="0" t="n">
        <v>365</v>
      </c>
      <c r="H423" s="0" t="n">
        <v>0</v>
      </c>
      <c r="I423" s="0" t="n">
        <v>45</v>
      </c>
      <c r="J423" s="0" t="n">
        <v>36</v>
      </c>
      <c r="K423" s="0" t="n">
        <v>4.4</v>
      </c>
      <c r="L423" s="3" t="s">
        <v>17</v>
      </c>
    </row>
    <row r="424" customFormat="false" ht="15" hidden="false" customHeight="false" outlineLevel="0" collapsed="false">
      <c r="A424" s="0" t="s">
        <v>512</v>
      </c>
      <c r="B424" s="2" t="n">
        <v>45742</v>
      </c>
      <c r="C424" s="3" t="s">
        <v>27</v>
      </c>
      <c r="D424" s="3" t="s">
        <v>31</v>
      </c>
      <c r="E424" s="3" t="s">
        <v>21</v>
      </c>
      <c r="F424" s="3" t="s">
        <v>54</v>
      </c>
      <c r="G424" s="0" t="n">
        <v>514</v>
      </c>
      <c r="H424" s="0" t="n">
        <v>0</v>
      </c>
      <c r="I424" s="0" t="n">
        <v>0</v>
      </c>
      <c r="J424" s="0" t="n">
        <v>51</v>
      </c>
      <c r="K424" s="0" t="n">
        <v>3.8</v>
      </c>
      <c r="L424" s="3" t="s">
        <v>17</v>
      </c>
    </row>
    <row r="425" customFormat="false" ht="15" hidden="false" customHeight="false" outlineLevel="0" collapsed="false">
      <c r="A425" s="0" t="s">
        <v>513</v>
      </c>
      <c r="B425" s="2" t="n">
        <v>45995</v>
      </c>
      <c r="C425" s="3" t="s">
        <v>51</v>
      </c>
      <c r="D425" s="3" t="s">
        <v>14</v>
      </c>
      <c r="E425" s="3" t="s">
        <v>21</v>
      </c>
      <c r="F425" s="3" t="s">
        <v>36</v>
      </c>
      <c r="G425" s="0" t="n">
        <v>338</v>
      </c>
      <c r="H425" s="0" t="n">
        <v>68</v>
      </c>
      <c r="I425" s="0" t="n">
        <v>45</v>
      </c>
      <c r="J425" s="0" t="n">
        <v>47</v>
      </c>
      <c r="K425" s="0" t="n">
        <v>3.9</v>
      </c>
      <c r="L425" s="3" t="s">
        <v>17</v>
      </c>
    </row>
    <row r="426" customFormat="false" ht="15" hidden="false" customHeight="false" outlineLevel="0" collapsed="false">
      <c r="A426" s="0" t="s">
        <v>514</v>
      </c>
      <c r="B426" s="2" t="n">
        <v>45912</v>
      </c>
      <c r="C426" s="3" t="s">
        <v>27</v>
      </c>
      <c r="D426" s="3" t="s">
        <v>14</v>
      </c>
      <c r="E426" s="3" t="s">
        <v>21</v>
      </c>
      <c r="F426" s="3" t="s">
        <v>22</v>
      </c>
      <c r="G426" s="0" t="n">
        <v>417</v>
      </c>
      <c r="H426" s="0" t="n">
        <v>0</v>
      </c>
      <c r="I426" s="0" t="n">
        <v>20</v>
      </c>
      <c r="J426" s="0" t="n">
        <v>37</v>
      </c>
      <c r="K426" s="0" t="n">
        <v>4.3</v>
      </c>
      <c r="L426" s="3" t="s">
        <v>17</v>
      </c>
    </row>
    <row r="427" customFormat="false" ht="15" hidden="false" customHeight="false" outlineLevel="0" collapsed="false">
      <c r="A427" s="0" t="s">
        <v>515</v>
      </c>
      <c r="B427" s="2" t="n">
        <v>45674</v>
      </c>
      <c r="C427" s="3" t="s">
        <v>24</v>
      </c>
      <c r="D427" s="3" t="s">
        <v>25</v>
      </c>
      <c r="E427" s="3" t="s">
        <v>15</v>
      </c>
      <c r="F427" s="3" t="s">
        <v>16</v>
      </c>
      <c r="G427" s="0" t="n">
        <v>614</v>
      </c>
      <c r="H427" s="0" t="n">
        <v>120</v>
      </c>
      <c r="I427" s="0" t="n">
        <v>0</v>
      </c>
      <c r="J427" s="0" t="n">
        <v>44</v>
      </c>
      <c r="K427" s="0" t="n">
        <v>3.9</v>
      </c>
      <c r="L427" s="3" t="s">
        <v>17</v>
      </c>
    </row>
    <row r="428" customFormat="false" ht="15" hidden="false" customHeight="false" outlineLevel="0" collapsed="false">
      <c r="A428" s="0" t="s">
        <v>516</v>
      </c>
      <c r="B428" s="2" t="n">
        <v>45660</v>
      </c>
      <c r="C428" s="3" t="s">
        <v>27</v>
      </c>
      <c r="D428" s="3" t="s">
        <v>20</v>
      </c>
      <c r="E428" s="3" t="s">
        <v>15</v>
      </c>
      <c r="F428" s="3" t="s">
        <v>34</v>
      </c>
      <c r="G428" s="0" t="n">
        <v>805</v>
      </c>
      <c r="H428" s="0" t="n">
        <v>0</v>
      </c>
      <c r="I428" s="0" t="n">
        <v>0</v>
      </c>
      <c r="L428" s="3" t="s">
        <v>68</v>
      </c>
    </row>
    <row r="429" customFormat="false" ht="15" hidden="false" customHeight="false" outlineLevel="0" collapsed="false">
      <c r="A429" s="0" t="s">
        <v>517</v>
      </c>
      <c r="B429" s="0" t="s">
        <v>518</v>
      </c>
      <c r="C429" s="0" t="s">
        <v>24</v>
      </c>
      <c r="D429" s="0" t="s">
        <v>56</v>
      </c>
      <c r="E429" s="0" t="s">
        <v>21</v>
      </c>
      <c r="F429" s="0" t="s">
        <v>36</v>
      </c>
      <c r="G429" s="0" t="n">
        <v>304</v>
      </c>
      <c r="H429" s="0" t="n">
        <v>66</v>
      </c>
      <c r="I429" s="0" t="n">
        <v>40</v>
      </c>
      <c r="J429" s="0" t="n">
        <v>43</v>
      </c>
      <c r="K429" s="0" t="n">
        <v>3.8</v>
      </c>
      <c r="L429" s="0" t="s">
        <v>17</v>
      </c>
    </row>
    <row r="430" customFormat="false" ht="15" hidden="false" customHeight="false" outlineLevel="0" collapsed="false">
      <c r="A430" s="0" t="s">
        <v>519</v>
      </c>
      <c r="B430" s="2" t="n">
        <v>45894</v>
      </c>
      <c r="C430" s="3" t="s">
        <v>127</v>
      </c>
      <c r="D430" s="3" t="s">
        <v>31</v>
      </c>
      <c r="E430" s="3" t="s">
        <v>21</v>
      </c>
      <c r="F430" s="3" t="s">
        <v>22</v>
      </c>
      <c r="G430" s="0" t="n">
        <v>468</v>
      </c>
      <c r="H430" s="0" t="n">
        <v>47</v>
      </c>
      <c r="I430" s="0" t="n">
        <v>20</v>
      </c>
      <c r="J430" s="0" t="n">
        <v>35</v>
      </c>
      <c r="K430" s="0" t="n">
        <v>5</v>
      </c>
      <c r="L430" s="3" t="s">
        <v>17</v>
      </c>
    </row>
    <row r="431" customFormat="false" ht="15" hidden="false" customHeight="false" outlineLevel="0" collapsed="false">
      <c r="A431" s="0" t="s">
        <v>520</v>
      </c>
      <c r="B431" s="2" t="n">
        <v>45960</v>
      </c>
      <c r="C431" s="3" t="s">
        <v>40</v>
      </c>
      <c r="D431" s="3" t="s">
        <v>56</v>
      </c>
      <c r="E431" s="3" t="s">
        <v>15</v>
      </c>
      <c r="F431" s="3" t="s">
        <v>22</v>
      </c>
      <c r="G431" s="0" t="n">
        <v>383</v>
      </c>
      <c r="H431" s="0" t="n">
        <v>0</v>
      </c>
      <c r="I431" s="0" t="n">
        <v>45</v>
      </c>
      <c r="J431" s="0" t="n">
        <v>37</v>
      </c>
      <c r="K431" s="0" t="n">
        <v>4.1</v>
      </c>
      <c r="L431" s="3" t="s">
        <v>17</v>
      </c>
    </row>
    <row r="432" customFormat="false" ht="15" hidden="false" customHeight="false" outlineLevel="0" collapsed="false">
      <c r="A432" s="0" t="s">
        <v>521</v>
      </c>
      <c r="B432" s="2" t="n">
        <v>45758</v>
      </c>
      <c r="C432" s="3" t="s">
        <v>24</v>
      </c>
      <c r="D432" s="3" t="s">
        <v>31</v>
      </c>
      <c r="E432" s="3" t="s">
        <v>15</v>
      </c>
      <c r="F432" s="3" t="s">
        <v>22</v>
      </c>
      <c r="G432" s="0" t="n">
        <v>396</v>
      </c>
      <c r="H432" s="0" t="n">
        <v>57</v>
      </c>
      <c r="I432" s="0" t="n">
        <v>20</v>
      </c>
      <c r="L432" s="3" t="s">
        <v>68</v>
      </c>
    </row>
    <row r="433" customFormat="false" ht="15" hidden="false" customHeight="false" outlineLevel="0" collapsed="false">
      <c r="A433" s="0" t="s">
        <v>522</v>
      </c>
      <c r="B433" s="2" t="n">
        <v>45975</v>
      </c>
      <c r="C433" s="3" t="s">
        <v>13</v>
      </c>
      <c r="D433" s="3" t="s">
        <v>14</v>
      </c>
      <c r="E433" s="3" t="s">
        <v>21</v>
      </c>
      <c r="F433" s="3" t="s">
        <v>22</v>
      </c>
      <c r="G433" s="0" t="n">
        <v>224</v>
      </c>
      <c r="H433" s="0" t="n">
        <v>0</v>
      </c>
      <c r="I433" s="0" t="n">
        <v>45</v>
      </c>
      <c r="J433" s="0" t="n">
        <v>40</v>
      </c>
      <c r="K433" s="0" t="n">
        <v>3.8</v>
      </c>
      <c r="L433" s="3" t="s">
        <v>17</v>
      </c>
    </row>
    <row r="434" customFormat="false" ht="15" hidden="false" customHeight="false" outlineLevel="0" collapsed="false">
      <c r="A434" s="0" t="s">
        <v>523</v>
      </c>
      <c r="B434" s="2" t="n">
        <v>45683</v>
      </c>
      <c r="C434" s="3" t="s">
        <v>40</v>
      </c>
      <c r="D434" s="3" t="s">
        <v>49</v>
      </c>
      <c r="E434" s="3" t="s">
        <v>21</v>
      </c>
      <c r="F434" s="3" t="s">
        <v>16</v>
      </c>
      <c r="G434" s="0" t="n">
        <v>491</v>
      </c>
      <c r="H434" s="0" t="n">
        <v>86</v>
      </c>
      <c r="I434" s="0" t="n">
        <v>45</v>
      </c>
      <c r="J434" s="0" t="n">
        <v>49</v>
      </c>
      <c r="K434" s="0" t="n">
        <v>4.4</v>
      </c>
      <c r="L434" s="3" t="s">
        <v>17</v>
      </c>
    </row>
    <row r="435" customFormat="false" ht="15" hidden="false" customHeight="false" outlineLevel="0" collapsed="false">
      <c r="A435" s="0" t="s">
        <v>524</v>
      </c>
      <c r="B435" s="2" t="n">
        <v>45960</v>
      </c>
      <c r="C435" s="3" t="s">
        <v>27</v>
      </c>
      <c r="D435" s="3" t="s">
        <v>14</v>
      </c>
      <c r="E435" s="3" t="s">
        <v>15</v>
      </c>
      <c r="F435" s="3" t="s">
        <v>22</v>
      </c>
      <c r="G435" s="0" t="n">
        <v>288</v>
      </c>
      <c r="H435" s="0" t="n">
        <v>0</v>
      </c>
      <c r="I435" s="0" t="n">
        <v>30</v>
      </c>
      <c r="J435" s="0" t="n">
        <v>43</v>
      </c>
      <c r="K435" s="0" t="n">
        <v>4.4</v>
      </c>
      <c r="L435" s="3" t="s">
        <v>17</v>
      </c>
    </row>
    <row r="436" customFormat="false" ht="15" hidden="false" customHeight="false" outlineLevel="0" collapsed="false">
      <c r="A436" s="0" t="s">
        <v>525</v>
      </c>
      <c r="B436" s="2" t="n">
        <v>46000</v>
      </c>
      <c r="C436" s="3" t="s">
        <v>13</v>
      </c>
      <c r="D436" s="3" t="s">
        <v>20</v>
      </c>
      <c r="E436" s="3" t="s">
        <v>21</v>
      </c>
      <c r="F436" s="3" t="s">
        <v>22</v>
      </c>
      <c r="G436" s="0" t="n">
        <v>712</v>
      </c>
      <c r="H436" s="0" t="n">
        <v>0</v>
      </c>
      <c r="I436" s="0" t="n">
        <v>0</v>
      </c>
      <c r="J436" s="0" t="n">
        <v>32</v>
      </c>
      <c r="K436" s="0" t="n">
        <v>4.6</v>
      </c>
      <c r="L436" s="3" t="s">
        <v>17</v>
      </c>
    </row>
    <row r="437" customFormat="false" ht="15" hidden="false" customHeight="false" outlineLevel="0" collapsed="false">
      <c r="A437" s="0" t="s">
        <v>526</v>
      </c>
      <c r="B437" s="2" t="n">
        <v>45950</v>
      </c>
      <c r="C437" s="3" t="s">
        <v>27</v>
      </c>
      <c r="D437" s="3" t="s">
        <v>20</v>
      </c>
      <c r="E437" s="3" t="s">
        <v>21</v>
      </c>
      <c r="F437" s="3" t="s">
        <v>16</v>
      </c>
      <c r="G437" s="0" t="n">
        <v>445</v>
      </c>
      <c r="H437" s="0" t="n">
        <v>0</v>
      </c>
      <c r="I437" s="0" t="n">
        <v>40</v>
      </c>
      <c r="J437" s="0" t="n">
        <v>25</v>
      </c>
      <c r="K437" s="0" t="n">
        <v>4</v>
      </c>
      <c r="L437" s="3" t="s">
        <v>17</v>
      </c>
    </row>
    <row r="438" customFormat="false" ht="15" hidden="false" customHeight="false" outlineLevel="0" collapsed="false">
      <c r="A438" s="0" t="s">
        <v>527</v>
      </c>
      <c r="B438" s="2" t="n">
        <v>45926</v>
      </c>
      <c r="C438" s="3" t="s">
        <v>30</v>
      </c>
      <c r="D438" s="3" t="s">
        <v>78</v>
      </c>
      <c r="E438" s="3" t="s">
        <v>58</v>
      </c>
      <c r="F438" s="3" t="s">
        <v>22</v>
      </c>
      <c r="G438" s="0" t="n">
        <v>490</v>
      </c>
      <c r="H438" s="0" t="n">
        <v>113</v>
      </c>
      <c r="I438" s="0" t="n">
        <v>45</v>
      </c>
      <c r="J438" s="0" t="n">
        <v>20</v>
      </c>
      <c r="K438" s="0" t="n">
        <v>4.3</v>
      </c>
      <c r="L438" s="3" t="s">
        <v>17</v>
      </c>
    </row>
    <row r="439" customFormat="false" ht="15" hidden="false" customHeight="false" outlineLevel="0" collapsed="false">
      <c r="A439" s="0" t="s">
        <v>528</v>
      </c>
      <c r="B439" s="2" t="n">
        <v>45971</v>
      </c>
      <c r="C439" s="3" t="s">
        <v>30</v>
      </c>
      <c r="D439" s="3" t="s">
        <v>25</v>
      </c>
      <c r="E439" s="3" t="s">
        <v>15</v>
      </c>
      <c r="F439" s="3" t="s">
        <v>54</v>
      </c>
      <c r="G439" s="0" t="n">
        <v>412</v>
      </c>
      <c r="H439" s="0" t="n">
        <v>101</v>
      </c>
      <c r="I439" s="0" t="n">
        <v>40</v>
      </c>
      <c r="J439" s="0" t="n">
        <v>28</v>
      </c>
      <c r="K439" s="0" t="n">
        <v>5</v>
      </c>
      <c r="L439" s="3" t="s">
        <v>17</v>
      </c>
    </row>
    <row r="440" customFormat="false" ht="15" hidden="false" customHeight="false" outlineLevel="0" collapsed="false">
      <c r="A440" s="0" t="s">
        <v>529</v>
      </c>
      <c r="B440" s="2" t="n">
        <v>45675</v>
      </c>
      <c r="C440" s="3" t="s">
        <v>13</v>
      </c>
      <c r="D440" s="3" t="s">
        <v>31</v>
      </c>
      <c r="E440" s="3" t="s">
        <v>21</v>
      </c>
      <c r="F440" s="3" t="s">
        <v>34</v>
      </c>
      <c r="G440" s="0" t="n">
        <v>538</v>
      </c>
      <c r="H440" s="0" t="n">
        <v>122</v>
      </c>
      <c r="I440" s="0" t="n">
        <v>0</v>
      </c>
      <c r="J440" s="0" t="n">
        <v>25</v>
      </c>
      <c r="K440" s="0" t="n">
        <v>4.1</v>
      </c>
      <c r="L440" s="3" t="s">
        <v>17</v>
      </c>
    </row>
    <row r="441" customFormat="false" ht="15" hidden="false" customHeight="false" outlineLevel="0" collapsed="false">
      <c r="A441" s="0" t="s">
        <v>530</v>
      </c>
      <c r="B441" s="2" t="n">
        <v>45744</v>
      </c>
      <c r="C441" s="3" t="s">
        <v>40</v>
      </c>
      <c r="D441" s="3" t="s">
        <v>20</v>
      </c>
      <c r="E441" s="3" t="s">
        <v>99</v>
      </c>
      <c r="F441" s="3" t="s">
        <v>22</v>
      </c>
      <c r="G441" s="0" t="n">
        <v>749</v>
      </c>
      <c r="H441" s="0" t="n">
        <v>169</v>
      </c>
      <c r="I441" s="0" t="n">
        <v>0</v>
      </c>
      <c r="J441" s="0" t="n">
        <v>44</v>
      </c>
      <c r="K441" s="0" t="n">
        <v>4.4</v>
      </c>
      <c r="L441" s="3" t="s">
        <v>17</v>
      </c>
    </row>
    <row r="442" customFormat="false" ht="15" hidden="false" customHeight="false" outlineLevel="0" collapsed="false">
      <c r="A442" s="0" t="s">
        <v>531</v>
      </c>
      <c r="B442" s="2" t="n">
        <v>45712</v>
      </c>
      <c r="C442" s="3" t="s">
        <v>27</v>
      </c>
      <c r="D442" s="3" t="s">
        <v>25</v>
      </c>
      <c r="E442" s="3" t="s">
        <v>21</v>
      </c>
      <c r="F442" s="3" t="s">
        <v>16</v>
      </c>
      <c r="G442" s="0" t="n">
        <v>444</v>
      </c>
      <c r="H442" s="0" t="n">
        <v>0</v>
      </c>
      <c r="I442" s="0" t="n">
        <v>30</v>
      </c>
      <c r="J442" s="0" t="n">
        <v>33</v>
      </c>
      <c r="L442" s="3" t="s">
        <v>17</v>
      </c>
    </row>
    <row r="443" customFormat="false" ht="15" hidden="false" customHeight="false" outlineLevel="0" collapsed="false">
      <c r="A443" s="0" t="s">
        <v>532</v>
      </c>
      <c r="B443" s="2" t="n">
        <v>45858</v>
      </c>
      <c r="C443" s="3" t="s">
        <v>27</v>
      </c>
      <c r="D443" s="3" t="s">
        <v>25</v>
      </c>
      <c r="E443" s="3" t="s">
        <v>21</v>
      </c>
      <c r="F443" s="3" t="s">
        <v>22</v>
      </c>
      <c r="G443" s="0" t="n">
        <v>634</v>
      </c>
      <c r="H443" s="0" t="n">
        <v>0</v>
      </c>
      <c r="I443" s="0" t="n">
        <v>0</v>
      </c>
      <c r="J443" s="0" t="n">
        <v>38</v>
      </c>
      <c r="K443" s="0" t="n">
        <v>4.7</v>
      </c>
      <c r="L443" s="3" t="s">
        <v>17</v>
      </c>
    </row>
    <row r="444" customFormat="false" ht="15" hidden="false" customHeight="false" outlineLevel="0" collapsed="false">
      <c r="A444" s="0" t="s">
        <v>533</v>
      </c>
      <c r="B444" s="2" t="n">
        <v>45941</v>
      </c>
      <c r="C444" s="3" t="s">
        <v>24</v>
      </c>
      <c r="D444" s="3" t="s">
        <v>31</v>
      </c>
      <c r="E444" s="3" t="s">
        <v>21</v>
      </c>
      <c r="F444" s="3" t="s">
        <v>36</v>
      </c>
      <c r="G444" s="0" t="n">
        <v>442</v>
      </c>
      <c r="H444" s="0" t="n">
        <v>84</v>
      </c>
      <c r="I444" s="0" t="n">
        <v>40</v>
      </c>
      <c r="J444" s="0" t="n">
        <v>33</v>
      </c>
      <c r="K444" s="0" t="n">
        <v>4</v>
      </c>
      <c r="L444" s="3" t="s">
        <v>17</v>
      </c>
    </row>
    <row r="445" customFormat="false" ht="15" hidden="false" customHeight="false" outlineLevel="0" collapsed="false">
      <c r="A445" s="0" t="s">
        <v>534</v>
      </c>
      <c r="B445" s="2" t="n">
        <v>45903</v>
      </c>
      <c r="C445" s="3" t="s">
        <v>40</v>
      </c>
      <c r="D445" s="3" t="s">
        <v>20</v>
      </c>
      <c r="E445" s="3" t="s">
        <v>15</v>
      </c>
      <c r="F445" s="3" t="s">
        <v>34</v>
      </c>
      <c r="G445" s="0" t="n">
        <v>498</v>
      </c>
      <c r="H445" s="0" t="n">
        <v>99</v>
      </c>
      <c r="I445" s="0" t="n">
        <v>30</v>
      </c>
      <c r="J445" s="0" t="n">
        <v>46</v>
      </c>
      <c r="K445" s="0" t="n">
        <v>3.5</v>
      </c>
      <c r="L445" s="3" t="s">
        <v>17</v>
      </c>
    </row>
    <row r="446" customFormat="false" ht="15" hidden="false" customHeight="false" outlineLevel="0" collapsed="false">
      <c r="A446" s="0" t="s">
        <v>535</v>
      </c>
      <c r="B446" s="2" t="n">
        <v>45976</v>
      </c>
      <c r="C446" s="3" t="s">
        <v>24</v>
      </c>
      <c r="D446" s="3" t="s">
        <v>25</v>
      </c>
      <c r="E446" s="3" t="s">
        <v>21</v>
      </c>
      <c r="F446" s="3" t="s">
        <v>16</v>
      </c>
      <c r="G446" s="0" t="n">
        <v>418</v>
      </c>
      <c r="H446" s="0" t="n">
        <v>0</v>
      </c>
      <c r="I446" s="0" t="n">
        <v>40</v>
      </c>
      <c r="J446" s="0" t="n">
        <v>32</v>
      </c>
      <c r="K446" s="0" t="n">
        <v>4</v>
      </c>
      <c r="L446" s="3" t="s">
        <v>17</v>
      </c>
    </row>
    <row r="447" customFormat="false" ht="15" hidden="false" customHeight="false" outlineLevel="0" collapsed="false">
      <c r="A447" s="0" t="s">
        <v>536</v>
      </c>
      <c r="B447" s="0" t="s">
        <v>537</v>
      </c>
      <c r="C447" s="0" t="s">
        <v>27</v>
      </c>
      <c r="D447" s="0" t="s">
        <v>31</v>
      </c>
      <c r="E447" s="0" t="s">
        <v>15</v>
      </c>
      <c r="F447" s="0" t="s">
        <v>54</v>
      </c>
      <c r="G447" s="0" t="n">
        <v>407</v>
      </c>
      <c r="H447" s="0" t="n">
        <v>86</v>
      </c>
      <c r="I447" s="0" t="n">
        <v>20</v>
      </c>
      <c r="J447" s="0" t="n">
        <v>45</v>
      </c>
      <c r="K447" s="0" t="n">
        <v>3.7</v>
      </c>
      <c r="L447" s="0" t="s">
        <v>17</v>
      </c>
    </row>
    <row r="448" customFormat="false" ht="15" hidden="false" customHeight="false" outlineLevel="0" collapsed="false">
      <c r="A448" s="0" t="s">
        <v>538</v>
      </c>
      <c r="B448" s="2" t="n">
        <v>45938</v>
      </c>
      <c r="C448" s="3" t="s">
        <v>27</v>
      </c>
      <c r="D448" s="3" t="s">
        <v>31</v>
      </c>
      <c r="E448" s="3" t="s">
        <v>21</v>
      </c>
      <c r="F448" s="3" t="s">
        <v>36</v>
      </c>
      <c r="G448" s="0" t="n">
        <v>484</v>
      </c>
      <c r="H448" s="0" t="n">
        <v>0</v>
      </c>
      <c r="I448" s="0" t="n">
        <v>30</v>
      </c>
      <c r="J448" s="0" t="n">
        <v>43</v>
      </c>
      <c r="K448" s="0" t="n">
        <v>4.3</v>
      </c>
      <c r="L448" s="3" t="s">
        <v>17</v>
      </c>
    </row>
    <row r="449" customFormat="false" ht="15" hidden="false" customHeight="false" outlineLevel="0" collapsed="false">
      <c r="A449" s="0" t="s">
        <v>539</v>
      </c>
      <c r="B449" s="2" t="n">
        <v>45740</v>
      </c>
      <c r="C449" s="3" t="s">
        <v>40</v>
      </c>
      <c r="D449" s="3" t="s">
        <v>25</v>
      </c>
      <c r="E449" s="3" t="s">
        <v>21</v>
      </c>
      <c r="F449" s="3" t="s">
        <v>36</v>
      </c>
      <c r="G449" s="0" t="n">
        <v>458</v>
      </c>
      <c r="H449" s="0" t="n">
        <v>0</v>
      </c>
      <c r="I449" s="0" t="n">
        <v>30</v>
      </c>
      <c r="J449" s="0" t="n">
        <v>44</v>
      </c>
      <c r="K449" s="0" t="n">
        <v>4.1</v>
      </c>
      <c r="L449" s="3" t="s">
        <v>17</v>
      </c>
    </row>
    <row r="450" customFormat="false" ht="15" hidden="false" customHeight="false" outlineLevel="0" collapsed="false">
      <c r="A450" s="0" t="s">
        <v>540</v>
      </c>
      <c r="B450" s="0" t="s">
        <v>541</v>
      </c>
      <c r="C450" s="0" t="s">
        <v>30</v>
      </c>
      <c r="D450" s="0" t="s">
        <v>14</v>
      </c>
      <c r="E450" s="0" t="s">
        <v>21</v>
      </c>
      <c r="F450" s="0" t="s">
        <v>22</v>
      </c>
      <c r="G450" s="0" t="n">
        <v>344</v>
      </c>
      <c r="H450" s="0" t="n">
        <v>50</v>
      </c>
      <c r="I450" s="0" t="n">
        <v>20</v>
      </c>
      <c r="J450" s="0" t="n">
        <v>37</v>
      </c>
      <c r="K450" s="0" t="n">
        <v>3.7</v>
      </c>
      <c r="L450" s="0" t="s">
        <v>17</v>
      </c>
    </row>
    <row r="451" customFormat="false" ht="15" hidden="false" customHeight="false" outlineLevel="0" collapsed="false">
      <c r="A451" s="0" t="s">
        <v>542</v>
      </c>
      <c r="B451" s="2" t="n">
        <v>45930</v>
      </c>
      <c r="C451" s="3" t="s">
        <v>51</v>
      </c>
      <c r="D451" s="3" t="s">
        <v>25</v>
      </c>
      <c r="E451" s="3" t="s">
        <v>21</v>
      </c>
      <c r="F451" s="3" t="s">
        <v>22</v>
      </c>
      <c r="G451" s="0" t="n">
        <v>444</v>
      </c>
      <c r="H451" s="0" t="n">
        <v>0</v>
      </c>
      <c r="I451" s="0" t="n">
        <v>45</v>
      </c>
      <c r="J451" s="0" t="n">
        <v>35</v>
      </c>
      <c r="K451" s="0" t="n">
        <v>4.3</v>
      </c>
      <c r="L451" s="3" t="s">
        <v>17</v>
      </c>
    </row>
    <row r="452" customFormat="false" ht="15" hidden="false" customHeight="false" outlineLevel="0" collapsed="false">
      <c r="A452" s="0" t="s">
        <v>543</v>
      </c>
      <c r="B452" s="2" t="n">
        <v>46016</v>
      </c>
      <c r="C452" s="3" t="s">
        <v>24</v>
      </c>
      <c r="D452" s="3" t="s">
        <v>28</v>
      </c>
      <c r="E452" s="3" t="s">
        <v>21</v>
      </c>
      <c r="F452" s="3" t="s">
        <v>36</v>
      </c>
      <c r="G452" s="0" t="n">
        <v>478</v>
      </c>
      <c r="H452" s="0" t="n">
        <v>100</v>
      </c>
      <c r="I452" s="0" t="n">
        <v>40</v>
      </c>
      <c r="J452" s="0" t="n">
        <v>24</v>
      </c>
      <c r="K452" s="0" t="n">
        <v>4</v>
      </c>
      <c r="L452" s="3" t="s">
        <v>17</v>
      </c>
    </row>
    <row r="453" customFormat="false" ht="15" hidden="false" customHeight="false" outlineLevel="0" collapsed="false">
      <c r="A453" s="0" t="s">
        <v>544</v>
      </c>
      <c r="B453" s="2" t="n">
        <v>45896</v>
      </c>
      <c r="C453" s="3" t="s">
        <v>51</v>
      </c>
      <c r="D453" s="3" t="s">
        <v>28</v>
      </c>
      <c r="E453" s="3" t="s">
        <v>21</v>
      </c>
      <c r="F453" s="3" t="s">
        <v>16</v>
      </c>
      <c r="G453" s="0" t="n">
        <v>558</v>
      </c>
      <c r="H453" s="0" t="n">
        <v>0</v>
      </c>
      <c r="I453" s="0" t="n">
        <v>0</v>
      </c>
      <c r="J453" s="0" t="n">
        <v>33</v>
      </c>
      <c r="K453" s="0" t="n">
        <v>4.6</v>
      </c>
      <c r="L453" s="3" t="s">
        <v>17</v>
      </c>
    </row>
    <row r="454" customFormat="false" ht="15" hidden="false" customHeight="false" outlineLevel="0" collapsed="false">
      <c r="A454" s="0" t="s">
        <v>545</v>
      </c>
      <c r="B454" s="2" t="n">
        <v>45682</v>
      </c>
      <c r="C454" s="3" t="s">
        <v>40</v>
      </c>
      <c r="D454" s="3" t="s">
        <v>25</v>
      </c>
      <c r="E454" s="3" t="s">
        <v>21</v>
      </c>
      <c r="F454" s="3" t="s">
        <v>36</v>
      </c>
      <c r="G454" s="0" t="n">
        <v>435</v>
      </c>
      <c r="H454" s="0" t="n">
        <v>0</v>
      </c>
      <c r="I454" s="0" t="n">
        <v>45</v>
      </c>
      <c r="J454" s="0" t="n">
        <v>38</v>
      </c>
      <c r="K454" s="0" t="n">
        <v>4.6</v>
      </c>
      <c r="L454" s="3" t="s">
        <v>17</v>
      </c>
    </row>
    <row r="455" customFormat="false" ht="15" hidden="false" customHeight="false" outlineLevel="0" collapsed="false">
      <c r="A455" s="0" t="s">
        <v>546</v>
      </c>
      <c r="B455" s="2" t="n">
        <v>45898</v>
      </c>
      <c r="C455" s="3" t="s">
        <v>51</v>
      </c>
      <c r="D455" s="3" t="s">
        <v>14</v>
      </c>
      <c r="E455" s="3" t="s">
        <v>21</v>
      </c>
      <c r="F455" s="3" t="s">
        <v>36</v>
      </c>
      <c r="G455" s="0" t="n">
        <v>229</v>
      </c>
      <c r="H455" s="0" t="n">
        <v>0</v>
      </c>
      <c r="I455" s="0" t="n">
        <v>20</v>
      </c>
      <c r="J455" s="0" t="n">
        <v>37</v>
      </c>
      <c r="K455" s="0" t="n">
        <v>4.2</v>
      </c>
      <c r="L455" s="3" t="s">
        <v>17</v>
      </c>
    </row>
    <row r="456" customFormat="false" ht="15" hidden="false" customHeight="false" outlineLevel="0" collapsed="false">
      <c r="A456" s="0" t="s">
        <v>547</v>
      </c>
      <c r="B456" s="2" t="n">
        <v>45676</v>
      </c>
      <c r="C456" s="3" t="s">
        <v>51</v>
      </c>
      <c r="D456" s="3" t="s">
        <v>28</v>
      </c>
      <c r="E456" s="3" t="s">
        <v>15</v>
      </c>
      <c r="F456" s="3" t="s">
        <v>22</v>
      </c>
      <c r="G456" s="0" t="n">
        <v>573</v>
      </c>
      <c r="H456" s="0" t="n">
        <v>0</v>
      </c>
      <c r="I456" s="0" t="n">
        <v>0</v>
      </c>
      <c r="J456" s="0" t="n">
        <v>30</v>
      </c>
      <c r="K456" s="0" t="n">
        <v>4.5</v>
      </c>
      <c r="L456" s="3" t="s">
        <v>17</v>
      </c>
    </row>
    <row r="457" customFormat="false" ht="15" hidden="false" customHeight="false" outlineLevel="0" collapsed="false">
      <c r="A457" s="0" t="s">
        <v>548</v>
      </c>
      <c r="B457" s="2" t="n">
        <v>45986</v>
      </c>
      <c r="C457" s="3" t="s">
        <v>40</v>
      </c>
      <c r="D457" s="3" t="s">
        <v>20</v>
      </c>
      <c r="E457" s="3" t="s">
        <v>21</v>
      </c>
      <c r="F457" s="3" t="s">
        <v>22</v>
      </c>
      <c r="G457" s="0" t="n">
        <v>667</v>
      </c>
      <c r="H457" s="0" t="n">
        <v>0</v>
      </c>
      <c r="I457" s="0" t="n">
        <v>0</v>
      </c>
      <c r="J457" s="0" t="n">
        <v>46</v>
      </c>
      <c r="K457" s="0" t="n">
        <v>4.9</v>
      </c>
      <c r="L457" s="3" t="s">
        <v>17</v>
      </c>
    </row>
    <row r="458" customFormat="false" ht="15" hidden="false" customHeight="false" outlineLevel="0" collapsed="false">
      <c r="A458" s="0" t="s">
        <v>549</v>
      </c>
      <c r="B458" s="0" t="s">
        <v>550</v>
      </c>
      <c r="C458" s="0" t="s">
        <v>30</v>
      </c>
      <c r="D458" s="0" t="s">
        <v>31</v>
      </c>
      <c r="E458" s="0" t="s">
        <v>15</v>
      </c>
      <c r="F458" s="0" t="s">
        <v>16</v>
      </c>
      <c r="G458" s="0" t="n">
        <v>464</v>
      </c>
      <c r="H458" s="0" t="n">
        <v>61</v>
      </c>
      <c r="I458" s="0" t="n">
        <v>45</v>
      </c>
      <c r="J458" s="0" t="n">
        <v>31</v>
      </c>
      <c r="K458" s="0" t="n">
        <v>4.3</v>
      </c>
      <c r="L458" s="0" t="s">
        <v>17</v>
      </c>
    </row>
    <row r="459" customFormat="false" ht="15" hidden="false" customHeight="false" outlineLevel="0" collapsed="false">
      <c r="A459" s="0" t="s">
        <v>551</v>
      </c>
      <c r="B459" s="0" t="s">
        <v>552</v>
      </c>
      <c r="C459" s="0" t="s">
        <v>19</v>
      </c>
      <c r="D459" s="0" t="s">
        <v>31</v>
      </c>
      <c r="E459" s="0" t="s">
        <v>21</v>
      </c>
      <c r="F459" s="0" t="s">
        <v>22</v>
      </c>
      <c r="G459" s="0" t="n">
        <v>374</v>
      </c>
      <c r="H459" s="0" t="n">
        <v>0</v>
      </c>
      <c r="I459" s="0" t="n">
        <v>40</v>
      </c>
      <c r="J459" s="0" t="n">
        <v>22</v>
      </c>
      <c r="K459" s="0" t="n">
        <v>4.1</v>
      </c>
      <c r="L459" s="0" t="s">
        <v>17</v>
      </c>
    </row>
    <row r="460" customFormat="false" ht="15" hidden="false" customHeight="false" outlineLevel="0" collapsed="false">
      <c r="A460" s="0" t="s">
        <v>553</v>
      </c>
      <c r="B460" s="2" t="n">
        <v>45697</v>
      </c>
      <c r="C460" s="3" t="s">
        <v>45</v>
      </c>
      <c r="D460" s="3" t="s">
        <v>78</v>
      </c>
      <c r="E460" s="3" t="s">
        <v>15</v>
      </c>
      <c r="F460" s="3" t="s">
        <v>34</v>
      </c>
      <c r="G460" s="0" t="n">
        <v>475</v>
      </c>
      <c r="H460" s="0" t="n">
        <v>0</v>
      </c>
      <c r="I460" s="0" t="n">
        <v>45</v>
      </c>
      <c r="J460" s="0" t="n">
        <v>27</v>
      </c>
      <c r="K460" s="0" t="n">
        <v>4.8</v>
      </c>
      <c r="L460" s="3" t="s">
        <v>17</v>
      </c>
    </row>
    <row r="461" customFormat="false" ht="15" hidden="false" customHeight="false" outlineLevel="0" collapsed="false">
      <c r="A461" s="0" t="s">
        <v>554</v>
      </c>
      <c r="B461" s="2" t="n">
        <v>45736</v>
      </c>
      <c r="C461" s="3" t="s">
        <v>19</v>
      </c>
      <c r="D461" s="3" t="s">
        <v>28</v>
      </c>
      <c r="E461" s="3" t="s">
        <v>15</v>
      </c>
      <c r="F461" s="3" t="s">
        <v>36</v>
      </c>
      <c r="G461" s="0" t="n">
        <v>301</v>
      </c>
      <c r="H461" s="0" t="n">
        <v>49</v>
      </c>
      <c r="I461" s="0" t="n">
        <v>30</v>
      </c>
      <c r="J461" s="0" t="n">
        <v>41</v>
      </c>
      <c r="K461" s="0" t="n">
        <v>3.6</v>
      </c>
      <c r="L461" s="3" t="s">
        <v>17</v>
      </c>
    </row>
    <row r="462" customFormat="false" ht="15" hidden="false" customHeight="false" outlineLevel="0" collapsed="false">
      <c r="A462" s="0" t="s">
        <v>555</v>
      </c>
      <c r="B462" s="2" t="n">
        <v>46016</v>
      </c>
      <c r="C462" s="3" t="s">
        <v>27</v>
      </c>
      <c r="D462" s="3" t="s">
        <v>49</v>
      </c>
      <c r="E462" s="3" t="s">
        <v>21</v>
      </c>
      <c r="F462" s="3" t="s">
        <v>16</v>
      </c>
      <c r="G462" s="0" t="n">
        <v>450</v>
      </c>
      <c r="H462" s="0" t="n">
        <v>0</v>
      </c>
      <c r="I462" s="0" t="n">
        <v>20</v>
      </c>
      <c r="J462" s="0" t="n">
        <v>47</v>
      </c>
      <c r="K462" s="0" t="n">
        <v>3.9</v>
      </c>
      <c r="L462" s="3" t="s">
        <v>17</v>
      </c>
    </row>
    <row r="463" customFormat="false" ht="15" hidden="false" customHeight="false" outlineLevel="0" collapsed="false">
      <c r="A463" s="0" t="s">
        <v>556</v>
      </c>
      <c r="B463" s="2" t="n">
        <v>45842</v>
      </c>
      <c r="C463" s="3" t="s">
        <v>40</v>
      </c>
      <c r="D463" s="3" t="s">
        <v>49</v>
      </c>
      <c r="E463" s="3" t="s">
        <v>15</v>
      </c>
      <c r="F463" s="3" t="s">
        <v>36</v>
      </c>
      <c r="G463" s="0" t="n">
        <v>561</v>
      </c>
      <c r="H463" s="0" t="n">
        <v>63</v>
      </c>
      <c r="I463" s="0" t="n">
        <v>0</v>
      </c>
      <c r="J463" s="0" t="n">
        <v>45</v>
      </c>
      <c r="K463" s="0" t="n">
        <v>3.7</v>
      </c>
      <c r="L463" s="3" t="s">
        <v>17</v>
      </c>
    </row>
    <row r="464" customFormat="false" ht="15" hidden="false" customHeight="false" outlineLevel="0" collapsed="false">
      <c r="A464" s="0" t="s">
        <v>557</v>
      </c>
      <c r="B464" s="2" t="n">
        <v>45954</v>
      </c>
      <c r="C464" s="3" t="s">
        <v>45</v>
      </c>
      <c r="D464" s="3" t="s">
        <v>31</v>
      </c>
      <c r="E464" s="3" t="s">
        <v>21</v>
      </c>
      <c r="F464" s="3" t="s">
        <v>16</v>
      </c>
      <c r="G464" s="0" t="n">
        <v>464</v>
      </c>
      <c r="H464" s="0" t="n">
        <v>79</v>
      </c>
      <c r="I464" s="0" t="n">
        <v>20</v>
      </c>
      <c r="J464" s="0" t="n">
        <v>23</v>
      </c>
      <c r="K464" s="0" t="n">
        <v>4.2</v>
      </c>
      <c r="L464" s="3" t="s">
        <v>17</v>
      </c>
    </row>
    <row r="465" customFormat="false" ht="15" hidden="false" customHeight="false" outlineLevel="0" collapsed="false">
      <c r="A465" s="0" t="s">
        <v>558</v>
      </c>
      <c r="B465" s="2" t="n">
        <v>45905</v>
      </c>
      <c r="C465" s="3" t="s">
        <v>27</v>
      </c>
      <c r="D465" s="3" t="s">
        <v>14</v>
      </c>
      <c r="E465" s="3" t="s">
        <v>21</v>
      </c>
      <c r="F465" s="3" t="s">
        <v>36</v>
      </c>
      <c r="G465" s="0" t="n">
        <v>405</v>
      </c>
      <c r="H465" s="0" t="n">
        <v>0</v>
      </c>
      <c r="I465" s="0" t="n">
        <v>45</v>
      </c>
      <c r="J465" s="0" t="n">
        <v>37</v>
      </c>
      <c r="K465" s="0" t="n">
        <v>4.1</v>
      </c>
      <c r="L465" s="3" t="s">
        <v>17</v>
      </c>
    </row>
    <row r="466" customFormat="false" ht="15" hidden="false" customHeight="false" outlineLevel="0" collapsed="false">
      <c r="A466" s="0" t="s">
        <v>559</v>
      </c>
      <c r="B466" s="2" t="n">
        <v>45883</v>
      </c>
      <c r="C466" s="3" t="s">
        <v>27</v>
      </c>
      <c r="D466" s="3" t="s">
        <v>56</v>
      </c>
      <c r="E466" s="3" t="s">
        <v>15</v>
      </c>
      <c r="F466" s="3" t="s">
        <v>22</v>
      </c>
      <c r="G466" s="0" t="n">
        <v>480</v>
      </c>
      <c r="H466" s="0" t="n">
        <v>92</v>
      </c>
      <c r="I466" s="0" t="n">
        <v>40</v>
      </c>
      <c r="J466" s="0" t="n">
        <v>37</v>
      </c>
      <c r="K466" s="0" t="n">
        <v>4.7</v>
      </c>
      <c r="L466" s="3" t="s">
        <v>17</v>
      </c>
    </row>
    <row r="467" customFormat="false" ht="15" hidden="false" customHeight="false" outlineLevel="0" collapsed="false">
      <c r="A467" s="0" t="s">
        <v>560</v>
      </c>
      <c r="B467" s="0" t="s">
        <v>561</v>
      </c>
      <c r="C467" s="0" t="s">
        <v>27</v>
      </c>
      <c r="D467" s="0" t="s">
        <v>28</v>
      </c>
      <c r="E467" s="0" t="s">
        <v>99</v>
      </c>
      <c r="F467" s="0" t="s">
        <v>36</v>
      </c>
      <c r="G467" s="0" t="n">
        <v>403</v>
      </c>
      <c r="H467" s="0" t="n">
        <v>44</v>
      </c>
      <c r="I467" s="0" t="n">
        <v>20</v>
      </c>
      <c r="J467" s="0" t="n">
        <v>43</v>
      </c>
      <c r="K467" s="0" t="n">
        <v>4.6</v>
      </c>
      <c r="L467" s="0" t="s">
        <v>17</v>
      </c>
    </row>
    <row r="468" customFormat="false" ht="15" hidden="false" customHeight="false" outlineLevel="0" collapsed="false">
      <c r="A468" s="0" t="s">
        <v>562</v>
      </c>
      <c r="B468" s="2" t="n">
        <v>46005</v>
      </c>
      <c r="C468" s="3" t="s">
        <v>27</v>
      </c>
      <c r="D468" s="3" t="s">
        <v>31</v>
      </c>
      <c r="E468" s="3" t="s">
        <v>58</v>
      </c>
      <c r="F468" s="3" t="s">
        <v>36</v>
      </c>
      <c r="G468" s="0" t="n">
        <v>705</v>
      </c>
      <c r="H468" s="0" t="n">
        <v>81</v>
      </c>
      <c r="I468" s="0" t="n">
        <v>0</v>
      </c>
      <c r="J468" s="0" t="n">
        <v>41</v>
      </c>
      <c r="K468" s="0" t="n">
        <v>4.6</v>
      </c>
      <c r="L468" s="3" t="s">
        <v>17</v>
      </c>
    </row>
    <row r="469" customFormat="false" ht="15" hidden="false" customHeight="false" outlineLevel="0" collapsed="false">
      <c r="A469" s="0" t="s">
        <v>563</v>
      </c>
      <c r="B469" s="2" t="n">
        <v>45783</v>
      </c>
      <c r="C469" s="3" t="s">
        <v>40</v>
      </c>
      <c r="D469" s="3" t="s">
        <v>25</v>
      </c>
      <c r="E469" s="3" t="s">
        <v>15</v>
      </c>
      <c r="F469" s="3" t="s">
        <v>22</v>
      </c>
      <c r="G469" s="0" t="n">
        <v>534</v>
      </c>
      <c r="H469" s="0" t="n">
        <v>82</v>
      </c>
      <c r="I469" s="0" t="n">
        <v>0</v>
      </c>
      <c r="J469" s="0" t="n">
        <v>35</v>
      </c>
      <c r="K469" s="0" t="n">
        <v>4.4</v>
      </c>
      <c r="L469" s="3" t="s">
        <v>17</v>
      </c>
    </row>
    <row r="470" customFormat="false" ht="15" hidden="false" customHeight="false" outlineLevel="0" collapsed="false">
      <c r="A470" s="0" t="s">
        <v>564</v>
      </c>
      <c r="B470" s="2" t="n">
        <v>45885</v>
      </c>
      <c r="C470" s="3" t="s">
        <v>13</v>
      </c>
      <c r="D470" s="3" t="s">
        <v>28</v>
      </c>
      <c r="E470" s="3" t="s">
        <v>15</v>
      </c>
      <c r="F470" s="3" t="s">
        <v>16</v>
      </c>
      <c r="G470" s="0" t="n">
        <v>501</v>
      </c>
      <c r="H470" s="0" t="n">
        <v>0</v>
      </c>
      <c r="I470" s="0" t="n">
        <v>0</v>
      </c>
      <c r="J470" s="0" t="n">
        <v>30</v>
      </c>
      <c r="K470" s="0" t="n">
        <v>4.3</v>
      </c>
      <c r="L470" s="3" t="s">
        <v>17</v>
      </c>
    </row>
    <row r="471" customFormat="false" ht="15" hidden="false" customHeight="false" outlineLevel="0" collapsed="false">
      <c r="A471" s="0" t="s">
        <v>565</v>
      </c>
      <c r="B471" s="0" t="s">
        <v>566</v>
      </c>
      <c r="C471" s="0" t="s">
        <v>40</v>
      </c>
      <c r="D471" s="0" t="s">
        <v>14</v>
      </c>
      <c r="E471" s="0" t="s">
        <v>15</v>
      </c>
      <c r="F471" s="0" t="s">
        <v>36</v>
      </c>
      <c r="G471" s="0" t="n">
        <v>259</v>
      </c>
      <c r="H471" s="0" t="n">
        <v>60</v>
      </c>
      <c r="I471" s="0" t="n">
        <v>40</v>
      </c>
      <c r="J471" s="0" t="n">
        <v>32</v>
      </c>
      <c r="K471" s="0" t="n">
        <v>3.2</v>
      </c>
      <c r="L471" s="0" t="s">
        <v>17</v>
      </c>
    </row>
    <row r="472" customFormat="false" ht="15" hidden="false" customHeight="false" outlineLevel="0" collapsed="false">
      <c r="A472" s="0" t="s">
        <v>567</v>
      </c>
      <c r="B472" s="2" t="n">
        <v>45909</v>
      </c>
      <c r="C472" s="3" t="s">
        <v>13</v>
      </c>
      <c r="D472" s="3" t="s">
        <v>20</v>
      </c>
      <c r="E472" s="3" t="s">
        <v>21</v>
      </c>
      <c r="F472" s="3" t="s">
        <v>22</v>
      </c>
      <c r="G472" s="0" t="n">
        <v>443</v>
      </c>
      <c r="H472" s="0" t="n">
        <v>0</v>
      </c>
      <c r="I472" s="0" t="n">
        <v>45</v>
      </c>
      <c r="J472" s="0" t="n">
        <v>32</v>
      </c>
      <c r="K472" s="0" t="n">
        <v>4.5</v>
      </c>
      <c r="L472" s="3" t="s">
        <v>17</v>
      </c>
    </row>
    <row r="473" customFormat="false" ht="15" hidden="false" customHeight="false" outlineLevel="0" collapsed="false">
      <c r="A473" s="0" t="s">
        <v>568</v>
      </c>
      <c r="B473" s="0" t="s">
        <v>569</v>
      </c>
      <c r="C473" s="0" t="s">
        <v>45</v>
      </c>
      <c r="D473" s="0" t="s">
        <v>25</v>
      </c>
      <c r="E473" s="0" t="s">
        <v>15</v>
      </c>
      <c r="F473" s="0" t="s">
        <v>36</v>
      </c>
      <c r="G473" s="0" t="n">
        <v>546</v>
      </c>
      <c r="H473" s="0" t="n">
        <v>113</v>
      </c>
      <c r="I473" s="0" t="n">
        <v>0</v>
      </c>
      <c r="J473" s="0" t="n">
        <v>38</v>
      </c>
      <c r="K473" s="0" t="n">
        <v>3.1</v>
      </c>
      <c r="L473" s="0" t="s">
        <v>17</v>
      </c>
    </row>
    <row r="474" customFormat="false" ht="15" hidden="false" customHeight="false" outlineLevel="0" collapsed="false">
      <c r="A474" s="0" t="s">
        <v>570</v>
      </c>
      <c r="B474" s="2" t="n">
        <v>45722</v>
      </c>
      <c r="C474" s="3" t="s">
        <v>27</v>
      </c>
      <c r="D474" s="3" t="s">
        <v>25</v>
      </c>
      <c r="E474" s="3" t="s">
        <v>15</v>
      </c>
      <c r="F474" s="3" t="s">
        <v>54</v>
      </c>
      <c r="G474" s="0" t="n">
        <v>420</v>
      </c>
      <c r="H474" s="0" t="n">
        <v>78</v>
      </c>
      <c r="I474" s="0" t="n">
        <v>45</v>
      </c>
      <c r="J474" s="0" t="n">
        <v>31</v>
      </c>
      <c r="K474" s="0" t="n">
        <v>3.4</v>
      </c>
      <c r="L474" s="3" t="s">
        <v>17</v>
      </c>
    </row>
    <row r="475" customFormat="false" ht="15" hidden="false" customHeight="false" outlineLevel="0" collapsed="false">
      <c r="A475" s="0" t="s">
        <v>571</v>
      </c>
      <c r="B475" s="2" t="n">
        <v>45860</v>
      </c>
      <c r="C475" s="3" t="s">
        <v>27</v>
      </c>
      <c r="D475" s="3" t="s">
        <v>78</v>
      </c>
      <c r="E475" s="3" t="s">
        <v>58</v>
      </c>
      <c r="F475" s="3" t="s">
        <v>36</v>
      </c>
      <c r="G475" s="0" t="n">
        <v>299</v>
      </c>
      <c r="H475" s="0" t="n">
        <v>0</v>
      </c>
      <c r="I475" s="0" t="n">
        <v>30</v>
      </c>
      <c r="J475" s="0" t="n">
        <v>44</v>
      </c>
      <c r="K475" s="0" t="n">
        <v>4</v>
      </c>
      <c r="L475" s="3" t="s">
        <v>17</v>
      </c>
    </row>
    <row r="476" customFormat="false" ht="15" hidden="false" customHeight="false" outlineLevel="0" collapsed="false">
      <c r="A476" s="0" t="s">
        <v>572</v>
      </c>
      <c r="B476" s="2" t="n">
        <v>45822</v>
      </c>
      <c r="C476" s="3" t="s">
        <v>24</v>
      </c>
      <c r="D476" s="3" t="s">
        <v>56</v>
      </c>
      <c r="E476" s="3" t="s">
        <v>21</v>
      </c>
      <c r="F476" s="3" t="s">
        <v>22</v>
      </c>
      <c r="G476" s="0" t="n">
        <v>373</v>
      </c>
      <c r="H476" s="0" t="n">
        <v>0</v>
      </c>
      <c r="I476" s="0" t="n">
        <v>30</v>
      </c>
      <c r="J476" s="0" t="n">
        <v>46</v>
      </c>
      <c r="L476" s="3" t="s">
        <v>17</v>
      </c>
    </row>
    <row r="477" customFormat="false" ht="15" hidden="false" customHeight="false" outlineLevel="0" collapsed="false">
      <c r="A477" s="0" t="s">
        <v>573</v>
      </c>
      <c r="B477" s="2" t="n">
        <v>45848</v>
      </c>
      <c r="C477" s="3" t="s">
        <v>19</v>
      </c>
      <c r="D477" s="3" t="s">
        <v>56</v>
      </c>
      <c r="E477" s="3" t="s">
        <v>15</v>
      </c>
      <c r="F477" s="3" t="s">
        <v>34</v>
      </c>
      <c r="G477" s="0" t="n">
        <v>285</v>
      </c>
      <c r="H477" s="0" t="n">
        <v>0</v>
      </c>
      <c r="I477" s="0" t="n">
        <v>40</v>
      </c>
      <c r="J477" s="0" t="n">
        <v>27</v>
      </c>
      <c r="K477" s="0" t="n">
        <v>4.2</v>
      </c>
      <c r="L477" s="3" t="s">
        <v>17</v>
      </c>
    </row>
    <row r="478" customFormat="false" ht="15" hidden="false" customHeight="false" outlineLevel="0" collapsed="false">
      <c r="A478" s="0" t="s">
        <v>574</v>
      </c>
      <c r="B478" s="2" t="n">
        <v>45710</v>
      </c>
      <c r="C478" s="3" t="s">
        <v>13</v>
      </c>
      <c r="D478" s="3" t="s">
        <v>20</v>
      </c>
      <c r="E478" s="3" t="s">
        <v>15</v>
      </c>
      <c r="F478" s="3" t="s">
        <v>54</v>
      </c>
      <c r="G478" s="0" t="n">
        <v>613</v>
      </c>
      <c r="H478" s="0" t="n">
        <v>0</v>
      </c>
      <c r="I478" s="0" t="n">
        <v>0</v>
      </c>
      <c r="J478" s="0" t="n">
        <v>29</v>
      </c>
      <c r="K478" s="0" t="n">
        <v>5</v>
      </c>
      <c r="L478" s="3" t="s">
        <v>17</v>
      </c>
    </row>
    <row r="479" customFormat="false" ht="15" hidden="false" customHeight="false" outlineLevel="0" collapsed="false">
      <c r="A479" s="0" t="s">
        <v>575</v>
      </c>
      <c r="B479" s="2" t="n">
        <v>45716</v>
      </c>
      <c r="C479" s="3" t="s">
        <v>24</v>
      </c>
      <c r="D479" s="3" t="s">
        <v>56</v>
      </c>
      <c r="E479" s="3" t="s">
        <v>21</v>
      </c>
      <c r="F479" s="3" t="s">
        <v>16</v>
      </c>
      <c r="G479" s="0" t="n">
        <v>426</v>
      </c>
      <c r="H479" s="0" t="n">
        <v>0</v>
      </c>
      <c r="I479" s="0" t="n">
        <v>45</v>
      </c>
      <c r="J479" s="0" t="n">
        <v>42</v>
      </c>
      <c r="K479" s="0" t="n">
        <v>4.3</v>
      </c>
      <c r="L479" s="3" t="s">
        <v>17</v>
      </c>
    </row>
    <row r="480" customFormat="false" ht="15" hidden="false" customHeight="false" outlineLevel="0" collapsed="false">
      <c r="A480" s="0" t="s">
        <v>576</v>
      </c>
      <c r="B480" s="2" t="n">
        <v>45774</v>
      </c>
      <c r="C480" s="3" t="s">
        <v>40</v>
      </c>
      <c r="D480" s="3" t="s">
        <v>20</v>
      </c>
      <c r="E480" s="3" t="s">
        <v>21</v>
      </c>
      <c r="F480" s="3" t="s">
        <v>22</v>
      </c>
      <c r="G480" s="0" t="n">
        <v>824</v>
      </c>
      <c r="H480" s="0" t="n">
        <v>0</v>
      </c>
      <c r="I480" s="0" t="n">
        <v>0</v>
      </c>
      <c r="J480" s="0" t="n">
        <v>31</v>
      </c>
      <c r="K480" s="0" t="n">
        <v>4.3</v>
      </c>
      <c r="L480" s="3" t="s">
        <v>17</v>
      </c>
    </row>
    <row r="481" customFormat="false" ht="15" hidden="false" customHeight="false" outlineLevel="0" collapsed="false">
      <c r="A481" s="0" t="s">
        <v>577</v>
      </c>
      <c r="B481" s="0" t="s">
        <v>578</v>
      </c>
      <c r="C481" s="0" t="s">
        <v>24</v>
      </c>
      <c r="D481" s="0" t="s">
        <v>56</v>
      </c>
      <c r="E481" s="0" t="s">
        <v>21</v>
      </c>
      <c r="F481" s="0" t="s">
        <v>22</v>
      </c>
      <c r="G481" s="0" t="n">
        <v>427</v>
      </c>
      <c r="H481" s="0" t="n">
        <v>0</v>
      </c>
      <c r="I481" s="0" t="n">
        <v>20</v>
      </c>
      <c r="J481" s="0" t="n">
        <v>36</v>
      </c>
      <c r="K481" s="0" t="n">
        <v>4.9</v>
      </c>
      <c r="L481" s="0" t="s">
        <v>17</v>
      </c>
    </row>
    <row r="482" customFormat="false" ht="15" hidden="false" customHeight="false" outlineLevel="0" collapsed="false">
      <c r="A482" s="0" t="s">
        <v>579</v>
      </c>
      <c r="B482" s="2" t="n">
        <v>45831</v>
      </c>
      <c r="C482" s="3" t="s">
        <v>123</v>
      </c>
      <c r="D482" s="3" t="s">
        <v>14</v>
      </c>
      <c r="E482" s="3" t="s">
        <v>21</v>
      </c>
      <c r="F482" s="3" t="s">
        <v>36</v>
      </c>
      <c r="G482" s="0" t="n">
        <v>219</v>
      </c>
      <c r="H482" s="0" t="n">
        <v>0</v>
      </c>
      <c r="I482" s="0" t="n">
        <v>20</v>
      </c>
      <c r="J482" s="0" t="n">
        <v>35</v>
      </c>
      <c r="K482" s="0" t="n">
        <v>5</v>
      </c>
      <c r="L482" s="3" t="s">
        <v>17</v>
      </c>
    </row>
    <row r="483" customFormat="false" ht="15" hidden="false" customHeight="false" outlineLevel="0" collapsed="false">
      <c r="A483" s="0" t="s">
        <v>580</v>
      </c>
      <c r="B483" s="2" t="n">
        <v>45896</v>
      </c>
      <c r="C483" s="3" t="s">
        <v>51</v>
      </c>
      <c r="D483" s="3" t="s">
        <v>49</v>
      </c>
      <c r="E483" s="3" t="s">
        <v>15</v>
      </c>
      <c r="F483" s="3" t="s">
        <v>16</v>
      </c>
      <c r="G483" s="0" t="n">
        <v>603</v>
      </c>
      <c r="H483" s="0" t="n">
        <v>123</v>
      </c>
      <c r="I483" s="0" t="n">
        <v>0</v>
      </c>
      <c r="J483" s="0" t="n">
        <v>22</v>
      </c>
      <c r="K483" s="0" t="n">
        <v>4.9</v>
      </c>
      <c r="L483" s="3" t="s">
        <v>17</v>
      </c>
    </row>
    <row r="484" customFormat="false" ht="15" hidden="false" customHeight="false" outlineLevel="0" collapsed="false">
      <c r="A484" s="0" t="s">
        <v>581</v>
      </c>
      <c r="B484" s="0" t="s">
        <v>582</v>
      </c>
      <c r="C484" s="0" t="s">
        <v>13</v>
      </c>
      <c r="D484" s="0" t="s">
        <v>49</v>
      </c>
      <c r="E484" s="0" t="s">
        <v>21</v>
      </c>
      <c r="F484" s="0" t="s">
        <v>22</v>
      </c>
      <c r="G484" s="0" t="n">
        <v>509</v>
      </c>
      <c r="H484" s="0" t="n">
        <v>104</v>
      </c>
      <c r="I484" s="0" t="n">
        <v>0</v>
      </c>
      <c r="J484" s="0" t="n">
        <v>32</v>
      </c>
      <c r="K484" s="0" t="n">
        <v>4</v>
      </c>
      <c r="L484" s="0" t="s">
        <v>17</v>
      </c>
    </row>
    <row r="485" customFormat="false" ht="15" hidden="false" customHeight="false" outlineLevel="0" collapsed="false">
      <c r="A485" s="0" t="s">
        <v>583</v>
      </c>
      <c r="B485" s="2" t="n">
        <v>45825</v>
      </c>
      <c r="C485" s="3" t="s">
        <v>24</v>
      </c>
      <c r="D485" s="3" t="s">
        <v>20</v>
      </c>
      <c r="E485" s="3" t="s">
        <v>21</v>
      </c>
      <c r="F485" s="3" t="s">
        <v>22</v>
      </c>
      <c r="G485" s="0" t="n">
        <v>721</v>
      </c>
      <c r="H485" s="0" t="n">
        <v>0</v>
      </c>
      <c r="I485" s="0" t="n">
        <v>0</v>
      </c>
      <c r="J485" s="0" t="n">
        <v>27</v>
      </c>
      <c r="K485" s="0" t="n">
        <v>4.2</v>
      </c>
      <c r="L485" s="3" t="s">
        <v>17</v>
      </c>
    </row>
    <row r="486" customFormat="false" ht="15" hidden="false" customHeight="false" outlineLevel="0" collapsed="false">
      <c r="A486" s="0" t="s">
        <v>584</v>
      </c>
      <c r="B486" s="2" t="n">
        <v>45823</v>
      </c>
      <c r="C486" s="3" t="s">
        <v>45</v>
      </c>
      <c r="D486" s="3" t="s">
        <v>56</v>
      </c>
      <c r="E486" s="3" t="s">
        <v>21</v>
      </c>
      <c r="F486" s="3" t="s">
        <v>36</v>
      </c>
      <c r="G486" s="0" t="n">
        <v>400</v>
      </c>
      <c r="H486" s="0" t="n">
        <v>0</v>
      </c>
      <c r="I486" s="0" t="n">
        <v>40</v>
      </c>
      <c r="J486" s="0" t="n">
        <v>30</v>
      </c>
      <c r="K486" s="0" t="n">
        <v>3.7</v>
      </c>
      <c r="L486" s="3" t="s">
        <v>17</v>
      </c>
    </row>
    <row r="487" customFormat="false" ht="15" hidden="false" customHeight="false" outlineLevel="0" collapsed="false">
      <c r="A487" s="0" t="s">
        <v>585</v>
      </c>
      <c r="B487" s="2" t="n">
        <v>45750</v>
      </c>
      <c r="C487" s="3" t="s">
        <v>24</v>
      </c>
      <c r="D487" s="3" t="s">
        <v>28</v>
      </c>
      <c r="E487" s="3" t="s">
        <v>15</v>
      </c>
      <c r="F487" s="3" t="s">
        <v>16</v>
      </c>
      <c r="G487" s="0" t="n">
        <v>421</v>
      </c>
      <c r="H487" s="0" t="n">
        <v>0</v>
      </c>
      <c r="I487" s="0" t="n">
        <v>30</v>
      </c>
      <c r="J487" s="0" t="n">
        <v>44</v>
      </c>
      <c r="K487" s="0" t="n">
        <v>4</v>
      </c>
      <c r="L487" s="3" t="s">
        <v>17</v>
      </c>
    </row>
    <row r="488" customFormat="false" ht="15" hidden="false" customHeight="false" outlineLevel="0" collapsed="false">
      <c r="A488" s="0" t="s">
        <v>586</v>
      </c>
      <c r="B488" s="2" t="n">
        <v>45888</v>
      </c>
      <c r="C488" s="3" t="s">
        <v>45</v>
      </c>
      <c r="D488" s="3" t="s">
        <v>14</v>
      </c>
      <c r="E488" s="3" t="s">
        <v>15</v>
      </c>
      <c r="F488" s="3" t="s">
        <v>36</v>
      </c>
      <c r="G488" s="0" t="n">
        <v>348</v>
      </c>
      <c r="H488" s="0" t="n">
        <v>85</v>
      </c>
      <c r="I488" s="0" t="n">
        <v>40</v>
      </c>
      <c r="J488" s="0" t="n">
        <v>43</v>
      </c>
      <c r="K488" s="0" t="n">
        <v>3.5</v>
      </c>
      <c r="L488" s="3" t="s">
        <v>17</v>
      </c>
    </row>
    <row r="489" customFormat="false" ht="15" hidden="false" customHeight="false" outlineLevel="0" collapsed="false">
      <c r="A489" s="0" t="s">
        <v>587</v>
      </c>
      <c r="B489" s="0" t="s">
        <v>588</v>
      </c>
      <c r="C489" s="0" t="s">
        <v>71</v>
      </c>
      <c r="D489" s="0" t="s">
        <v>20</v>
      </c>
      <c r="E489" s="0" t="s">
        <v>15</v>
      </c>
      <c r="F489" s="0" t="s">
        <v>36</v>
      </c>
      <c r="G489" s="0" t="n">
        <v>418</v>
      </c>
      <c r="H489" s="0" t="n">
        <v>49</v>
      </c>
      <c r="I489" s="0" t="n">
        <v>30</v>
      </c>
      <c r="J489" s="0" t="n">
        <v>37</v>
      </c>
      <c r="K489" s="0" t="n">
        <v>4.1</v>
      </c>
      <c r="L489" s="0" t="s">
        <v>17</v>
      </c>
    </row>
    <row r="490" customFormat="false" ht="15" hidden="false" customHeight="false" outlineLevel="0" collapsed="false">
      <c r="A490" s="0" t="s">
        <v>589</v>
      </c>
      <c r="B490" s="0" t="s">
        <v>590</v>
      </c>
      <c r="C490" s="0" t="s">
        <v>27</v>
      </c>
      <c r="D490" s="0" t="s">
        <v>28</v>
      </c>
      <c r="E490" s="0" t="s">
        <v>15</v>
      </c>
      <c r="F490" s="0" t="s">
        <v>54</v>
      </c>
      <c r="G490" s="0" t="n">
        <v>440</v>
      </c>
      <c r="H490" s="0" t="n">
        <v>0</v>
      </c>
      <c r="I490" s="0" t="n">
        <v>30</v>
      </c>
      <c r="J490" s="0" t="n">
        <v>49</v>
      </c>
      <c r="K490" s="0" t="n">
        <v>4.1</v>
      </c>
      <c r="L490" s="0" t="s">
        <v>17</v>
      </c>
    </row>
    <row r="491" customFormat="false" ht="15" hidden="false" customHeight="false" outlineLevel="0" collapsed="false">
      <c r="A491" s="0" t="s">
        <v>591</v>
      </c>
      <c r="B491" s="2" t="n">
        <v>45828</v>
      </c>
      <c r="C491" s="3" t="s">
        <v>51</v>
      </c>
      <c r="D491" s="3" t="s">
        <v>28</v>
      </c>
      <c r="E491" s="3" t="s">
        <v>15</v>
      </c>
      <c r="F491" s="3" t="s">
        <v>54</v>
      </c>
      <c r="G491" s="0" t="n">
        <v>508</v>
      </c>
      <c r="H491" s="0" t="n">
        <v>120</v>
      </c>
      <c r="I491" s="0" t="n">
        <v>0</v>
      </c>
      <c r="J491" s="0" t="n">
        <v>38</v>
      </c>
      <c r="K491" s="0" t="n">
        <v>3.2</v>
      </c>
      <c r="L491" s="3" t="s">
        <v>17</v>
      </c>
    </row>
    <row r="492" customFormat="false" ht="15" hidden="false" customHeight="false" outlineLevel="0" collapsed="false">
      <c r="A492" s="0" t="s">
        <v>592</v>
      </c>
      <c r="B492" s="2" t="n">
        <v>45848</v>
      </c>
      <c r="C492" s="3" t="s">
        <v>24</v>
      </c>
      <c r="D492" s="3" t="s">
        <v>28</v>
      </c>
      <c r="E492" s="3" t="s">
        <v>21</v>
      </c>
      <c r="F492" s="3" t="s">
        <v>22</v>
      </c>
      <c r="G492" s="0" t="n">
        <v>429</v>
      </c>
      <c r="H492" s="0" t="n">
        <v>0</v>
      </c>
      <c r="I492" s="0" t="n">
        <v>20</v>
      </c>
      <c r="J492" s="0" t="n">
        <v>33</v>
      </c>
      <c r="K492" s="0" t="n">
        <v>3.7</v>
      </c>
      <c r="L492" s="3" t="s">
        <v>17</v>
      </c>
    </row>
    <row r="493" customFormat="false" ht="15" hidden="false" customHeight="false" outlineLevel="0" collapsed="false">
      <c r="A493" s="0" t="s">
        <v>593</v>
      </c>
      <c r="B493" s="0" t="s">
        <v>594</v>
      </c>
      <c r="C493" s="0" t="s">
        <v>13</v>
      </c>
      <c r="D493" s="0" t="s">
        <v>28</v>
      </c>
      <c r="E493" s="0" t="s">
        <v>15</v>
      </c>
      <c r="F493" s="0" t="s">
        <v>34</v>
      </c>
      <c r="G493" s="0" t="n">
        <v>308</v>
      </c>
      <c r="H493" s="0" t="n">
        <v>68</v>
      </c>
      <c r="I493" s="0" t="n">
        <v>20</v>
      </c>
      <c r="J493" s="0" t="n">
        <v>20</v>
      </c>
      <c r="K493" s="0" t="n">
        <v>4.4</v>
      </c>
      <c r="L493" s="0" t="s">
        <v>17</v>
      </c>
    </row>
    <row r="494" customFormat="false" ht="15" hidden="false" customHeight="false" outlineLevel="0" collapsed="false">
      <c r="A494" s="0" t="s">
        <v>595</v>
      </c>
      <c r="B494" s="0" t="s">
        <v>596</v>
      </c>
      <c r="C494" s="0" t="s">
        <v>19</v>
      </c>
      <c r="D494" s="0" t="s">
        <v>25</v>
      </c>
      <c r="E494" s="0" t="s">
        <v>21</v>
      </c>
      <c r="F494" s="0" t="s">
        <v>22</v>
      </c>
      <c r="G494" s="0" t="n">
        <v>529</v>
      </c>
      <c r="H494" s="0" t="n">
        <v>0</v>
      </c>
      <c r="I494" s="0" t="n">
        <v>0</v>
      </c>
      <c r="J494" s="0" t="n">
        <v>39</v>
      </c>
      <c r="K494" s="0" t="n">
        <v>4.1</v>
      </c>
      <c r="L494" s="0" t="s">
        <v>17</v>
      </c>
    </row>
    <row r="495" customFormat="false" ht="15" hidden="false" customHeight="false" outlineLevel="0" collapsed="false">
      <c r="A495" s="0" t="s">
        <v>597</v>
      </c>
      <c r="B495" s="2" t="n">
        <v>45880</v>
      </c>
      <c r="C495" s="3" t="s">
        <v>40</v>
      </c>
      <c r="D495" s="3" t="s">
        <v>56</v>
      </c>
      <c r="E495" s="3" t="s">
        <v>15</v>
      </c>
      <c r="F495" s="3" t="s">
        <v>54</v>
      </c>
      <c r="G495" s="0" t="n">
        <v>491</v>
      </c>
      <c r="H495" s="0" t="n">
        <v>102</v>
      </c>
      <c r="I495" s="0" t="n">
        <v>45</v>
      </c>
      <c r="J495" s="0" t="n">
        <v>31</v>
      </c>
      <c r="K495" s="0" t="n">
        <v>4.1</v>
      </c>
      <c r="L495" s="3" t="s">
        <v>17</v>
      </c>
    </row>
    <row r="496" customFormat="false" ht="15" hidden="false" customHeight="false" outlineLevel="0" collapsed="false">
      <c r="A496" s="0" t="s">
        <v>598</v>
      </c>
      <c r="B496" s="2" t="n">
        <v>45927</v>
      </c>
      <c r="C496" s="3" t="s">
        <v>40</v>
      </c>
      <c r="D496" s="3" t="s">
        <v>20</v>
      </c>
      <c r="E496" s="3" t="s">
        <v>15</v>
      </c>
      <c r="F496" s="3" t="s">
        <v>22</v>
      </c>
      <c r="G496" s="0" t="n">
        <v>527</v>
      </c>
      <c r="H496" s="0" t="n">
        <v>98</v>
      </c>
      <c r="I496" s="0" t="n">
        <v>0</v>
      </c>
      <c r="J496" s="0" t="n">
        <v>48</v>
      </c>
      <c r="K496" s="0" t="n">
        <v>3.8</v>
      </c>
      <c r="L496" s="3" t="s">
        <v>17</v>
      </c>
    </row>
    <row r="497" customFormat="false" ht="15" hidden="false" customHeight="false" outlineLevel="0" collapsed="false">
      <c r="A497" s="0" t="s">
        <v>599</v>
      </c>
      <c r="B497" s="0" t="s">
        <v>600</v>
      </c>
      <c r="C497" s="0" t="s">
        <v>13</v>
      </c>
      <c r="D497" s="0" t="s">
        <v>31</v>
      </c>
      <c r="E497" s="0" t="s">
        <v>21</v>
      </c>
      <c r="F497" s="0" t="s">
        <v>34</v>
      </c>
      <c r="G497" s="0" t="n">
        <v>578</v>
      </c>
      <c r="H497" s="0" t="n">
        <v>95</v>
      </c>
      <c r="I497" s="0" t="n">
        <v>0</v>
      </c>
      <c r="J497" s="0" t="n">
        <v>37</v>
      </c>
      <c r="K497" s="0" t="n">
        <v>3.9</v>
      </c>
      <c r="L497" s="0" t="s">
        <v>17</v>
      </c>
    </row>
    <row r="498" customFormat="false" ht="15" hidden="false" customHeight="false" outlineLevel="0" collapsed="false">
      <c r="A498" s="0" t="s">
        <v>601</v>
      </c>
      <c r="B498" s="2" t="n">
        <v>45910</v>
      </c>
      <c r="C498" s="3" t="s">
        <v>24</v>
      </c>
      <c r="D498" s="3" t="s">
        <v>14</v>
      </c>
      <c r="E498" s="3" t="s">
        <v>21</v>
      </c>
      <c r="F498" s="3" t="s">
        <v>36</v>
      </c>
      <c r="G498" s="0" t="n">
        <v>380</v>
      </c>
      <c r="H498" s="0" t="n">
        <v>95</v>
      </c>
      <c r="I498" s="0" t="n">
        <v>45</v>
      </c>
      <c r="J498" s="0" t="n">
        <v>29</v>
      </c>
      <c r="K498" s="0" t="n">
        <v>3.7</v>
      </c>
      <c r="L498" s="3" t="s">
        <v>17</v>
      </c>
    </row>
    <row r="499" customFormat="false" ht="15" hidden="false" customHeight="false" outlineLevel="0" collapsed="false">
      <c r="A499" s="0" t="s">
        <v>602</v>
      </c>
      <c r="B499" s="2" t="n">
        <v>45789</v>
      </c>
      <c r="C499" s="3" t="s">
        <v>40</v>
      </c>
      <c r="D499" s="3" t="s">
        <v>20</v>
      </c>
      <c r="E499" s="3" t="s">
        <v>21</v>
      </c>
      <c r="F499" s="3" t="s">
        <v>22</v>
      </c>
      <c r="G499" s="0" t="n">
        <v>387</v>
      </c>
      <c r="H499" s="0" t="n">
        <v>0</v>
      </c>
      <c r="I499" s="0" t="n">
        <v>45</v>
      </c>
      <c r="J499" s="0" t="n">
        <v>40</v>
      </c>
      <c r="K499" s="0" t="n">
        <v>3.9</v>
      </c>
      <c r="L499" s="3" t="s">
        <v>17</v>
      </c>
    </row>
    <row r="500" customFormat="false" ht="15" hidden="false" customHeight="false" outlineLevel="0" collapsed="false">
      <c r="A500" s="0" t="s">
        <v>603</v>
      </c>
      <c r="B500" s="2" t="n">
        <v>45955</v>
      </c>
      <c r="C500" s="3" t="s">
        <v>27</v>
      </c>
      <c r="D500" s="3" t="s">
        <v>31</v>
      </c>
      <c r="E500" s="3" t="s">
        <v>21</v>
      </c>
      <c r="F500" s="3" t="s">
        <v>36</v>
      </c>
      <c r="G500" s="0" t="n">
        <v>596</v>
      </c>
      <c r="H500" s="0" t="n">
        <v>0</v>
      </c>
      <c r="I500" s="0" t="n">
        <v>0</v>
      </c>
      <c r="L500" s="3" t="s">
        <v>68</v>
      </c>
    </row>
    <row r="501" customFormat="false" ht="15" hidden="false" customHeight="false" outlineLevel="0" collapsed="false">
      <c r="A501" s="0" t="s">
        <v>604</v>
      </c>
      <c r="B501" s="2" t="n">
        <v>45874</v>
      </c>
      <c r="C501" s="3" t="s">
        <v>13</v>
      </c>
      <c r="D501" s="3" t="s">
        <v>14</v>
      </c>
      <c r="E501" s="3" t="s">
        <v>15</v>
      </c>
      <c r="F501" s="3" t="s">
        <v>22</v>
      </c>
      <c r="G501" s="0" t="n">
        <v>363</v>
      </c>
      <c r="H501" s="0" t="n">
        <v>0</v>
      </c>
      <c r="I501" s="0" t="n">
        <v>30</v>
      </c>
      <c r="J501" s="0" t="n">
        <v>44</v>
      </c>
      <c r="K501" s="0" t="n">
        <v>3.9</v>
      </c>
      <c r="L501" s="3" t="s">
        <v>17</v>
      </c>
    </row>
    <row r="502" customFormat="false" ht="15" hidden="false" customHeight="false" outlineLevel="0" collapsed="false">
      <c r="A502" s="0" t="s">
        <v>605</v>
      </c>
      <c r="B502" s="2" t="n">
        <v>45832</v>
      </c>
      <c r="C502" s="3" t="s">
        <v>24</v>
      </c>
      <c r="D502" s="3" t="s">
        <v>28</v>
      </c>
      <c r="E502" s="3" t="s">
        <v>15</v>
      </c>
      <c r="F502" s="3" t="s">
        <v>16</v>
      </c>
      <c r="G502" s="0" t="n">
        <v>507</v>
      </c>
      <c r="H502" s="0" t="n">
        <v>73</v>
      </c>
      <c r="I502" s="0" t="n">
        <v>0</v>
      </c>
      <c r="L502" s="3" t="s">
        <v>68</v>
      </c>
    </row>
    <row r="503" customFormat="false" ht="15" hidden="false" customHeight="false" outlineLevel="0" collapsed="false">
      <c r="A503" s="0" t="s">
        <v>606</v>
      </c>
      <c r="B503" s="2" t="n">
        <v>45901</v>
      </c>
      <c r="C503" s="3" t="s">
        <v>24</v>
      </c>
      <c r="D503" s="3" t="s">
        <v>28</v>
      </c>
      <c r="E503" s="3" t="s">
        <v>21</v>
      </c>
      <c r="F503" s="3" t="s">
        <v>16</v>
      </c>
      <c r="G503" s="0" t="n">
        <v>294</v>
      </c>
      <c r="H503" s="0" t="n">
        <v>0</v>
      </c>
      <c r="I503" s="0" t="n">
        <v>45</v>
      </c>
      <c r="J503" s="0" t="n">
        <v>31</v>
      </c>
      <c r="K503" s="0" t="n">
        <v>4.6</v>
      </c>
      <c r="L503" s="3" t="s">
        <v>17</v>
      </c>
    </row>
    <row r="504" customFormat="false" ht="15" hidden="false" customHeight="false" outlineLevel="0" collapsed="false">
      <c r="A504" s="0" t="s">
        <v>607</v>
      </c>
      <c r="B504" s="2" t="n">
        <v>45806</v>
      </c>
      <c r="C504" s="3" t="s">
        <v>45</v>
      </c>
      <c r="D504" s="3" t="s">
        <v>56</v>
      </c>
      <c r="E504" s="3" t="s">
        <v>21</v>
      </c>
      <c r="F504" s="3" t="s">
        <v>22</v>
      </c>
      <c r="G504" s="0" t="n">
        <v>266</v>
      </c>
      <c r="H504" s="0" t="n">
        <v>39</v>
      </c>
      <c r="I504" s="0" t="n">
        <v>40</v>
      </c>
      <c r="J504" s="0" t="n">
        <v>31</v>
      </c>
      <c r="K504" s="0" t="n">
        <v>4.7</v>
      </c>
      <c r="L504" s="3" t="s">
        <v>17</v>
      </c>
    </row>
    <row r="505" customFormat="false" ht="15" hidden="false" customHeight="false" outlineLevel="0" collapsed="false">
      <c r="A505" s="0" t="s">
        <v>608</v>
      </c>
      <c r="B505" s="2" t="n">
        <v>45862</v>
      </c>
      <c r="C505" s="3" t="s">
        <v>27</v>
      </c>
      <c r="D505" s="3" t="s">
        <v>14</v>
      </c>
      <c r="E505" s="3" t="s">
        <v>21</v>
      </c>
      <c r="F505" s="3" t="s">
        <v>34</v>
      </c>
      <c r="G505" s="0" t="n">
        <v>185</v>
      </c>
      <c r="H505" s="0" t="n">
        <v>0</v>
      </c>
      <c r="I505" s="0" t="n">
        <v>40</v>
      </c>
      <c r="J505" s="0" t="n">
        <v>41</v>
      </c>
      <c r="K505" s="0" t="n">
        <v>3.8</v>
      </c>
      <c r="L505" s="3" t="s">
        <v>17</v>
      </c>
    </row>
    <row r="506" customFormat="false" ht="15" hidden="false" customHeight="false" outlineLevel="0" collapsed="false">
      <c r="A506" s="0" t="s">
        <v>609</v>
      </c>
      <c r="B506" s="2" t="n">
        <v>45939</v>
      </c>
      <c r="C506" s="3" t="s">
        <v>45</v>
      </c>
      <c r="D506" s="3" t="s">
        <v>56</v>
      </c>
      <c r="E506" s="3" t="s">
        <v>15</v>
      </c>
      <c r="F506" s="3" t="s">
        <v>54</v>
      </c>
      <c r="G506" s="0" t="n">
        <v>299</v>
      </c>
      <c r="H506" s="0" t="n">
        <v>0</v>
      </c>
      <c r="I506" s="0" t="n">
        <v>20</v>
      </c>
      <c r="J506" s="0" t="n">
        <v>38</v>
      </c>
      <c r="K506" s="0" t="n">
        <v>3.4</v>
      </c>
      <c r="L506" s="3" t="s">
        <v>17</v>
      </c>
    </row>
    <row r="507" customFormat="false" ht="15" hidden="false" customHeight="false" outlineLevel="0" collapsed="false">
      <c r="A507" s="0" t="s">
        <v>610</v>
      </c>
      <c r="B507" s="2" t="n">
        <v>45987</v>
      </c>
      <c r="C507" s="3" t="s">
        <v>27</v>
      </c>
      <c r="D507" s="3" t="s">
        <v>20</v>
      </c>
      <c r="E507" s="3" t="s">
        <v>58</v>
      </c>
      <c r="F507" s="3" t="s">
        <v>22</v>
      </c>
      <c r="G507" s="0" t="n">
        <v>649</v>
      </c>
      <c r="H507" s="0" t="n">
        <v>0</v>
      </c>
      <c r="I507" s="0" t="n">
        <v>0</v>
      </c>
      <c r="J507" s="0" t="n">
        <v>47</v>
      </c>
      <c r="K507" s="0" t="n">
        <v>4.6</v>
      </c>
      <c r="L507" s="3" t="s">
        <v>17</v>
      </c>
    </row>
    <row r="508" customFormat="false" ht="15" hidden="false" customHeight="false" outlineLevel="0" collapsed="false">
      <c r="A508" s="0" t="s">
        <v>611</v>
      </c>
      <c r="B508" s="2" t="n">
        <v>45998</v>
      </c>
      <c r="C508" s="3" t="s">
        <v>51</v>
      </c>
      <c r="D508" s="3" t="s">
        <v>31</v>
      </c>
      <c r="E508" s="3" t="s">
        <v>21</v>
      </c>
      <c r="F508" s="3" t="s">
        <v>34</v>
      </c>
      <c r="G508" s="0" t="n">
        <v>557</v>
      </c>
      <c r="H508" s="0" t="n">
        <v>0</v>
      </c>
      <c r="I508" s="0" t="n">
        <v>0</v>
      </c>
      <c r="J508" s="0" t="n">
        <v>23</v>
      </c>
      <c r="K508" s="0" t="n">
        <v>4.8</v>
      </c>
      <c r="L508" s="3" t="s">
        <v>17</v>
      </c>
    </row>
    <row r="509" customFormat="false" ht="15" hidden="false" customHeight="false" outlineLevel="0" collapsed="false">
      <c r="A509" s="0" t="s">
        <v>612</v>
      </c>
      <c r="B509" s="2" t="n">
        <v>45858</v>
      </c>
      <c r="C509" s="3" t="s">
        <v>13</v>
      </c>
      <c r="D509" s="3" t="s">
        <v>20</v>
      </c>
      <c r="E509" s="3" t="s">
        <v>15</v>
      </c>
      <c r="F509" s="3" t="s">
        <v>54</v>
      </c>
      <c r="G509" s="0" t="n">
        <v>522</v>
      </c>
      <c r="H509" s="0" t="n">
        <v>97</v>
      </c>
      <c r="I509" s="0" t="n">
        <v>0</v>
      </c>
      <c r="J509" s="0" t="n">
        <v>36</v>
      </c>
      <c r="K509" s="0" t="n">
        <v>3.8</v>
      </c>
      <c r="L509" s="3" t="s">
        <v>17</v>
      </c>
    </row>
    <row r="510" customFormat="false" ht="15" hidden="false" customHeight="false" outlineLevel="0" collapsed="false">
      <c r="A510" s="0" t="s">
        <v>613</v>
      </c>
      <c r="B510" s="2" t="n">
        <v>45864</v>
      </c>
      <c r="C510" s="3" t="s">
        <v>40</v>
      </c>
      <c r="D510" s="3" t="s">
        <v>28</v>
      </c>
      <c r="E510" s="3" t="s">
        <v>15</v>
      </c>
      <c r="F510" s="3" t="s">
        <v>36</v>
      </c>
      <c r="G510" s="0" t="n">
        <v>539</v>
      </c>
      <c r="H510" s="0" t="n">
        <v>0</v>
      </c>
      <c r="I510" s="0" t="n">
        <v>0</v>
      </c>
      <c r="J510" s="0" t="n">
        <v>37</v>
      </c>
      <c r="K510" s="0" t="n">
        <v>4.4</v>
      </c>
      <c r="L510" s="3" t="s">
        <v>17</v>
      </c>
    </row>
    <row r="511" customFormat="false" ht="15" hidden="false" customHeight="false" outlineLevel="0" collapsed="false">
      <c r="A511" s="0" t="s">
        <v>614</v>
      </c>
      <c r="B511" s="2" t="n">
        <v>45959</v>
      </c>
      <c r="C511" s="3" t="s">
        <v>45</v>
      </c>
      <c r="D511" s="3" t="s">
        <v>20</v>
      </c>
      <c r="E511" s="3" t="s">
        <v>21</v>
      </c>
      <c r="F511" s="3" t="s">
        <v>22</v>
      </c>
      <c r="G511" s="0" t="n">
        <v>660</v>
      </c>
      <c r="H511" s="0" t="n">
        <v>0</v>
      </c>
      <c r="I511" s="0" t="n">
        <v>0</v>
      </c>
      <c r="J511" s="0" t="n">
        <v>30</v>
      </c>
      <c r="K511" s="0" t="n">
        <v>4.9</v>
      </c>
      <c r="L511" s="3" t="s">
        <v>17</v>
      </c>
    </row>
    <row r="512" customFormat="false" ht="15" hidden="false" customHeight="false" outlineLevel="0" collapsed="false">
      <c r="A512" s="0" t="s">
        <v>615</v>
      </c>
      <c r="B512" s="2" t="n">
        <v>45788</v>
      </c>
      <c r="C512" s="3" t="s">
        <v>123</v>
      </c>
      <c r="D512" s="3" t="s">
        <v>56</v>
      </c>
      <c r="E512" s="3" t="s">
        <v>21</v>
      </c>
      <c r="F512" s="3" t="s">
        <v>54</v>
      </c>
      <c r="G512" s="0" t="n">
        <v>378</v>
      </c>
      <c r="H512" s="0" t="n">
        <v>0</v>
      </c>
      <c r="I512" s="0" t="n">
        <v>30</v>
      </c>
      <c r="J512" s="0" t="n">
        <v>44</v>
      </c>
      <c r="K512" s="0" t="n">
        <v>4.9</v>
      </c>
      <c r="L512" s="3" t="s">
        <v>17</v>
      </c>
    </row>
    <row r="513" customFormat="false" ht="15" hidden="false" customHeight="false" outlineLevel="0" collapsed="false">
      <c r="A513" s="0" t="s">
        <v>616</v>
      </c>
      <c r="B513" s="2" t="n">
        <v>45971</v>
      </c>
      <c r="C513" s="3" t="s">
        <v>40</v>
      </c>
      <c r="D513" s="3" t="s">
        <v>14</v>
      </c>
      <c r="E513" s="3" t="s">
        <v>21</v>
      </c>
      <c r="F513" s="3" t="s">
        <v>22</v>
      </c>
      <c r="G513" s="0" t="n">
        <v>191</v>
      </c>
      <c r="H513" s="0" t="n">
        <v>0</v>
      </c>
      <c r="I513" s="0" t="n">
        <v>30</v>
      </c>
      <c r="J513" s="0" t="n">
        <v>46</v>
      </c>
      <c r="K513" s="0" t="n">
        <v>4.1</v>
      </c>
      <c r="L513" s="3" t="s">
        <v>17</v>
      </c>
    </row>
    <row r="514" customFormat="false" ht="15" hidden="false" customHeight="false" outlineLevel="0" collapsed="false">
      <c r="A514" s="0" t="s">
        <v>617</v>
      </c>
      <c r="B514" s="2" t="n">
        <v>45855</v>
      </c>
      <c r="C514" s="3" t="s">
        <v>40</v>
      </c>
      <c r="D514" s="3" t="s">
        <v>28</v>
      </c>
      <c r="E514" s="3" t="s">
        <v>21</v>
      </c>
      <c r="F514" s="3" t="s">
        <v>34</v>
      </c>
      <c r="G514" s="0" t="n">
        <v>515</v>
      </c>
      <c r="H514" s="0" t="n">
        <v>0</v>
      </c>
      <c r="I514" s="0" t="n">
        <v>0</v>
      </c>
      <c r="J514" s="0" t="n">
        <v>45</v>
      </c>
      <c r="K514" s="0" t="n">
        <v>4.6</v>
      </c>
      <c r="L514" s="3" t="s">
        <v>17</v>
      </c>
    </row>
    <row r="515" customFormat="false" ht="15" hidden="false" customHeight="false" outlineLevel="0" collapsed="false">
      <c r="A515" s="0" t="s">
        <v>618</v>
      </c>
      <c r="B515" s="2" t="n">
        <v>45708</v>
      </c>
      <c r="C515" s="3" t="s">
        <v>13</v>
      </c>
      <c r="D515" s="3" t="s">
        <v>25</v>
      </c>
      <c r="E515" s="3" t="s">
        <v>21</v>
      </c>
      <c r="F515" s="3" t="s">
        <v>34</v>
      </c>
      <c r="G515" s="0" t="n">
        <v>576</v>
      </c>
      <c r="H515" s="0" t="n">
        <v>0</v>
      </c>
      <c r="I515" s="0" t="n">
        <v>0</v>
      </c>
      <c r="J515" s="0" t="n">
        <v>28</v>
      </c>
      <c r="K515" s="0" t="n">
        <v>3.8</v>
      </c>
      <c r="L515" s="3" t="s">
        <v>17</v>
      </c>
    </row>
    <row r="516" customFormat="false" ht="15" hidden="false" customHeight="false" outlineLevel="0" collapsed="false">
      <c r="A516" s="0" t="s">
        <v>619</v>
      </c>
      <c r="B516" s="2" t="n">
        <v>45689</v>
      </c>
      <c r="C516" s="3" t="s">
        <v>40</v>
      </c>
      <c r="D516" s="3" t="s">
        <v>78</v>
      </c>
      <c r="E516" s="3" t="s">
        <v>15</v>
      </c>
      <c r="F516" s="3" t="s">
        <v>36</v>
      </c>
      <c r="G516" s="0" t="n">
        <v>479</v>
      </c>
      <c r="H516" s="0" t="n">
        <v>0</v>
      </c>
      <c r="I516" s="0" t="n">
        <v>45</v>
      </c>
      <c r="J516" s="0" t="n">
        <v>38</v>
      </c>
      <c r="K516" s="0" t="n">
        <v>4.2</v>
      </c>
      <c r="L516" s="3" t="s">
        <v>17</v>
      </c>
    </row>
    <row r="517" customFormat="false" ht="15" hidden="false" customHeight="false" outlineLevel="0" collapsed="false">
      <c r="A517" s="0" t="s">
        <v>620</v>
      </c>
      <c r="B517" s="2" t="n">
        <v>45973</v>
      </c>
      <c r="C517" s="3" t="s">
        <v>24</v>
      </c>
      <c r="D517" s="3" t="s">
        <v>28</v>
      </c>
      <c r="E517" s="3" t="s">
        <v>21</v>
      </c>
      <c r="F517" s="3" t="s">
        <v>22</v>
      </c>
      <c r="G517" s="0" t="n">
        <v>425</v>
      </c>
      <c r="H517" s="0" t="n">
        <v>0</v>
      </c>
      <c r="I517" s="0" t="n">
        <v>40</v>
      </c>
      <c r="J517" s="0" t="n">
        <v>33</v>
      </c>
      <c r="K517" s="0" t="n">
        <v>4.2</v>
      </c>
      <c r="L517" s="3" t="s">
        <v>17</v>
      </c>
    </row>
    <row r="518" customFormat="false" ht="15" hidden="false" customHeight="false" outlineLevel="0" collapsed="false">
      <c r="A518" s="0" t="s">
        <v>621</v>
      </c>
      <c r="B518" s="2" t="n">
        <v>45682</v>
      </c>
      <c r="C518" s="3" t="s">
        <v>40</v>
      </c>
      <c r="D518" s="3" t="s">
        <v>78</v>
      </c>
      <c r="E518" s="3" t="s">
        <v>15</v>
      </c>
      <c r="F518" s="3" t="s">
        <v>22</v>
      </c>
      <c r="G518" s="0" t="n">
        <v>470</v>
      </c>
      <c r="H518" s="0" t="n">
        <v>52</v>
      </c>
      <c r="I518" s="0" t="n">
        <v>30</v>
      </c>
      <c r="J518" s="0" t="n">
        <v>26</v>
      </c>
      <c r="L518" s="3" t="s">
        <v>17</v>
      </c>
    </row>
    <row r="519" customFormat="false" ht="15" hidden="false" customHeight="false" outlineLevel="0" collapsed="false">
      <c r="A519" s="0" t="s">
        <v>622</v>
      </c>
      <c r="B519" s="2" t="n">
        <v>45775</v>
      </c>
      <c r="C519" s="3" t="s">
        <v>27</v>
      </c>
      <c r="D519" s="3" t="s">
        <v>78</v>
      </c>
      <c r="E519" s="3" t="s">
        <v>21</v>
      </c>
      <c r="F519" s="3" t="s">
        <v>36</v>
      </c>
      <c r="G519" s="0" t="n">
        <v>298</v>
      </c>
      <c r="H519" s="0" t="n">
        <v>36</v>
      </c>
      <c r="I519" s="0" t="n">
        <v>40</v>
      </c>
      <c r="J519" s="0" t="n">
        <v>41</v>
      </c>
      <c r="K519" s="0" t="n">
        <v>4.9</v>
      </c>
      <c r="L519" s="3" t="s">
        <v>17</v>
      </c>
    </row>
    <row r="520" customFormat="false" ht="15" hidden="false" customHeight="false" outlineLevel="0" collapsed="false">
      <c r="A520" s="0" t="s">
        <v>623</v>
      </c>
      <c r="B520" s="2" t="n">
        <v>45795</v>
      </c>
      <c r="C520" s="3" t="s">
        <v>27</v>
      </c>
      <c r="D520" s="3" t="s">
        <v>49</v>
      </c>
      <c r="E520" s="3" t="s">
        <v>15</v>
      </c>
      <c r="F520" s="3" t="s">
        <v>22</v>
      </c>
      <c r="G520" s="0" t="n">
        <v>368</v>
      </c>
      <c r="H520" s="0" t="n">
        <v>88</v>
      </c>
      <c r="I520" s="0" t="n">
        <v>20</v>
      </c>
      <c r="J520" s="0" t="n">
        <v>55</v>
      </c>
      <c r="K520" s="0" t="n">
        <v>3.9</v>
      </c>
      <c r="L520" s="3" t="s">
        <v>17</v>
      </c>
    </row>
    <row r="521" customFormat="false" ht="15" hidden="false" customHeight="false" outlineLevel="0" collapsed="false">
      <c r="A521" s="0" t="s">
        <v>624</v>
      </c>
      <c r="B521" s="2" t="n">
        <v>45732</v>
      </c>
      <c r="C521" s="3" t="s">
        <v>27</v>
      </c>
      <c r="D521" s="3" t="s">
        <v>28</v>
      </c>
      <c r="E521" s="3" t="s">
        <v>15</v>
      </c>
      <c r="F521" s="3" t="s">
        <v>16</v>
      </c>
      <c r="G521" s="0" t="n">
        <v>568</v>
      </c>
      <c r="H521" s="0" t="n">
        <v>63</v>
      </c>
      <c r="I521" s="0" t="n">
        <v>0</v>
      </c>
      <c r="J521" s="0" t="n">
        <v>30</v>
      </c>
      <c r="K521" s="0" t="n">
        <v>3.9</v>
      </c>
      <c r="L521" s="3" t="s">
        <v>17</v>
      </c>
    </row>
    <row r="522" customFormat="false" ht="15" hidden="false" customHeight="false" outlineLevel="0" collapsed="false">
      <c r="A522" s="0" t="s">
        <v>625</v>
      </c>
      <c r="B522" s="2" t="n">
        <v>45788</v>
      </c>
      <c r="C522" s="3" t="s">
        <v>47</v>
      </c>
      <c r="D522" s="3" t="s">
        <v>20</v>
      </c>
      <c r="E522" s="3" t="s">
        <v>21</v>
      </c>
      <c r="F522" s="3" t="s">
        <v>36</v>
      </c>
      <c r="G522" s="0" t="n">
        <v>548</v>
      </c>
      <c r="H522" s="0" t="n">
        <v>0</v>
      </c>
      <c r="I522" s="0" t="n">
        <v>0</v>
      </c>
      <c r="J522" s="0" t="n">
        <v>36</v>
      </c>
      <c r="K522" s="0" t="n">
        <v>3.6</v>
      </c>
      <c r="L522" s="3" t="s">
        <v>17</v>
      </c>
    </row>
    <row r="523" customFormat="false" ht="15" hidden="false" customHeight="false" outlineLevel="0" collapsed="false">
      <c r="A523" s="0" t="s">
        <v>626</v>
      </c>
      <c r="B523" s="2" t="n">
        <v>45941</v>
      </c>
      <c r="C523" s="3" t="s">
        <v>40</v>
      </c>
      <c r="D523" s="3" t="s">
        <v>31</v>
      </c>
      <c r="E523" s="3" t="s">
        <v>21</v>
      </c>
      <c r="F523" s="3" t="s">
        <v>34</v>
      </c>
      <c r="G523" s="0" t="n">
        <v>427</v>
      </c>
      <c r="H523" s="0" t="n">
        <v>91</v>
      </c>
      <c r="I523" s="0" t="n">
        <v>45</v>
      </c>
      <c r="L523" s="3" t="s">
        <v>68</v>
      </c>
    </row>
    <row r="524" customFormat="false" ht="15" hidden="false" customHeight="false" outlineLevel="0" collapsed="false">
      <c r="A524" s="0" t="s">
        <v>627</v>
      </c>
      <c r="B524" s="2" t="n">
        <v>45664</v>
      </c>
      <c r="C524" s="3" t="s">
        <v>27</v>
      </c>
      <c r="D524" s="3" t="s">
        <v>20</v>
      </c>
      <c r="E524" s="3" t="s">
        <v>21</v>
      </c>
      <c r="F524" s="3" t="s">
        <v>22</v>
      </c>
      <c r="G524" s="0" t="n">
        <v>736</v>
      </c>
      <c r="H524" s="0" t="n">
        <v>0</v>
      </c>
      <c r="I524" s="0" t="n">
        <v>0</v>
      </c>
      <c r="J524" s="0" t="n">
        <v>44</v>
      </c>
      <c r="K524" s="0" t="n">
        <v>4.3</v>
      </c>
      <c r="L524" s="3" t="s">
        <v>17</v>
      </c>
    </row>
    <row r="525" customFormat="false" ht="15" hidden="false" customHeight="false" outlineLevel="0" collapsed="false">
      <c r="A525" s="0" t="s">
        <v>628</v>
      </c>
      <c r="B525" s="2" t="n">
        <v>45968</v>
      </c>
      <c r="C525" s="3" t="s">
        <v>24</v>
      </c>
      <c r="D525" s="3" t="s">
        <v>28</v>
      </c>
      <c r="E525" s="3" t="s">
        <v>21</v>
      </c>
      <c r="F525" s="3" t="s">
        <v>22</v>
      </c>
      <c r="G525" s="0" t="n">
        <v>459</v>
      </c>
      <c r="H525" s="0" t="n">
        <v>61</v>
      </c>
      <c r="I525" s="0" t="n">
        <v>30</v>
      </c>
      <c r="J525" s="0" t="n">
        <v>29</v>
      </c>
      <c r="K525" s="0" t="n">
        <v>4.6</v>
      </c>
      <c r="L525" s="3" t="s">
        <v>17</v>
      </c>
    </row>
    <row r="526" customFormat="false" ht="15" hidden="false" customHeight="false" outlineLevel="0" collapsed="false">
      <c r="A526" s="0" t="s">
        <v>629</v>
      </c>
      <c r="B526" s="2" t="n">
        <v>45977</v>
      </c>
      <c r="C526" s="3" t="s">
        <v>13</v>
      </c>
      <c r="D526" s="3" t="s">
        <v>56</v>
      </c>
      <c r="E526" s="3" t="s">
        <v>21</v>
      </c>
      <c r="F526" s="3" t="s">
        <v>54</v>
      </c>
      <c r="G526" s="0" t="n">
        <v>316</v>
      </c>
      <c r="H526" s="0" t="n">
        <v>0</v>
      </c>
      <c r="I526" s="0" t="n">
        <v>45</v>
      </c>
      <c r="J526" s="0" t="n">
        <v>23</v>
      </c>
      <c r="K526" s="0" t="n">
        <v>4.4</v>
      </c>
      <c r="L526" s="3" t="s">
        <v>17</v>
      </c>
    </row>
    <row r="527" customFormat="false" ht="15" hidden="false" customHeight="false" outlineLevel="0" collapsed="false">
      <c r="A527" s="0" t="s">
        <v>630</v>
      </c>
      <c r="B527" s="2" t="n">
        <v>45810</v>
      </c>
      <c r="C527" s="3" t="s">
        <v>40</v>
      </c>
      <c r="D527" s="3" t="s">
        <v>14</v>
      </c>
      <c r="E527" s="3" t="s">
        <v>21</v>
      </c>
      <c r="F527" s="3" t="s">
        <v>16</v>
      </c>
      <c r="G527" s="0" t="n">
        <v>289</v>
      </c>
      <c r="H527" s="0" t="n">
        <v>0</v>
      </c>
      <c r="I527" s="0" t="n">
        <v>30</v>
      </c>
      <c r="J527" s="0" t="n">
        <v>28</v>
      </c>
      <c r="K527" s="0" t="n">
        <v>4.6</v>
      </c>
      <c r="L527" s="3" t="s">
        <v>17</v>
      </c>
    </row>
    <row r="528" customFormat="false" ht="15" hidden="false" customHeight="false" outlineLevel="0" collapsed="false">
      <c r="A528" s="0" t="s">
        <v>631</v>
      </c>
      <c r="B528" s="2" t="n">
        <v>45724</v>
      </c>
      <c r="C528" s="3" t="s">
        <v>40</v>
      </c>
      <c r="D528" s="3" t="s">
        <v>31</v>
      </c>
      <c r="E528" s="3" t="s">
        <v>21</v>
      </c>
      <c r="F528" s="3" t="s">
        <v>22</v>
      </c>
      <c r="G528" s="0" t="n">
        <v>493</v>
      </c>
      <c r="H528" s="0" t="n">
        <v>0</v>
      </c>
      <c r="I528" s="0" t="n">
        <v>45</v>
      </c>
      <c r="J528" s="0" t="n">
        <v>47</v>
      </c>
      <c r="K528" s="0" t="n">
        <v>3.5</v>
      </c>
      <c r="L528" s="3" t="s">
        <v>17</v>
      </c>
    </row>
    <row r="529" customFormat="false" ht="15" hidden="false" customHeight="false" outlineLevel="0" collapsed="false">
      <c r="A529" s="0" t="s">
        <v>632</v>
      </c>
      <c r="B529" s="2" t="n">
        <v>45892</v>
      </c>
      <c r="C529" s="3" t="s">
        <v>24</v>
      </c>
      <c r="D529" s="3" t="s">
        <v>56</v>
      </c>
      <c r="E529" s="3" t="s">
        <v>21</v>
      </c>
      <c r="F529" s="3" t="s">
        <v>22</v>
      </c>
      <c r="G529" s="0" t="n">
        <v>248</v>
      </c>
      <c r="H529" s="0" t="n">
        <v>0</v>
      </c>
      <c r="I529" s="0" t="n">
        <v>40</v>
      </c>
      <c r="J529" s="0" t="n">
        <v>29</v>
      </c>
      <c r="L529" s="3" t="s">
        <v>17</v>
      </c>
    </row>
    <row r="530" customFormat="false" ht="15" hidden="false" customHeight="false" outlineLevel="0" collapsed="false">
      <c r="A530" s="0" t="s">
        <v>633</v>
      </c>
      <c r="B530" s="2" t="n">
        <v>45710</v>
      </c>
      <c r="C530" s="3" t="s">
        <v>27</v>
      </c>
      <c r="D530" s="3" t="s">
        <v>56</v>
      </c>
      <c r="E530" s="3" t="s">
        <v>21</v>
      </c>
      <c r="F530" s="3" t="s">
        <v>22</v>
      </c>
      <c r="G530" s="0" t="n">
        <v>300</v>
      </c>
      <c r="H530" s="0" t="n">
        <v>40</v>
      </c>
      <c r="I530" s="0" t="n">
        <v>45</v>
      </c>
      <c r="J530" s="0" t="n">
        <v>39</v>
      </c>
      <c r="K530" s="0" t="n">
        <v>3.6</v>
      </c>
      <c r="L530" s="3" t="s">
        <v>17</v>
      </c>
    </row>
    <row r="531" customFormat="false" ht="15" hidden="false" customHeight="false" outlineLevel="0" collapsed="false">
      <c r="A531" s="0" t="s">
        <v>634</v>
      </c>
      <c r="B531" s="2" t="n">
        <v>45807</v>
      </c>
      <c r="C531" s="3" t="s">
        <v>24</v>
      </c>
      <c r="D531" s="3" t="s">
        <v>56</v>
      </c>
      <c r="E531" s="3" t="s">
        <v>21</v>
      </c>
      <c r="F531" s="3" t="s">
        <v>54</v>
      </c>
      <c r="G531" s="0" t="n">
        <v>409</v>
      </c>
      <c r="H531" s="0" t="n">
        <v>42</v>
      </c>
      <c r="I531" s="0" t="n">
        <v>45</v>
      </c>
      <c r="J531" s="0" t="n">
        <v>51</v>
      </c>
      <c r="K531" s="0" t="n">
        <v>3.7</v>
      </c>
      <c r="L531" s="3" t="s">
        <v>17</v>
      </c>
    </row>
    <row r="532" customFormat="false" ht="15" hidden="false" customHeight="false" outlineLevel="0" collapsed="false">
      <c r="A532" s="0" t="s">
        <v>635</v>
      </c>
      <c r="B532" s="2" t="n">
        <v>46010</v>
      </c>
      <c r="C532" s="3" t="s">
        <v>30</v>
      </c>
      <c r="D532" s="3" t="s">
        <v>31</v>
      </c>
      <c r="E532" s="3" t="s">
        <v>21</v>
      </c>
      <c r="F532" s="3" t="s">
        <v>22</v>
      </c>
      <c r="G532" s="0" t="n">
        <v>493</v>
      </c>
      <c r="H532" s="0" t="n">
        <v>0</v>
      </c>
      <c r="I532" s="0" t="n">
        <v>30</v>
      </c>
      <c r="J532" s="0" t="n">
        <v>26</v>
      </c>
      <c r="K532" s="0" t="n">
        <v>4.2</v>
      </c>
      <c r="L532" s="3" t="s">
        <v>17</v>
      </c>
    </row>
    <row r="533" customFormat="false" ht="15" hidden="false" customHeight="false" outlineLevel="0" collapsed="false">
      <c r="A533" s="0" t="s">
        <v>636</v>
      </c>
      <c r="B533" s="2" t="n">
        <v>46021</v>
      </c>
      <c r="C533" s="3" t="s">
        <v>24</v>
      </c>
      <c r="D533" s="3" t="s">
        <v>31</v>
      </c>
      <c r="E533" s="3" t="s">
        <v>15</v>
      </c>
      <c r="F533" s="3" t="s">
        <v>22</v>
      </c>
      <c r="G533" s="0" t="n">
        <v>673</v>
      </c>
      <c r="H533" s="0" t="n">
        <v>102</v>
      </c>
      <c r="I533" s="0" t="n">
        <v>0</v>
      </c>
      <c r="J533" s="0" t="n">
        <v>38</v>
      </c>
      <c r="K533" s="0" t="n">
        <v>2.6</v>
      </c>
      <c r="L533" s="3" t="s">
        <v>17</v>
      </c>
    </row>
    <row r="534" customFormat="false" ht="15" hidden="false" customHeight="false" outlineLevel="0" collapsed="false">
      <c r="A534" s="0" t="s">
        <v>637</v>
      </c>
      <c r="B534" s="2" t="n">
        <v>45950</v>
      </c>
      <c r="C534" s="3" t="s">
        <v>27</v>
      </c>
      <c r="D534" s="3" t="s">
        <v>14</v>
      </c>
      <c r="E534" s="3" t="s">
        <v>21</v>
      </c>
      <c r="F534" s="3" t="s">
        <v>16</v>
      </c>
      <c r="G534" s="0" t="n">
        <v>341</v>
      </c>
      <c r="H534" s="0" t="n">
        <v>53</v>
      </c>
      <c r="I534" s="0" t="n">
        <v>45</v>
      </c>
      <c r="L534" s="3" t="s">
        <v>68</v>
      </c>
    </row>
    <row r="535" customFormat="false" ht="15" hidden="false" customHeight="false" outlineLevel="0" collapsed="false">
      <c r="A535" s="0" t="s">
        <v>638</v>
      </c>
      <c r="B535" s="2" t="n">
        <v>45787</v>
      </c>
      <c r="C535" s="3" t="s">
        <v>27</v>
      </c>
      <c r="D535" s="3" t="s">
        <v>56</v>
      </c>
      <c r="E535" s="3" t="s">
        <v>15</v>
      </c>
      <c r="F535" s="3" t="s">
        <v>22</v>
      </c>
      <c r="G535" s="0" t="n">
        <v>365</v>
      </c>
      <c r="H535" s="0" t="n">
        <v>0</v>
      </c>
      <c r="I535" s="0" t="n">
        <v>20</v>
      </c>
      <c r="J535" s="0" t="n">
        <v>49</v>
      </c>
      <c r="L535" s="3" t="s">
        <v>17</v>
      </c>
    </row>
    <row r="536" customFormat="false" ht="15" hidden="false" customHeight="false" outlineLevel="0" collapsed="false">
      <c r="A536" s="0" t="s">
        <v>639</v>
      </c>
      <c r="B536" s="2" t="n">
        <v>45922</v>
      </c>
      <c r="C536" s="3" t="s">
        <v>40</v>
      </c>
      <c r="D536" s="3" t="s">
        <v>31</v>
      </c>
      <c r="E536" s="3" t="s">
        <v>15</v>
      </c>
      <c r="F536" s="3" t="s">
        <v>22</v>
      </c>
      <c r="G536" s="0" t="n">
        <v>545</v>
      </c>
      <c r="H536" s="0" t="n">
        <v>0</v>
      </c>
      <c r="I536" s="0" t="n">
        <v>0</v>
      </c>
      <c r="J536" s="0" t="n">
        <v>29</v>
      </c>
      <c r="K536" s="0" t="n">
        <v>4.3</v>
      </c>
      <c r="L536" s="3" t="s">
        <v>17</v>
      </c>
    </row>
    <row r="537" customFormat="false" ht="15" hidden="false" customHeight="false" outlineLevel="0" collapsed="false">
      <c r="A537" s="0" t="s">
        <v>640</v>
      </c>
      <c r="B537" s="2" t="n">
        <v>45928</v>
      </c>
      <c r="C537" s="3" t="s">
        <v>27</v>
      </c>
      <c r="D537" s="3" t="s">
        <v>31</v>
      </c>
      <c r="E537" s="3" t="s">
        <v>21</v>
      </c>
      <c r="F537" s="3" t="s">
        <v>54</v>
      </c>
      <c r="G537" s="0" t="n">
        <v>461</v>
      </c>
      <c r="H537" s="0" t="n">
        <v>0</v>
      </c>
      <c r="I537" s="0" t="n">
        <v>20</v>
      </c>
      <c r="J537" s="0" t="n">
        <v>37</v>
      </c>
      <c r="K537" s="0" t="n">
        <v>4.2</v>
      </c>
      <c r="L537" s="3" t="s">
        <v>17</v>
      </c>
    </row>
    <row r="538" customFormat="false" ht="15" hidden="false" customHeight="false" outlineLevel="0" collapsed="false">
      <c r="A538" s="0" t="s">
        <v>641</v>
      </c>
      <c r="B538" s="2" t="n">
        <v>45816</v>
      </c>
      <c r="C538" s="3" t="s">
        <v>24</v>
      </c>
      <c r="D538" s="3" t="s">
        <v>56</v>
      </c>
      <c r="E538" s="3" t="s">
        <v>15</v>
      </c>
      <c r="F538" s="3" t="s">
        <v>36</v>
      </c>
      <c r="G538" s="0" t="n">
        <v>211</v>
      </c>
      <c r="H538" s="0" t="n">
        <v>39</v>
      </c>
      <c r="I538" s="0" t="n">
        <v>45</v>
      </c>
      <c r="J538" s="0" t="n">
        <v>38</v>
      </c>
      <c r="K538" s="0" t="n">
        <v>5</v>
      </c>
      <c r="L538" s="3" t="s">
        <v>17</v>
      </c>
    </row>
    <row r="539" customFormat="false" ht="15" hidden="false" customHeight="false" outlineLevel="0" collapsed="false">
      <c r="A539" s="0" t="s">
        <v>642</v>
      </c>
      <c r="B539" s="2" t="n">
        <v>45906</v>
      </c>
      <c r="C539" s="3" t="s">
        <v>27</v>
      </c>
      <c r="D539" s="3" t="s">
        <v>31</v>
      </c>
      <c r="E539" s="3" t="s">
        <v>21</v>
      </c>
      <c r="F539" s="3" t="s">
        <v>22</v>
      </c>
      <c r="G539" s="0" t="n">
        <v>516</v>
      </c>
      <c r="H539" s="0" t="n">
        <v>0</v>
      </c>
      <c r="I539" s="0" t="n">
        <v>0</v>
      </c>
      <c r="J539" s="0" t="n">
        <v>56</v>
      </c>
      <c r="K539" s="0" t="n">
        <v>3.9</v>
      </c>
      <c r="L539" s="3" t="s">
        <v>17</v>
      </c>
    </row>
    <row r="540" customFormat="false" ht="15" hidden="false" customHeight="false" outlineLevel="0" collapsed="false">
      <c r="A540" s="0" t="s">
        <v>643</v>
      </c>
      <c r="B540" s="2" t="n">
        <v>45662</v>
      </c>
      <c r="C540" s="3" t="s">
        <v>40</v>
      </c>
      <c r="D540" s="3" t="s">
        <v>28</v>
      </c>
      <c r="E540" s="3" t="s">
        <v>21</v>
      </c>
      <c r="F540" s="3" t="s">
        <v>16</v>
      </c>
      <c r="G540" s="0" t="n">
        <v>478</v>
      </c>
      <c r="H540" s="0" t="n">
        <v>94</v>
      </c>
      <c r="I540" s="0" t="n">
        <v>40</v>
      </c>
      <c r="J540" s="0" t="n">
        <v>33</v>
      </c>
      <c r="K540" s="0" t="n">
        <v>4.5</v>
      </c>
      <c r="L540" s="3" t="s">
        <v>17</v>
      </c>
    </row>
    <row r="541" customFormat="false" ht="15" hidden="false" customHeight="false" outlineLevel="0" collapsed="false">
      <c r="A541" s="0" t="s">
        <v>644</v>
      </c>
      <c r="B541" s="2" t="n">
        <v>45746</v>
      </c>
      <c r="C541" s="3" t="s">
        <v>30</v>
      </c>
      <c r="D541" s="3" t="s">
        <v>14</v>
      </c>
      <c r="E541" s="3" t="s">
        <v>15</v>
      </c>
      <c r="F541" s="3" t="s">
        <v>22</v>
      </c>
      <c r="G541" s="0" t="n">
        <v>262</v>
      </c>
      <c r="H541" s="0" t="n">
        <v>27</v>
      </c>
      <c r="I541" s="0" t="n">
        <v>30</v>
      </c>
      <c r="J541" s="0" t="n">
        <v>28</v>
      </c>
      <c r="K541" s="0" t="n">
        <v>4.7</v>
      </c>
      <c r="L541" s="3" t="s">
        <v>17</v>
      </c>
    </row>
    <row r="542" customFormat="false" ht="15" hidden="false" customHeight="false" outlineLevel="0" collapsed="false">
      <c r="A542" s="0" t="s">
        <v>644</v>
      </c>
      <c r="B542" s="2" t="n">
        <v>45746</v>
      </c>
      <c r="C542" s="3" t="s">
        <v>30</v>
      </c>
      <c r="D542" s="3" t="s">
        <v>14</v>
      </c>
      <c r="E542" s="3" t="s">
        <v>15</v>
      </c>
      <c r="F542" s="3" t="s">
        <v>22</v>
      </c>
      <c r="G542" s="0" t="n">
        <v>262</v>
      </c>
      <c r="H542" s="0" t="n">
        <v>27</v>
      </c>
      <c r="I542" s="0" t="n">
        <v>30</v>
      </c>
      <c r="J542" s="0" t="n">
        <v>28</v>
      </c>
      <c r="K542" s="0" t="n">
        <v>4.7</v>
      </c>
      <c r="L542" s="3" t="s">
        <v>17</v>
      </c>
    </row>
    <row r="543" customFormat="false" ht="15" hidden="false" customHeight="false" outlineLevel="0" collapsed="false">
      <c r="A543" s="0" t="s">
        <v>645</v>
      </c>
      <c r="B543" s="2" t="n">
        <v>45866</v>
      </c>
      <c r="C543" s="3" t="s">
        <v>51</v>
      </c>
      <c r="D543" s="3" t="s">
        <v>25</v>
      </c>
      <c r="E543" s="3" t="s">
        <v>21</v>
      </c>
      <c r="F543" s="3" t="s">
        <v>22</v>
      </c>
      <c r="G543" s="0" t="n">
        <v>600</v>
      </c>
      <c r="H543" s="0" t="n">
        <v>0</v>
      </c>
      <c r="I543" s="0" t="n">
        <v>0</v>
      </c>
      <c r="L543" s="3" t="s">
        <v>68</v>
      </c>
    </row>
    <row r="544" customFormat="false" ht="15" hidden="false" customHeight="false" outlineLevel="0" collapsed="false">
      <c r="A544" s="0" t="s">
        <v>646</v>
      </c>
      <c r="B544" s="2" t="n">
        <v>45728</v>
      </c>
      <c r="C544" s="3" t="s">
        <v>40</v>
      </c>
      <c r="D544" s="3" t="s">
        <v>20</v>
      </c>
      <c r="E544" s="3" t="s">
        <v>15</v>
      </c>
      <c r="F544" s="3" t="s">
        <v>34</v>
      </c>
      <c r="G544" s="0" t="n">
        <v>634</v>
      </c>
      <c r="H544" s="0" t="n">
        <v>0</v>
      </c>
      <c r="I544" s="0" t="n">
        <v>0</v>
      </c>
      <c r="J544" s="0" t="n">
        <v>42</v>
      </c>
      <c r="K544" s="0" t="n">
        <v>4.3</v>
      </c>
      <c r="L544" s="3" t="s">
        <v>17</v>
      </c>
    </row>
    <row r="545" customFormat="false" ht="15" hidden="false" customHeight="false" outlineLevel="0" collapsed="false">
      <c r="A545" s="0" t="s">
        <v>647</v>
      </c>
      <c r="B545" s="2" t="n">
        <v>45729</v>
      </c>
      <c r="C545" s="3" t="s">
        <v>27</v>
      </c>
      <c r="D545" s="3" t="s">
        <v>31</v>
      </c>
      <c r="E545" s="3" t="s">
        <v>21</v>
      </c>
      <c r="F545" s="3" t="s">
        <v>16</v>
      </c>
      <c r="G545" s="0" t="n">
        <v>584</v>
      </c>
      <c r="H545" s="0" t="n">
        <v>0</v>
      </c>
      <c r="I545" s="0" t="n">
        <v>0</v>
      </c>
      <c r="J545" s="0" t="n">
        <v>47</v>
      </c>
      <c r="K545" s="0" t="n">
        <v>4.1</v>
      </c>
      <c r="L545" s="3" t="s">
        <v>17</v>
      </c>
    </row>
    <row r="546" customFormat="false" ht="15" hidden="false" customHeight="false" outlineLevel="0" collapsed="false">
      <c r="A546" s="0" t="s">
        <v>648</v>
      </c>
      <c r="B546" s="0" t="s">
        <v>649</v>
      </c>
      <c r="C546" s="0" t="s">
        <v>30</v>
      </c>
      <c r="D546" s="0" t="s">
        <v>25</v>
      </c>
      <c r="E546" s="0" t="s">
        <v>21</v>
      </c>
      <c r="F546" s="0" t="s">
        <v>36</v>
      </c>
      <c r="G546" s="0" t="n">
        <v>543</v>
      </c>
      <c r="H546" s="0" t="n">
        <v>70</v>
      </c>
      <c r="I546" s="0" t="n">
        <v>0</v>
      </c>
      <c r="J546" s="0" t="n">
        <v>25</v>
      </c>
      <c r="K546" s="0" t="n">
        <v>4.9</v>
      </c>
      <c r="L546" s="0" t="s">
        <v>17</v>
      </c>
    </row>
    <row r="547" customFormat="false" ht="15" hidden="false" customHeight="false" outlineLevel="0" collapsed="false">
      <c r="A547" s="0" t="s">
        <v>650</v>
      </c>
      <c r="B547" s="2" t="n">
        <v>46019</v>
      </c>
      <c r="C547" s="3" t="s">
        <v>24</v>
      </c>
      <c r="D547" s="3" t="s">
        <v>14</v>
      </c>
      <c r="E547" s="3" t="s">
        <v>15</v>
      </c>
      <c r="F547" s="3" t="s">
        <v>54</v>
      </c>
      <c r="G547" s="0" t="n">
        <v>343</v>
      </c>
      <c r="H547" s="0" t="n">
        <v>71</v>
      </c>
      <c r="I547" s="0" t="n">
        <v>20</v>
      </c>
      <c r="J547" s="0" t="n">
        <v>32</v>
      </c>
      <c r="L547" s="3" t="s">
        <v>17</v>
      </c>
    </row>
    <row r="548" customFormat="false" ht="15" hidden="false" customHeight="false" outlineLevel="0" collapsed="false">
      <c r="A548" s="0" t="s">
        <v>651</v>
      </c>
      <c r="B548" s="2" t="n">
        <v>45877</v>
      </c>
      <c r="C548" s="3" t="s">
        <v>30</v>
      </c>
      <c r="D548" s="3" t="s">
        <v>20</v>
      </c>
      <c r="E548" s="3" t="s">
        <v>15</v>
      </c>
      <c r="F548" s="3" t="s">
        <v>22</v>
      </c>
      <c r="G548" s="0" t="n">
        <v>376</v>
      </c>
      <c r="H548" s="0" t="n">
        <v>0</v>
      </c>
      <c r="I548" s="0" t="n">
        <v>45</v>
      </c>
      <c r="J548" s="0" t="n">
        <v>33</v>
      </c>
      <c r="K548" s="0" t="n">
        <v>5</v>
      </c>
      <c r="L548" s="3" t="s">
        <v>17</v>
      </c>
    </row>
    <row r="549" customFormat="false" ht="15" hidden="false" customHeight="false" outlineLevel="0" collapsed="false">
      <c r="A549" s="0" t="s">
        <v>652</v>
      </c>
      <c r="B549" s="2" t="n">
        <v>45972</v>
      </c>
      <c r="C549" s="3" t="s">
        <v>13</v>
      </c>
      <c r="D549" s="3" t="s">
        <v>14</v>
      </c>
      <c r="E549" s="3" t="s">
        <v>15</v>
      </c>
      <c r="F549" s="3" t="s">
        <v>54</v>
      </c>
      <c r="G549" s="0" t="n">
        <v>353</v>
      </c>
      <c r="H549" s="0" t="n">
        <v>0</v>
      </c>
      <c r="I549" s="0" t="n">
        <v>40</v>
      </c>
      <c r="J549" s="0" t="n">
        <v>42</v>
      </c>
      <c r="K549" s="0" t="n">
        <v>4.9</v>
      </c>
      <c r="L549" s="3" t="s">
        <v>17</v>
      </c>
    </row>
    <row r="550" customFormat="false" ht="15" hidden="false" customHeight="false" outlineLevel="0" collapsed="false">
      <c r="A550" s="0" t="s">
        <v>653</v>
      </c>
      <c r="B550" s="2" t="n">
        <v>46019</v>
      </c>
      <c r="C550" s="3" t="s">
        <v>51</v>
      </c>
      <c r="D550" s="3" t="s">
        <v>25</v>
      </c>
      <c r="E550" s="3" t="s">
        <v>21</v>
      </c>
      <c r="F550" s="3" t="s">
        <v>16</v>
      </c>
      <c r="G550" s="0" t="n">
        <v>422</v>
      </c>
      <c r="H550" s="0" t="n">
        <v>0</v>
      </c>
      <c r="I550" s="0" t="n">
        <v>30</v>
      </c>
      <c r="J550" s="0" t="n">
        <v>33</v>
      </c>
      <c r="K550" s="0" t="n">
        <v>4.4</v>
      </c>
      <c r="L550" s="3" t="s">
        <v>17</v>
      </c>
    </row>
    <row r="551" customFormat="false" ht="15" hidden="false" customHeight="false" outlineLevel="0" collapsed="false">
      <c r="A551" s="0" t="s">
        <v>654</v>
      </c>
      <c r="B551" s="2" t="n">
        <v>45719</v>
      </c>
      <c r="C551" s="3" t="s">
        <v>19</v>
      </c>
      <c r="D551" s="3" t="s">
        <v>25</v>
      </c>
      <c r="E551" s="3" t="s">
        <v>15</v>
      </c>
      <c r="F551" s="3" t="s">
        <v>22</v>
      </c>
      <c r="G551" s="0" t="n">
        <v>528</v>
      </c>
      <c r="H551" s="0" t="n">
        <v>106</v>
      </c>
      <c r="I551" s="0" t="n">
        <v>0</v>
      </c>
      <c r="J551" s="0" t="n">
        <v>28</v>
      </c>
      <c r="K551" s="0" t="n">
        <v>3.7</v>
      </c>
      <c r="L551" s="3" t="s">
        <v>17</v>
      </c>
    </row>
    <row r="552" customFormat="false" ht="15" hidden="false" customHeight="false" outlineLevel="0" collapsed="false">
      <c r="A552" s="0" t="s">
        <v>655</v>
      </c>
      <c r="B552" s="2" t="n">
        <v>45838</v>
      </c>
      <c r="C552" s="3" t="s">
        <v>40</v>
      </c>
      <c r="D552" s="3" t="s">
        <v>56</v>
      </c>
      <c r="E552" s="3" t="s">
        <v>21</v>
      </c>
      <c r="F552" s="3" t="s">
        <v>36</v>
      </c>
      <c r="G552" s="0" t="n">
        <v>399</v>
      </c>
      <c r="H552" s="0" t="n">
        <v>0</v>
      </c>
      <c r="I552" s="0" t="n">
        <v>40</v>
      </c>
      <c r="J552" s="0" t="n">
        <v>31</v>
      </c>
      <c r="K552" s="0" t="n">
        <v>5</v>
      </c>
      <c r="L552" s="3" t="s">
        <v>17</v>
      </c>
    </row>
    <row r="553" customFormat="false" ht="15" hidden="false" customHeight="false" outlineLevel="0" collapsed="false">
      <c r="A553" s="0" t="s">
        <v>656</v>
      </c>
      <c r="B553" s="2" t="n">
        <v>45818</v>
      </c>
      <c r="C553" s="3" t="s">
        <v>27</v>
      </c>
      <c r="D553" s="3" t="s">
        <v>56</v>
      </c>
      <c r="E553" s="3" t="s">
        <v>15</v>
      </c>
      <c r="F553" s="3" t="s">
        <v>22</v>
      </c>
      <c r="G553" s="0" t="n">
        <v>426</v>
      </c>
      <c r="H553" s="0" t="n">
        <v>0</v>
      </c>
      <c r="I553" s="0" t="n">
        <v>40</v>
      </c>
      <c r="J553" s="0" t="n">
        <v>55</v>
      </c>
      <c r="K553" s="0" t="n">
        <v>3.4</v>
      </c>
      <c r="L553" s="3" t="s">
        <v>17</v>
      </c>
    </row>
    <row r="554" customFormat="false" ht="15" hidden="false" customHeight="false" outlineLevel="0" collapsed="false">
      <c r="A554" s="0" t="s">
        <v>657</v>
      </c>
      <c r="B554" s="2" t="n">
        <v>45693</v>
      </c>
      <c r="C554" s="3" t="s">
        <v>355</v>
      </c>
      <c r="D554" s="3" t="s">
        <v>78</v>
      </c>
      <c r="E554" s="3" t="s">
        <v>21</v>
      </c>
      <c r="F554" s="3" t="s">
        <v>16</v>
      </c>
      <c r="G554" s="0" t="n">
        <v>310</v>
      </c>
      <c r="H554" s="0" t="n">
        <v>0</v>
      </c>
      <c r="I554" s="0" t="n">
        <v>20</v>
      </c>
      <c r="J554" s="0" t="n">
        <v>43</v>
      </c>
      <c r="K554" s="0" t="n">
        <v>4.3</v>
      </c>
      <c r="L554" s="3" t="s">
        <v>17</v>
      </c>
    </row>
    <row r="555" customFormat="false" ht="15" hidden="false" customHeight="false" outlineLevel="0" collapsed="false">
      <c r="A555" s="0" t="s">
        <v>658</v>
      </c>
      <c r="B555" s="2" t="n">
        <v>45945</v>
      </c>
      <c r="C555" s="3" t="s">
        <v>292</v>
      </c>
      <c r="D555" s="3" t="s">
        <v>31</v>
      </c>
      <c r="E555" s="3" t="s">
        <v>15</v>
      </c>
      <c r="F555" s="3" t="s">
        <v>36</v>
      </c>
      <c r="G555" s="0" t="n">
        <v>394</v>
      </c>
      <c r="H555" s="0" t="n">
        <v>49</v>
      </c>
      <c r="I555" s="0" t="n">
        <v>40</v>
      </c>
      <c r="J555" s="0" t="n">
        <v>46</v>
      </c>
      <c r="K555" s="0" t="n">
        <v>3.4</v>
      </c>
      <c r="L555" s="3" t="s">
        <v>17</v>
      </c>
    </row>
    <row r="556" customFormat="false" ht="15" hidden="false" customHeight="false" outlineLevel="0" collapsed="false">
      <c r="A556" s="0" t="s">
        <v>659</v>
      </c>
      <c r="B556" s="0" t="s">
        <v>660</v>
      </c>
      <c r="C556" s="0" t="s">
        <v>24</v>
      </c>
      <c r="D556" s="0" t="s">
        <v>14</v>
      </c>
      <c r="E556" s="0" t="s">
        <v>21</v>
      </c>
      <c r="F556" s="0" t="s">
        <v>22</v>
      </c>
      <c r="G556" s="0" t="n">
        <v>458</v>
      </c>
      <c r="H556" s="0" t="n">
        <v>0</v>
      </c>
      <c r="I556" s="0" t="n">
        <v>20</v>
      </c>
      <c r="J556" s="0" t="n">
        <v>36</v>
      </c>
      <c r="K556" s="0" t="n">
        <v>5</v>
      </c>
      <c r="L556" s="0" t="s">
        <v>17</v>
      </c>
    </row>
    <row r="557" customFormat="false" ht="15" hidden="false" customHeight="false" outlineLevel="0" collapsed="false">
      <c r="A557" s="0" t="s">
        <v>661</v>
      </c>
      <c r="B557" s="2" t="n">
        <v>45846</v>
      </c>
      <c r="C557" s="3" t="s">
        <v>19</v>
      </c>
      <c r="D557" s="3" t="s">
        <v>14</v>
      </c>
      <c r="E557" s="3" t="s">
        <v>15</v>
      </c>
      <c r="F557" s="3" t="s">
        <v>36</v>
      </c>
      <c r="G557" s="0" t="n">
        <v>335</v>
      </c>
      <c r="H557" s="0" t="n">
        <v>72</v>
      </c>
      <c r="I557" s="0" t="n">
        <v>40</v>
      </c>
      <c r="L557" s="3" t="s">
        <v>68</v>
      </c>
    </row>
    <row r="558" customFormat="false" ht="15" hidden="false" customHeight="false" outlineLevel="0" collapsed="false">
      <c r="A558" s="0" t="s">
        <v>662</v>
      </c>
      <c r="B558" s="2" t="n">
        <v>45723</v>
      </c>
      <c r="C558" s="3" t="s">
        <v>40</v>
      </c>
      <c r="D558" s="3" t="s">
        <v>20</v>
      </c>
      <c r="E558" s="3" t="s">
        <v>58</v>
      </c>
      <c r="F558" s="3" t="s">
        <v>22</v>
      </c>
      <c r="G558" s="0" t="n">
        <v>666</v>
      </c>
      <c r="H558" s="0" t="n">
        <v>0</v>
      </c>
      <c r="I558" s="0" t="n">
        <v>0</v>
      </c>
      <c r="J558" s="0" t="n">
        <v>27</v>
      </c>
      <c r="K558" s="0" t="n">
        <v>4.5</v>
      </c>
      <c r="L558" s="3" t="s">
        <v>17</v>
      </c>
    </row>
    <row r="559" customFormat="false" ht="15" hidden="false" customHeight="false" outlineLevel="0" collapsed="false">
      <c r="A559" s="0" t="s">
        <v>663</v>
      </c>
      <c r="B559" s="2" t="n">
        <v>45735</v>
      </c>
      <c r="C559" s="3" t="s">
        <v>27</v>
      </c>
      <c r="D559" s="3" t="s">
        <v>25</v>
      </c>
      <c r="E559" s="3" t="s">
        <v>21</v>
      </c>
      <c r="F559" s="3" t="s">
        <v>36</v>
      </c>
      <c r="G559" s="0" t="n">
        <v>574</v>
      </c>
      <c r="H559" s="0" t="n">
        <v>0</v>
      </c>
      <c r="I559" s="0" t="n">
        <v>0</v>
      </c>
      <c r="J559" s="0" t="n">
        <v>27</v>
      </c>
      <c r="K559" s="0" t="n">
        <v>3.4</v>
      </c>
      <c r="L559" s="3" t="s">
        <v>17</v>
      </c>
    </row>
    <row r="560" customFormat="false" ht="15" hidden="false" customHeight="false" outlineLevel="0" collapsed="false">
      <c r="A560" s="0" t="s">
        <v>664</v>
      </c>
      <c r="B560" s="2" t="n">
        <v>45994</v>
      </c>
      <c r="C560" s="3" t="s">
        <v>665</v>
      </c>
      <c r="D560" s="3" t="s">
        <v>56</v>
      </c>
      <c r="E560" s="3" t="s">
        <v>15</v>
      </c>
      <c r="F560" s="3" t="s">
        <v>22</v>
      </c>
      <c r="G560" s="0" t="n">
        <v>293</v>
      </c>
      <c r="H560" s="0" t="n">
        <v>62</v>
      </c>
      <c r="I560" s="0" t="n">
        <v>30</v>
      </c>
      <c r="J560" s="0" t="n">
        <v>39</v>
      </c>
      <c r="K560" s="0" t="n">
        <v>4.2</v>
      </c>
      <c r="L560" s="3" t="s">
        <v>17</v>
      </c>
    </row>
    <row r="561" customFormat="false" ht="15" hidden="false" customHeight="false" outlineLevel="0" collapsed="false">
      <c r="A561" s="0" t="s">
        <v>666</v>
      </c>
      <c r="B561" s="2" t="n">
        <v>45677</v>
      </c>
      <c r="C561" s="3" t="s">
        <v>24</v>
      </c>
      <c r="D561" s="3" t="s">
        <v>25</v>
      </c>
      <c r="E561" s="3" t="s">
        <v>21</v>
      </c>
      <c r="F561" s="3" t="s">
        <v>22</v>
      </c>
      <c r="G561" s="0" t="n">
        <v>568</v>
      </c>
      <c r="H561" s="0" t="n">
        <v>0</v>
      </c>
      <c r="I561" s="0" t="n">
        <v>0</v>
      </c>
      <c r="L561" s="3" t="s">
        <v>68</v>
      </c>
    </row>
    <row r="562" customFormat="false" ht="15" hidden="false" customHeight="false" outlineLevel="0" collapsed="false">
      <c r="A562" s="0" t="s">
        <v>667</v>
      </c>
      <c r="B562" s="2" t="n">
        <v>45756</v>
      </c>
      <c r="C562" s="3" t="s">
        <v>27</v>
      </c>
      <c r="D562" s="3" t="s">
        <v>14</v>
      </c>
      <c r="E562" s="3" t="s">
        <v>15</v>
      </c>
      <c r="F562" s="3" t="s">
        <v>22</v>
      </c>
      <c r="G562" s="0" t="n">
        <v>285</v>
      </c>
      <c r="H562" s="0" t="n">
        <v>0</v>
      </c>
      <c r="I562" s="0" t="n">
        <v>30</v>
      </c>
      <c r="L562" s="3" t="s">
        <v>68</v>
      </c>
    </row>
    <row r="563" customFormat="false" ht="15" hidden="false" customHeight="false" outlineLevel="0" collapsed="false">
      <c r="A563" s="0" t="s">
        <v>668</v>
      </c>
      <c r="B563" s="0" t="s">
        <v>669</v>
      </c>
      <c r="C563" s="0" t="s">
        <v>670</v>
      </c>
      <c r="D563" s="0" t="s">
        <v>56</v>
      </c>
      <c r="E563" s="0" t="s">
        <v>21</v>
      </c>
      <c r="F563" s="0" t="s">
        <v>36</v>
      </c>
      <c r="G563" s="0" t="n">
        <v>258</v>
      </c>
      <c r="H563" s="0" t="n">
        <v>0</v>
      </c>
      <c r="I563" s="0" t="n">
        <v>20</v>
      </c>
      <c r="J563" s="0" t="n">
        <v>19</v>
      </c>
      <c r="K563" s="0" t="n">
        <v>4.5</v>
      </c>
      <c r="L563" s="0" t="s">
        <v>17</v>
      </c>
    </row>
    <row r="564" customFormat="false" ht="15" hidden="false" customHeight="false" outlineLevel="0" collapsed="false">
      <c r="A564" s="0" t="s">
        <v>671</v>
      </c>
      <c r="B564" s="2" t="n">
        <v>45853</v>
      </c>
      <c r="C564" s="3" t="s">
        <v>375</v>
      </c>
      <c r="D564" s="3" t="s">
        <v>49</v>
      </c>
      <c r="E564" s="3" t="s">
        <v>21</v>
      </c>
      <c r="F564" s="3" t="s">
        <v>22</v>
      </c>
      <c r="G564" s="0" t="n">
        <v>674</v>
      </c>
      <c r="H564" s="0" t="n">
        <v>120</v>
      </c>
      <c r="I564" s="0" t="n">
        <v>0</v>
      </c>
      <c r="J564" s="0" t="n">
        <v>36</v>
      </c>
      <c r="K564" s="0" t="n">
        <v>4.8</v>
      </c>
      <c r="L564" s="3" t="s">
        <v>17</v>
      </c>
    </row>
    <row r="565" customFormat="false" ht="15" hidden="false" customHeight="false" outlineLevel="0" collapsed="false">
      <c r="A565" s="0" t="s">
        <v>672</v>
      </c>
      <c r="B565" s="0" t="s">
        <v>673</v>
      </c>
      <c r="C565" s="0" t="s">
        <v>40</v>
      </c>
      <c r="D565" s="0" t="s">
        <v>20</v>
      </c>
      <c r="E565" s="0" t="s">
        <v>21</v>
      </c>
      <c r="F565" s="0" t="s">
        <v>54</v>
      </c>
      <c r="G565" s="0" t="n">
        <v>407</v>
      </c>
      <c r="H565" s="0" t="n">
        <v>0</v>
      </c>
      <c r="I565" s="0" t="n">
        <v>45</v>
      </c>
      <c r="J565" s="0" t="n">
        <v>45</v>
      </c>
      <c r="K565" s="0" t="n">
        <v>3.5</v>
      </c>
      <c r="L565" s="0" t="s">
        <v>17</v>
      </c>
    </row>
    <row r="566" customFormat="false" ht="15" hidden="false" customHeight="false" outlineLevel="0" collapsed="false">
      <c r="A566" s="0" t="s">
        <v>674</v>
      </c>
      <c r="B566" s="2" t="n">
        <v>45855</v>
      </c>
      <c r="C566" s="3" t="s">
        <v>40</v>
      </c>
      <c r="D566" s="3" t="s">
        <v>56</v>
      </c>
      <c r="E566" s="3" t="s">
        <v>15</v>
      </c>
      <c r="F566" s="3" t="s">
        <v>22</v>
      </c>
      <c r="G566" s="0" t="n">
        <v>415</v>
      </c>
      <c r="H566" s="0" t="n">
        <v>94</v>
      </c>
      <c r="I566" s="0" t="n">
        <v>30</v>
      </c>
      <c r="J566" s="0" t="n">
        <v>50</v>
      </c>
      <c r="K566" s="0" t="n">
        <v>3.8</v>
      </c>
      <c r="L566" s="3" t="s">
        <v>17</v>
      </c>
    </row>
    <row r="567" customFormat="false" ht="15" hidden="false" customHeight="false" outlineLevel="0" collapsed="false">
      <c r="A567" s="0" t="s">
        <v>675</v>
      </c>
      <c r="B567" s="2" t="n">
        <v>45695</v>
      </c>
      <c r="C567" s="3" t="s">
        <v>51</v>
      </c>
      <c r="D567" s="3" t="s">
        <v>28</v>
      </c>
      <c r="E567" s="3" t="s">
        <v>15</v>
      </c>
      <c r="F567" s="3" t="s">
        <v>16</v>
      </c>
      <c r="G567" s="0" t="n">
        <v>296</v>
      </c>
      <c r="H567" s="0" t="n">
        <v>72</v>
      </c>
      <c r="I567" s="0" t="n">
        <v>30</v>
      </c>
      <c r="J567" s="0" t="n">
        <v>31</v>
      </c>
      <c r="K567" s="0" t="n">
        <v>4.2</v>
      </c>
      <c r="L567" s="3" t="s">
        <v>17</v>
      </c>
    </row>
    <row r="568" customFormat="false" ht="15" hidden="false" customHeight="false" outlineLevel="0" collapsed="false">
      <c r="A568" s="0" t="s">
        <v>676</v>
      </c>
      <c r="B568" s="2" t="n">
        <v>45760</v>
      </c>
      <c r="C568" s="3" t="s">
        <v>24</v>
      </c>
      <c r="D568" s="3" t="s">
        <v>56</v>
      </c>
      <c r="E568" s="3" t="s">
        <v>15</v>
      </c>
      <c r="F568" s="3" t="s">
        <v>22</v>
      </c>
      <c r="G568" s="0" t="n">
        <v>401</v>
      </c>
      <c r="H568" s="0" t="n">
        <v>68</v>
      </c>
      <c r="I568" s="0" t="n">
        <v>20</v>
      </c>
      <c r="J568" s="0" t="n">
        <v>41</v>
      </c>
      <c r="K568" s="0" t="n">
        <v>4.4</v>
      </c>
      <c r="L568" s="3" t="s">
        <v>17</v>
      </c>
    </row>
    <row r="569" customFormat="false" ht="15" hidden="false" customHeight="false" outlineLevel="0" collapsed="false">
      <c r="A569" s="0" t="s">
        <v>677</v>
      </c>
      <c r="B569" s="2" t="n">
        <v>45973</v>
      </c>
      <c r="C569" s="3" t="s">
        <v>27</v>
      </c>
      <c r="D569" s="3" t="s">
        <v>49</v>
      </c>
      <c r="E569" s="3" t="s">
        <v>15</v>
      </c>
      <c r="F569" s="3" t="s">
        <v>22</v>
      </c>
      <c r="G569" s="0" t="n">
        <v>475</v>
      </c>
      <c r="H569" s="0" t="n">
        <v>114</v>
      </c>
      <c r="I569" s="0" t="n">
        <v>30</v>
      </c>
      <c r="L569" s="3" t="s">
        <v>68</v>
      </c>
    </row>
    <row r="570" customFormat="false" ht="15" hidden="false" customHeight="false" outlineLevel="0" collapsed="false">
      <c r="A570" s="0" t="s">
        <v>678</v>
      </c>
      <c r="B570" s="2" t="n">
        <v>45905</v>
      </c>
      <c r="C570" s="3" t="s">
        <v>292</v>
      </c>
      <c r="D570" s="3" t="s">
        <v>31</v>
      </c>
      <c r="E570" s="3" t="s">
        <v>15</v>
      </c>
      <c r="F570" s="3" t="s">
        <v>54</v>
      </c>
      <c r="G570" s="0" t="n">
        <v>575</v>
      </c>
      <c r="H570" s="0" t="n">
        <v>0</v>
      </c>
      <c r="I570" s="0" t="n">
        <v>0</v>
      </c>
      <c r="J570" s="0" t="n">
        <v>37</v>
      </c>
      <c r="K570" s="0" t="n">
        <v>4.6</v>
      </c>
      <c r="L570" s="3" t="s">
        <v>17</v>
      </c>
    </row>
    <row r="571" customFormat="false" ht="15" hidden="false" customHeight="false" outlineLevel="0" collapsed="false">
      <c r="A571" s="0" t="s">
        <v>679</v>
      </c>
      <c r="B571" s="2" t="n">
        <v>45909</v>
      </c>
      <c r="C571" s="3" t="s">
        <v>27</v>
      </c>
      <c r="D571" s="3" t="s">
        <v>78</v>
      </c>
      <c r="E571" s="3" t="s">
        <v>21</v>
      </c>
      <c r="F571" s="3" t="s">
        <v>16</v>
      </c>
      <c r="G571" s="0" t="n">
        <v>408</v>
      </c>
      <c r="H571" s="0" t="n">
        <v>0</v>
      </c>
      <c r="I571" s="0" t="n">
        <v>40</v>
      </c>
      <c r="J571" s="0" t="n">
        <v>55</v>
      </c>
      <c r="K571" s="0" t="n">
        <v>3.9</v>
      </c>
      <c r="L571" s="3" t="s">
        <v>17</v>
      </c>
    </row>
    <row r="572" customFormat="false" ht="15" hidden="false" customHeight="false" outlineLevel="0" collapsed="false">
      <c r="A572" s="0" t="s">
        <v>680</v>
      </c>
      <c r="B572" s="2" t="n">
        <v>45916</v>
      </c>
      <c r="C572" s="3" t="s">
        <v>51</v>
      </c>
      <c r="D572" s="3" t="s">
        <v>14</v>
      </c>
      <c r="E572" s="3" t="s">
        <v>21</v>
      </c>
      <c r="F572" s="3" t="s">
        <v>36</v>
      </c>
      <c r="G572" s="0" t="n">
        <v>179</v>
      </c>
      <c r="H572" s="0" t="n">
        <v>0</v>
      </c>
      <c r="I572" s="0" t="n">
        <v>20</v>
      </c>
      <c r="J572" s="0" t="n">
        <v>32</v>
      </c>
      <c r="K572" s="0" t="n">
        <v>4.7</v>
      </c>
      <c r="L572" s="3" t="s">
        <v>17</v>
      </c>
    </row>
    <row r="573" customFormat="false" ht="15" hidden="false" customHeight="false" outlineLevel="0" collapsed="false">
      <c r="A573" s="0" t="s">
        <v>681</v>
      </c>
      <c r="B573" s="2" t="n">
        <v>45947</v>
      </c>
      <c r="C573" s="3" t="s">
        <v>27</v>
      </c>
      <c r="D573" s="3" t="s">
        <v>14</v>
      </c>
      <c r="E573" s="3" t="s">
        <v>21</v>
      </c>
      <c r="F573" s="3" t="s">
        <v>34</v>
      </c>
      <c r="G573" s="0" t="n">
        <v>265</v>
      </c>
      <c r="H573" s="0" t="n">
        <v>0</v>
      </c>
      <c r="I573" s="0" t="n">
        <v>45</v>
      </c>
      <c r="J573" s="0" t="n">
        <v>51</v>
      </c>
      <c r="K573" s="0" t="n">
        <v>3.4</v>
      </c>
      <c r="L573" s="3" t="s">
        <v>17</v>
      </c>
    </row>
    <row r="574" customFormat="false" ht="15" hidden="false" customHeight="false" outlineLevel="0" collapsed="false">
      <c r="A574" s="0" t="s">
        <v>682</v>
      </c>
      <c r="B574" s="2" t="n">
        <v>45683</v>
      </c>
      <c r="C574" s="3" t="s">
        <v>19</v>
      </c>
      <c r="D574" s="3" t="s">
        <v>56</v>
      </c>
      <c r="E574" s="3" t="s">
        <v>21</v>
      </c>
      <c r="F574" s="3" t="s">
        <v>16</v>
      </c>
      <c r="G574" s="0" t="n">
        <v>529</v>
      </c>
      <c r="H574" s="0" t="n">
        <v>0</v>
      </c>
      <c r="I574" s="0" t="n">
        <v>0</v>
      </c>
      <c r="J574" s="0" t="n">
        <v>31</v>
      </c>
      <c r="K574" s="0" t="n">
        <v>4.6</v>
      </c>
      <c r="L574" s="3" t="s">
        <v>17</v>
      </c>
    </row>
    <row r="575" customFormat="false" ht="15" hidden="false" customHeight="false" outlineLevel="0" collapsed="false">
      <c r="A575" s="0" t="s">
        <v>683</v>
      </c>
      <c r="B575" s="2" t="n">
        <v>45808</v>
      </c>
      <c r="C575" s="3" t="s">
        <v>24</v>
      </c>
      <c r="D575" s="3" t="s">
        <v>14</v>
      </c>
      <c r="E575" s="3" t="s">
        <v>15</v>
      </c>
      <c r="F575" s="3" t="s">
        <v>34</v>
      </c>
      <c r="G575" s="0" t="n">
        <v>406</v>
      </c>
      <c r="H575" s="0" t="n">
        <v>0</v>
      </c>
      <c r="I575" s="0" t="n">
        <v>40</v>
      </c>
      <c r="J575" s="0" t="n">
        <v>36</v>
      </c>
      <c r="K575" s="0" t="n">
        <v>5</v>
      </c>
      <c r="L575" s="3" t="s">
        <v>17</v>
      </c>
    </row>
    <row r="576" customFormat="false" ht="15" hidden="false" customHeight="false" outlineLevel="0" collapsed="false">
      <c r="A576" s="0" t="s">
        <v>684</v>
      </c>
      <c r="B576" s="2" t="n">
        <v>45871</v>
      </c>
      <c r="C576" s="3" t="s">
        <v>27</v>
      </c>
      <c r="D576" s="3" t="s">
        <v>25</v>
      </c>
      <c r="E576" s="3" t="s">
        <v>21</v>
      </c>
      <c r="F576" s="3" t="s">
        <v>54</v>
      </c>
      <c r="G576" s="0" t="n">
        <v>416</v>
      </c>
      <c r="H576" s="0" t="n">
        <v>0</v>
      </c>
      <c r="I576" s="0" t="n">
        <v>20</v>
      </c>
      <c r="J576" s="0" t="n">
        <v>52</v>
      </c>
      <c r="K576" s="0" t="n">
        <v>3</v>
      </c>
      <c r="L576" s="3" t="s">
        <v>17</v>
      </c>
    </row>
    <row r="577" customFormat="false" ht="15" hidden="false" customHeight="false" outlineLevel="0" collapsed="false">
      <c r="A577" s="0" t="s">
        <v>685</v>
      </c>
      <c r="B577" s="2" t="n">
        <v>45797</v>
      </c>
      <c r="C577" s="3" t="s">
        <v>45</v>
      </c>
      <c r="D577" s="3" t="s">
        <v>28</v>
      </c>
      <c r="E577" s="3" t="s">
        <v>15</v>
      </c>
      <c r="F577" s="3" t="s">
        <v>36</v>
      </c>
      <c r="G577" s="0" t="n">
        <v>467</v>
      </c>
      <c r="H577" s="0" t="n">
        <v>0</v>
      </c>
      <c r="I577" s="0" t="n">
        <v>45</v>
      </c>
      <c r="J577" s="0" t="n">
        <v>32</v>
      </c>
      <c r="K577" s="0" t="n">
        <v>4.6</v>
      </c>
      <c r="L577" s="3" t="s">
        <v>17</v>
      </c>
    </row>
    <row r="578" customFormat="false" ht="15" hidden="false" customHeight="false" outlineLevel="0" collapsed="false">
      <c r="A578" s="0" t="s">
        <v>686</v>
      </c>
      <c r="B578" s="0" t="s">
        <v>687</v>
      </c>
      <c r="C578" s="0" t="s">
        <v>123</v>
      </c>
      <c r="D578" s="0" t="s">
        <v>31</v>
      </c>
      <c r="E578" s="0" t="s">
        <v>15</v>
      </c>
      <c r="F578" s="0" t="s">
        <v>16</v>
      </c>
      <c r="G578" s="0" t="n">
        <v>410</v>
      </c>
      <c r="H578" s="0" t="n">
        <v>61</v>
      </c>
      <c r="I578" s="0" t="n">
        <v>40</v>
      </c>
      <c r="J578" s="0" t="n">
        <v>41</v>
      </c>
      <c r="K578" s="0" t="n">
        <v>4.5</v>
      </c>
      <c r="L578" s="0" t="s">
        <v>17</v>
      </c>
    </row>
    <row r="579" customFormat="false" ht="15" hidden="false" customHeight="false" outlineLevel="0" collapsed="false">
      <c r="A579" s="0" t="s">
        <v>688</v>
      </c>
      <c r="B579" s="0" t="s">
        <v>689</v>
      </c>
      <c r="C579" s="0" t="s">
        <v>24</v>
      </c>
      <c r="D579" s="0" t="s">
        <v>25</v>
      </c>
      <c r="E579" s="0" t="s">
        <v>21</v>
      </c>
      <c r="F579" s="0" t="s">
        <v>34</v>
      </c>
      <c r="G579" s="0" t="n">
        <v>521</v>
      </c>
      <c r="H579" s="0" t="n">
        <v>113</v>
      </c>
      <c r="I579" s="0" t="n">
        <v>0</v>
      </c>
      <c r="L579" s="0" t="s">
        <v>68</v>
      </c>
    </row>
    <row r="580" customFormat="false" ht="15" hidden="false" customHeight="false" outlineLevel="0" collapsed="false">
      <c r="A580" s="0" t="s">
        <v>690</v>
      </c>
      <c r="B580" s="2" t="n">
        <v>45949</v>
      </c>
      <c r="C580" s="3" t="s">
        <v>45</v>
      </c>
      <c r="D580" s="3" t="s">
        <v>56</v>
      </c>
      <c r="E580" s="3" t="s">
        <v>58</v>
      </c>
      <c r="G580" s="0" t="n">
        <v>249</v>
      </c>
      <c r="H580" s="0" t="n">
        <v>0</v>
      </c>
      <c r="I580" s="0" t="n">
        <v>45</v>
      </c>
      <c r="J580" s="0" t="n">
        <v>39</v>
      </c>
      <c r="K580" s="0" t="n">
        <v>4.5</v>
      </c>
      <c r="L580" s="3" t="s">
        <v>17</v>
      </c>
    </row>
    <row r="581" customFormat="false" ht="15" hidden="false" customHeight="false" outlineLevel="0" collapsed="false">
      <c r="A581" s="0" t="s">
        <v>691</v>
      </c>
      <c r="B581" s="2" t="n">
        <v>45976</v>
      </c>
      <c r="C581" s="3" t="s">
        <v>24</v>
      </c>
      <c r="D581" s="3" t="s">
        <v>25</v>
      </c>
      <c r="E581" s="3" t="s">
        <v>21</v>
      </c>
      <c r="F581" s="3" t="s">
        <v>16</v>
      </c>
      <c r="G581" s="0" t="n">
        <v>563</v>
      </c>
      <c r="H581" s="0" t="n">
        <v>115</v>
      </c>
      <c r="I581" s="0" t="n">
        <v>0</v>
      </c>
      <c r="J581" s="0" t="n">
        <v>44</v>
      </c>
      <c r="K581" s="0" t="n">
        <v>4.1</v>
      </c>
      <c r="L581" s="3" t="s">
        <v>17</v>
      </c>
    </row>
    <row r="582" customFormat="false" ht="15" hidden="false" customHeight="false" outlineLevel="0" collapsed="false">
      <c r="A582" s="0" t="s">
        <v>692</v>
      </c>
      <c r="B582" s="2" t="n">
        <v>45858</v>
      </c>
      <c r="C582" s="3" t="s">
        <v>27</v>
      </c>
      <c r="D582" s="3" t="s">
        <v>56</v>
      </c>
      <c r="E582" s="3" t="s">
        <v>15</v>
      </c>
      <c r="F582" s="3" t="s">
        <v>34</v>
      </c>
      <c r="G582" s="0" t="n">
        <v>334</v>
      </c>
      <c r="H582" s="0" t="n">
        <v>48</v>
      </c>
      <c r="I582" s="0" t="n">
        <v>40</v>
      </c>
      <c r="J582" s="0" t="n">
        <v>15</v>
      </c>
      <c r="K582" s="0" t="n">
        <v>5</v>
      </c>
      <c r="L582" s="3" t="s">
        <v>17</v>
      </c>
    </row>
    <row r="583" customFormat="false" ht="15" hidden="false" customHeight="false" outlineLevel="0" collapsed="false">
      <c r="A583" s="0" t="s">
        <v>693</v>
      </c>
      <c r="B583" s="2" t="n">
        <v>45994</v>
      </c>
      <c r="C583" s="3" t="s">
        <v>694</v>
      </c>
      <c r="D583" s="3" t="s">
        <v>14</v>
      </c>
      <c r="E583" s="3" t="s">
        <v>21</v>
      </c>
      <c r="F583" s="3" t="s">
        <v>16</v>
      </c>
      <c r="G583" s="0" t="n">
        <v>399</v>
      </c>
      <c r="H583" s="0" t="n">
        <v>68</v>
      </c>
      <c r="I583" s="0" t="n">
        <v>45</v>
      </c>
      <c r="J583" s="0" t="n">
        <v>31</v>
      </c>
      <c r="K583" s="0" t="n">
        <v>4</v>
      </c>
      <c r="L583" s="3" t="s">
        <v>17</v>
      </c>
    </row>
    <row r="584" customFormat="false" ht="15" hidden="false" customHeight="false" outlineLevel="0" collapsed="false">
      <c r="A584" s="0" t="s">
        <v>695</v>
      </c>
      <c r="B584" s="2" t="n">
        <v>45888</v>
      </c>
      <c r="C584" s="3" t="s">
        <v>40</v>
      </c>
      <c r="D584" s="3" t="s">
        <v>25</v>
      </c>
      <c r="E584" s="3" t="s">
        <v>15</v>
      </c>
      <c r="F584" s="3" t="s">
        <v>36</v>
      </c>
      <c r="G584" s="0" t="n">
        <v>420</v>
      </c>
      <c r="H584" s="0" t="n">
        <v>53</v>
      </c>
      <c r="I584" s="0" t="n">
        <v>20</v>
      </c>
      <c r="J584" s="0" t="n">
        <v>39</v>
      </c>
      <c r="K584" s="0" t="n">
        <v>4</v>
      </c>
      <c r="L584" s="3" t="s">
        <v>17</v>
      </c>
    </row>
    <row r="585" customFormat="false" ht="15" hidden="false" customHeight="false" outlineLevel="0" collapsed="false">
      <c r="A585" s="0" t="s">
        <v>696</v>
      </c>
      <c r="B585" s="0" t="s">
        <v>697</v>
      </c>
      <c r="C585" s="0" t="s">
        <v>24</v>
      </c>
      <c r="D585" s="0" t="s">
        <v>28</v>
      </c>
      <c r="E585" s="0" t="s">
        <v>15</v>
      </c>
      <c r="F585" s="0" t="s">
        <v>54</v>
      </c>
      <c r="G585" s="0" t="n">
        <v>496</v>
      </c>
      <c r="H585" s="0" t="n">
        <v>68</v>
      </c>
      <c r="I585" s="0" t="n">
        <v>40</v>
      </c>
      <c r="J585" s="0" t="n">
        <v>36</v>
      </c>
      <c r="K585" s="0" t="n">
        <v>3.6</v>
      </c>
      <c r="L585" s="0" t="s">
        <v>17</v>
      </c>
    </row>
    <row r="586" customFormat="false" ht="15" hidden="false" customHeight="false" outlineLevel="0" collapsed="false">
      <c r="A586" s="0" t="s">
        <v>696</v>
      </c>
      <c r="B586" s="0" t="s">
        <v>697</v>
      </c>
      <c r="C586" s="0" t="s">
        <v>24</v>
      </c>
      <c r="D586" s="0" t="s">
        <v>28</v>
      </c>
      <c r="E586" s="0" t="s">
        <v>15</v>
      </c>
      <c r="F586" s="0" t="s">
        <v>54</v>
      </c>
      <c r="G586" s="0" t="n">
        <v>496</v>
      </c>
      <c r="H586" s="0" t="n">
        <v>68</v>
      </c>
      <c r="I586" s="0" t="n">
        <v>40</v>
      </c>
      <c r="J586" s="0" t="n">
        <v>36</v>
      </c>
      <c r="K586" s="0" t="n">
        <v>3.6</v>
      </c>
      <c r="L586" s="0" t="s">
        <v>17</v>
      </c>
    </row>
    <row r="587" customFormat="false" ht="15" hidden="false" customHeight="false" outlineLevel="0" collapsed="false">
      <c r="A587" s="0" t="s">
        <v>698</v>
      </c>
      <c r="B587" s="2" t="n">
        <v>45798</v>
      </c>
      <c r="C587" s="3" t="s">
        <v>40</v>
      </c>
      <c r="D587" s="3" t="s">
        <v>31</v>
      </c>
      <c r="E587" s="3" t="s">
        <v>21</v>
      </c>
      <c r="F587" s="3" t="s">
        <v>54</v>
      </c>
      <c r="G587" s="0" t="n">
        <v>331</v>
      </c>
      <c r="H587" s="0" t="n">
        <v>0</v>
      </c>
      <c r="I587" s="0" t="n">
        <v>45</v>
      </c>
      <c r="J587" s="0" t="n">
        <v>42</v>
      </c>
      <c r="K587" s="0" t="n">
        <v>4.8</v>
      </c>
      <c r="L587" s="3" t="s">
        <v>17</v>
      </c>
    </row>
    <row r="588" customFormat="false" ht="15" hidden="false" customHeight="false" outlineLevel="0" collapsed="false">
      <c r="A588" s="0" t="s">
        <v>699</v>
      </c>
      <c r="B588" s="2" t="n">
        <v>45857</v>
      </c>
      <c r="C588" s="3" t="s">
        <v>24</v>
      </c>
      <c r="D588" s="3" t="s">
        <v>28</v>
      </c>
      <c r="E588" s="3" t="s">
        <v>15</v>
      </c>
      <c r="F588" s="3" t="s">
        <v>36</v>
      </c>
      <c r="G588" s="0" t="n">
        <v>406</v>
      </c>
      <c r="H588" s="0" t="n">
        <v>48</v>
      </c>
      <c r="I588" s="0" t="n">
        <v>30</v>
      </c>
      <c r="J588" s="0" t="n">
        <v>38</v>
      </c>
      <c r="K588" s="0" t="n">
        <v>4.4</v>
      </c>
      <c r="L588" s="3" t="s">
        <v>17</v>
      </c>
    </row>
    <row r="589" customFormat="false" ht="15" hidden="false" customHeight="false" outlineLevel="0" collapsed="false">
      <c r="A589" s="0" t="s">
        <v>700</v>
      </c>
      <c r="B589" s="2" t="n">
        <v>45868</v>
      </c>
      <c r="C589" s="3" t="s">
        <v>279</v>
      </c>
      <c r="D589" s="3" t="s">
        <v>14</v>
      </c>
      <c r="E589" s="3" t="s">
        <v>21</v>
      </c>
      <c r="F589" s="3" t="s">
        <v>34</v>
      </c>
      <c r="G589" s="0" t="n">
        <v>254</v>
      </c>
      <c r="H589" s="0" t="n">
        <v>0</v>
      </c>
      <c r="I589" s="0" t="n">
        <v>45</v>
      </c>
      <c r="J589" s="0" t="n">
        <v>41</v>
      </c>
      <c r="K589" s="0" t="n">
        <v>3.7</v>
      </c>
      <c r="L589" s="3" t="s">
        <v>17</v>
      </c>
    </row>
    <row r="590" customFormat="false" ht="15" hidden="false" customHeight="false" outlineLevel="0" collapsed="false">
      <c r="A590" s="0" t="s">
        <v>701</v>
      </c>
      <c r="B590" s="2" t="n">
        <v>45703</v>
      </c>
      <c r="C590" s="3" t="s">
        <v>13</v>
      </c>
      <c r="D590" s="3" t="s">
        <v>56</v>
      </c>
      <c r="E590" s="3" t="s">
        <v>21</v>
      </c>
      <c r="F590" s="3" t="s">
        <v>36</v>
      </c>
      <c r="G590" s="0" t="n">
        <v>301</v>
      </c>
      <c r="H590" s="0" t="n">
        <v>0</v>
      </c>
      <c r="I590" s="0" t="n">
        <v>40</v>
      </c>
      <c r="J590" s="0" t="n">
        <v>31</v>
      </c>
      <c r="L590" s="3" t="s">
        <v>17</v>
      </c>
    </row>
    <row r="591" customFormat="false" ht="15" hidden="false" customHeight="false" outlineLevel="0" collapsed="false">
      <c r="A591" s="0" t="s">
        <v>702</v>
      </c>
      <c r="B591" s="2" t="n">
        <v>45820</v>
      </c>
      <c r="C591" s="3" t="s">
        <v>40</v>
      </c>
      <c r="D591" s="3" t="s">
        <v>28</v>
      </c>
      <c r="E591" s="3" t="s">
        <v>15</v>
      </c>
      <c r="F591" s="3" t="s">
        <v>22</v>
      </c>
      <c r="G591" s="0" t="n">
        <v>488</v>
      </c>
      <c r="H591" s="0" t="n">
        <v>81</v>
      </c>
      <c r="I591" s="0" t="n">
        <v>30</v>
      </c>
      <c r="L591" s="3" t="s">
        <v>68</v>
      </c>
    </row>
    <row r="592" customFormat="false" ht="15" hidden="false" customHeight="false" outlineLevel="0" collapsed="false">
      <c r="A592" s="0" t="s">
        <v>703</v>
      </c>
      <c r="B592" s="2" t="n">
        <v>45997</v>
      </c>
      <c r="C592" s="3" t="s">
        <v>13</v>
      </c>
      <c r="D592" s="3" t="s">
        <v>49</v>
      </c>
      <c r="E592" s="3" t="s">
        <v>21</v>
      </c>
      <c r="F592" s="3" t="s">
        <v>16</v>
      </c>
      <c r="G592" s="0" t="n">
        <v>559</v>
      </c>
      <c r="H592" s="0" t="n">
        <v>78</v>
      </c>
      <c r="I592" s="0" t="n">
        <v>0</v>
      </c>
      <c r="J592" s="0" t="n">
        <v>38</v>
      </c>
      <c r="K592" s="0" t="n">
        <v>4.7</v>
      </c>
      <c r="L592" s="3" t="s">
        <v>17</v>
      </c>
    </row>
    <row r="593" customFormat="false" ht="15" hidden="false" customHeight="false" outlineLevel="0" collapsed="false">
      <c r="A593" s="0" t="s">
        <v>704</v>
      </c>
      <c r="B593" s="0" t="s">
        <v>705</v>
      </c>
      <c r="C593" s="0" t="s">
        <v>24</v>
      </c>
      <c r="D593" s="0" t="s">
        <v>14</v>
      </c>
      <c r="E593" s="0" t="s">
        <v>21</v>
      </c>
      <c r="F593" s="0" t="s">
        <v>22</v>
      </c>
      <c r="G593" s="0" t="n">
        <v>372</v>
      </c>
      <c r="H593" s="0" t="n">
        <v>0</v>
      </c>
      <c r="I593" s="0" t="n">
        <v>20</v>
      </c>
      <c r="J593" s="0" t="n">
        <v>40</v>
      </c>
      <c r="K593" s="0" t="n">
        <v>3.7</v>
      </c>
      <c r="L593" s="0" t="s">
        <v>17</v>
      </c>
    </row>
    <row r="594" customFormat="false" ht="15" hidden="false" customHeight="false" outlineLevel="0" collapsed="false">
      <c r="A594" s="0" t="s">
        <v>706</v>
      </c>
      <c r="B594" s="2" t="n">
        <v>45734</v>
      </c>
      <c r="C594" s="3" t="s">
        <v>24</v>
      </c>
      <c r="D594" s="3" t="s">
        <v>56</v>
      </c>
      <c r="E594" s="3" t="s">
        <v>21</v>
      </c>
      <c r="F594" s="3" t="s">
        <v>22</v>
      </c>
      <c r="G594" s="0" t="n">
        <v>385</v>
      </c>
      <c r="H594" s="0" t="n">
        <v>0</v>
      </c>
      <c r="I594" s="0" t="n">
        <v>45</v>
      </c>
      <c r="J594" s="0" t="n">
        <v>39</v>
      </c>
      <c r="K594" s="0" t="n">
        <v>2.6</v>
      </c>
      <c r="L594" s="3" t="s">
        <v>17</v>
      </c>
    </row>
    <row r="595" customFormat="false" ht="15" hidden="false" customHeight="false" outlineLevel="0" collapsed="false">
      <c r="A595" s="0" t="s">
        <v>707</v>
      </c>
      <c r="B595" s="2" t="n">
        <v>45797</v>
      </c>
      <c r="C595" s="3" t="s">
        <v>24</v>
      </c>
      <c r="D595" s="3" t="s">
        <v>56</v>
      </c>
      <c r="E595" s="3" t="s">
        <v>21</v>
      </c>
      <c r="G595" s="0" t="n">
        <v>377</v>
      </c>
      <c r="H595" s="0" t="n">
        <v>0</v>
      </c>
      <c r="I595" s="0" t="n">
        <v>40</v>
      </c>
      <c r="J595" s="0" t="n">
        <v>44</v>
      </c>
      <c r="K595" s="0" t="n">
        <v>4.2</v>
      </c>
      <c r="L595" s="3" t="s">
        <v>17</v>
      </c>
    </row>
    <row r="596" customFormat="false" ht="15" hidden="false" customHeight="false" outlineLevel="0" collapsed="false">
      <c r="A596" s="0" t="s">
        <v>708</v>
      </c>
      <c r="B596" s="2" t="n">
        <v>45739</v>
      </c>
      <c r="C596" s="3" t="s">
        <v>13</v>
      </c>
      <c r="D596" s="3" t="s">
        <v>28</v>
      </c>
      <c r="E596" s="3" t="s">
        <v>21</v>
      </c>
      <c r="F596" s="3" t="s">
        <v>36</v>
      </c>
      <c r="G596" s="0" t="n">
        <v>401</v>
      </c>
      <c r="H596" s="0" t="n">
        <v>0</v>
      </c>
      <c r="I596" s="0" t="n">
        <v>30</v>
      </c>
      <c r="J596" s="0" t="n">
        <v>40</v>
      </c>
      <c r="K596" s="0" t="n">
        <v>3.7</v>
      </c>
      <c r="L596" s="3" t="s">
        <v>17</v>
      </c>
    </row>
    <row r="597" customFormat="false" ht="15" hidden="false" customHeight="false" outlineLevel="0" collapsed="false">
      <c r="A597" s="0" t="s">
        <v>709</v>
      </c>
      <c r="B597" s="2" t="n">
        <v>45668</v>
      </c>
      <c r="C597" s="3" t="s">
        <v>355</v>
      </c>
      <c r="D597" s="3" t="s">
        <v>25</v>
      </c>
      <c r="E597" s="3" t="s">
        <v>15</v>
      </c>
      <c r="F597" s="3" t="s">
        <v>16</v>
      </c>
      <c r="G597" s="0" t="n">
        <v>315</v>
      </c>
      <c r="H597" s="0" t="n">
        <v>0</v>
      </c>
      <c r="I597" s="0" t="n">
        <v>45</v>
      </c>
      <c r="J597" s="0" t="n">
        <v>41</v>
      </c>
      <c r="L597" s="3" t="s">
        <v>17</v>
      </c>
    </row>
    <row r="598" customFormat="false" ht="15" hidden="false" customHeight="false" outlineLevel="0" collapsed="false">
      <c r="A598" s="0" t="s">
        <v>710</v>
      </c>
      <c r="B598" s="2" t="n">
        <v>46000</v>
      </c>
      <c r="C598" s="3" t="s">
        <v>127</v>
      </c>
      <c r="D598" s="3" t="s">
        <v>14</v>
      </c>
      <c r="E598" s="3" t="s">
        <v>21</v>
      </c>
      <c r="F598" s="3" t="s">
        <v>22</v>
      </c>
      <c r="G598" s="0" t="n">
        <v>247</v>
      </c>
      <c r="H598" s="0" t="n">
        <v>0</v>
      </c>
      <c r="I598" s="0" t="n">
        <v>20</v>
      </c>
      <c r="J598" s="0" t="n">
        <v>43</v>
      </c>
      <c r="K598" s="0" t="n">
        <v>4.6</v>
      </c>
      <c r="L598" s="3" t="s">
        <v>17</v>
      </c>
    </row>
    <row r="599" customFormat="false" ht="15" hidden="false" customHeight="false" outlineLevel="0" collapsed="false">
      <c r="A599" s="0" t="s">
        <v>711</v>
      </c>
      <c r="B599" s="2" t="n">
        <v>45838</v>
      </c>
      <c r="C599" s="3" t="s">
        <v>45</v>
      </c>
      <c r="D599" s="3" t="s">
        <v>25</v>
      </c>
      <c r="E599" s="3" t="s">
        <v>21</v>
      </c>
      <c r="F599" s="3" t="s">
        <v>36</v>
      </c>
      <c r="G599" s="0" t="n">
        <v>552</v>
      </c>
      <c r="H599" s="0" t="n">
        <v>0</v>
      </c>
      <c r="I599" s="0" t="n">
        <v>0</v>
      </c>
      <c r="J599" s="0" t="n">
        <v>31</v>
      </c>
      <c r="K599" s="0" t="n">
        <v>4.9</v>
      </c>
      <c r="L599" s="3" t="s">
        <v>17</v>
      </c>
    </row>
    <row r="600" customFormat="false" ht="15" hidden="false" customHeight="false" outlineLevel="0" collapsed="false">
      <c r="A600" s="0" t="s">
        <v>712</v>
      </c>
      <c r="B600" s="2" t="n">
        <v>45786</v>
      </c>
      <c r="C600" s="3" t="s">
        <v>27</v>
      </c>
      <c r="D600" s="3" t="s">
        <v>14</v>
      </c>
      <c r="E600" s="3" t="s">
        <v>15</v>
      </c>
      <c r="F600" s="3" t="s">
        <v>16</v>
      </c>
      <c r="G600" s="0" t="n">
        <v>296</v>
      </c>
      <c r="H600" s="0" t="n">
        <v>58</v>
      </c>
      <c r="I600" s="0" t="n">
        <v>30</v>
      </c>
      <c r="J600" s="0" t="n">
        <v>55</v>
      </c>
      <c r="K600" s="0" t="n">
        <v>4.6</v>
      </c>
      <c r="L600" s="3" t="s">
        <v>17</v>
      </c>
    </row>
    <row r="601" customFormat="false" ht="15" hidden="false" customHeight="false" outlineLevel="0" collapsed="false">
      <c r="A601" s="0" t="s">
        <v>713</v>
      </c>
      <c r="B601" s="0" t="s">
        <v>714</v>
      </c>
      <c r="C601" s="0" t="s">
        <v>24</v>
      </c>
      <c r="D601" s="0" t="s">
        <v>31</v>
      </c>
      <c r="E601" s="0" t="s">
        <v>21</v>
      </c>
      <c r="F601" s="0" t="s">
        <v>36</v>
      </c>
      <c r="G601" s="0" t="n">
        <v>545</v>
      </c>
      <c r="H601" s="0" t="n">
        <v>0</v>
      </c>
      <c r="I601" s="0" t="n">
        <v>0</v>
      </c>
      <c r="J601" s="0" t="n">
        <v>44</v>
      </c>
      <c r="K601" s="0" t="n">
        <v>4.7</v>
      </c>
      <c r="L601" s="0" t="s">
        <v>17</v>
      </c>
    </row>
    <row r="602" customFormat="false" ht="15" hidden="false" customHeight="false" outlineLevel="0" collapsed="false">
      <c r="A602" s="0" t="s">
        <v>715</v>
      </c>
      <c r="B602" s="2" t="n">
        <v>45661</v>
      </c>
      <c r="C602" s="3" t="s">
        <v>716</v>
      </c>
      <c r="D602" s="3" t="s">
        <v>31</v>
      </c>
      <c r="E602" s="3" t="s">
        <v>21</v>
      </c>
      <c r="F602" s="3" t="s">
        <v>54</v>
      </c>
      <c r="G602" s="0" t="n">
        <v>431</v>
      </c>
      <c r="H602" s="0" t="n">
        <v>0</v>
      </c>
      <c r="I602" s="0" t="n">
        <v>20</v>
      </c>
      <c r="J602" s="0" t="n">
        <v>26</v>
      </c>
      <c r="K602" s="0" t="n">
        <v>5</v>
      </c>
      <c r="L602" s="3" t="s">
        <v>17</v>
      </c>
    </row>
    <row r="603" customFormat="false" ht="15" hidden="false" customHeight="false" outlineLevel="0" collapsed="false">
      <c r="A603" s="0" t="s">
        <v>717</v>
      </c>
      <c r="B603" s="2" t="n">
        <v>45774</v>
      </c>
      <c r="C603" s="3" t="s">
        <v>47</v>
      </c>
      <c r="D603" s="3" t="s">
        <v>78</v>
      </c>
      <c r="E603" s="3" t="s">
        <v>21</v>
      </c>
      <c r="G603" s="0" t="n">
        <v>383</v>
      </c>
      <c r="H603" s="0" t="n">
        <v>0</v>
      </c>
      <c r="I603" s="0" t="n">
        <v>40</v>
      </c>
      <c r="J603" s="0" t="n">
        <v>52</v>
      </c>
      <c r="K603" s="0" t="n">
        <v>4.5</v>
      </c>
      <c r="L603" s="3" t="s">
        <v>17</v>
      </c>
    </row>
    <row r="604" customFormat="false" ht="15" hidden="false" customHeight="false" outlineLevel="0" collapsed="false">
      <c r="A604" s="0" t="s">
        <v>718</v>
      </c>
      <c r="B604" s="2" t="n">
        <v>45927</v>
      </c>
      <c r="C604" s="3" t="s">
        <v>40</v>
      </c>
      <c r="D604" s="3" t="s">
        <v>14</v>
      </c>
      <c r="E604" s="3" t="s">
        <v>21</v>
      </c>
      <c r="F604" s="3" t="s">
        <v>22</v>
      </c>
      <c r="G604" s="0" t="n">
        <v>186</v>
      </c>
      <c r="H604" s="0" t="n">
        <v>0</v>
      </c>
      <c r="I604" s="0" t="n">
        <v>40</v>
      </c>
      <c r="J604" s="0" t="n">
        <v>23</v>
      </c>
      <c r="L604" s="3" t="s">
        <v>17</v>
      </c>
    </row>
    <row r="605" customFormat="false" ht="15" hidden="false" customHeight="false" outlineLevel="0" collapsed="false">
      <c r="A605" s="0" t="s">
        <v>719</v>
      </c>
      <c r="B605" s="2" t="n">
        <v>45904</v>
      </c>
      <c r="C605" s="3" t="s">
        <v>27</v>
      </c>
      <c r="D605" s="3" t="s">
        <v>14</v>
      </c>
      <c r="E605" s="3" t="s">
        <v>21</v>
      </c>
      <c r="F605" s="3" t="s">
        <v>22</v>
      </c>
      <c r="G605" s="0" t="n">
        <v>318</v>
      </c>
      <c r="H605" s="0" t="n">
        <v>0</v>
      </c>
      <c r="I605" s="0" t="n">
        <v>45</v>
      </c>
      <c r="J605" s="0" t="n">
        <v>46</v>
      </c>
      <c r="K605" s="0" t="n">
        <v>4</v>
      </c>
      <c r="L605" s="3" t="s">
        <v>17</v>
      </c>
    </row>
    <row r="606" customFormat="false" ht="15" hidden="false" customHeight="false" outlineLevel="0" collapsed="false">
      <c r="A606" s="0" t="s">
        <v>720</v>
      </c>
      <c r="B606" s="2" t="n">
        <v>46017</v>
      </c>
      <c r="C606" s="3" t="s">
        <v>40</v>
      </c>
      <c r="D606" s="3" t="s">
        <v>78</v>
      </c>
      <c r="E606" s="3" t="s">
        <v>21</v>
      </c>
      <c r="F606" s="3" t="s">
        <v>22</v>
      </c>
      <c r="G606" s="0" t="n">
        <v>475</v>
      </c>
      <c r="H606" s="0" t="n">
        <v>0</v>
      </c>
      <c r="I606" s="0" t="n">
        <v>30</v>
      </c>
      <c r="J606" s="0" t="n">
        <v>33</v>
      </c>
      <c r="K606" s="0" t="n">
        <v>3.7</v>
      </c>
      <c r="L606" s="3" t="s">
        <v>17</v>
      </c>
    </row>
    <row r="607" customFormat="false" ht="15" hidden="false" customHeight="false" outlineLevel="0" collapsed="false">
      <c r="A607" s="0" t="s">
        <v>721</v>
      </c>
      <c r="B607" s="2" t="n">
        <v>45899</v>
      </c>
      <c r="C607" s="3" t="s">
        <v>24</v>
      </c>
      <c r="D607" s="3" t="s">
        <v>56</v>
      </c>
      <c r="E607" s="3" t="s">
        <v>21</v>
      </c>
      <c r="F607" s="3" t="s">
        <v>22</v>
      </c>
      <c r="G607" s="0" t="n">
        <v>509</v>
      </c>
      <c r="H607" s="0" t="n">
        <v>0</v>
      </c>
      <c r="I607" s="0" t="n">
        <v>0</v>
      </c>
      <c r="L607" s="3" t="s">
        <v>68</v>
      </c>
    </row>
    <row r="608" customFormat="false" ht="15" hidden="false" customHeight="false" outlineLevel="0" collapsed="false">
      <c r="A608" s="0" t="s">
        <v>722</v>
      </c>
      <c r="B608" s="2" t="n">
        <v>45849</v>
      </c>
      <c r="C608" s="3" t="s">
        <v>13</v>
      </c>
      <c r="D608" s="3" t="s">
        <v>25</v>
      </c>
      <c r="E608" s="3" t="s">
        <v>21</v>
      </c>
      <c r="F608" s="3" t="s">
        <v>22</v>
      </c>
      <c r="G608" s="0" t="n">
        <v>490</v>
      </c>
      <c r="H608" s="0" t="n">
        <v>58</v>
      </c>
      <c r="I608" s="0" t="n">
        <v>20</v>
      </c>
      <c r="J608" s="0" t="n">
        <v>35</v>
      </c>
      <c r="K608" s="0" t="n">
        <v>4.3</v>
      </c>
      <c r="L608" s="3" t="s">
        <v>17</v>
      </c>
    </row>
    <row r="609" customFormat="false" ht="15" hidden="false" customHeight="false" outlineLevel="0" collapsed="false">
      <c r="A609" s="0" t="s">
        <v>723</v>
      </c>
      <c r="B609" s="2" t="n">
        <v>45947</v>
      </c>
      <c r="C609" s="3" t="s">
        <v>40</v>
      </c>
      <c r="D609" s="3" t="s">
        <v>31</v>
      </c>
      <c r="E609" s="3" t="s">
        <v>15</v>
      </c>
      <c r="F609" s="3" t="s">
        <v>22</v>
      </c>
      <c r="G609" s="0" t="n">
        <v>479</v>
      </c>
      <c r="H609" s="0" t="n">
        <v>66</v>
      </c>
      <c r="I609" s="0" t="n">
        <v>20</v>
      </c>
      <c r="J609" s="0" t="n">
        <v>32</v>
      </c>
      <c r="K609" s="0" t="n">
        <v>5</v>
      </c>
      <c r="L609" s="3" t="s">
        <v>17</v>
      </c>
    </row>
    <row r="610" customFormat="false" ht="15" hidden="false" customHeight="false" outlineLevel="0" collapsed="false">
      <c r="A610" s="0" t="s">
        <v>723</v>
      </c>
      <c r="B610" s="2" t="n">
        <v>45947</v>
      </c>
      <c r="C610" s="3" t="s">
        <v>40</v>
      </c>
      <c r="D610" s="3" t="s">
        <v>31</v>
      </c>
      <c r="E610" s="3" t="s">
        <v>15</v>
      </c>
      <c r="F610" s="3" t="s">
        <v>22</v>
      </c>
      <c r="G610" s="0" t="n">
        <v>479</v>
      </c>
      <c r="H610" s="0" t="n">
        <v>66</v>
      </c>
      <c r="I610" s="0" t="n">
        <v>20</v>
      </c>
      <c r="J610" s="0" t="n">
        <v>32</v>
      </c>
      <c r="K610" s="0" t="n">
        <v>5</v>
      </c>
      <c r="L610" s="3" t="s">
        <v>17</v>
      </c>
    </row>
    <row r="611" customFormat="false" ht="15" hidden="false" customHeight="false" outlineLevel="0" collapsed="false">
      <c r="A611" s="0" t="s">
        <v>724</v>
      </c>
      <c r="B611" s="2" t="n">
        <v>45992</v>
      </c>
      <c r="C611" s="3" t="s">
        <v>30</v>
      </c>
      <c r="D611" s="3" t="s">
        <v>56</v>
      </c>
      <c r="E611" s="3" t="s">
        <v>15</v>
      </c>
      <c r="F611" s="3" t="s">
        <v>22</v>
      </c>
      <c r="G611" s="0" t="n">
        <v>478</v>
      </c>
      <c r="H611" s="0" t="n">
        <v>74</v>
      </c>
      <c r="I611" s="0" t="n">
        <v>30</v>
      </c>
      <c r="L611" s="3" t="s">
        <v>68</v>
      </c>
    </row>
    <row r="612" customFormat="false" ht="15" hidden="false" customHeight="false" outlineLevel="0" collapsed="false">
      <c r="A612" s="0" t="s">
        <v>725</v>
      </c>
      <c r="B612" s="2" t="n">
        <v>45933</v>
      </c>
      <c r="C612" s="3" t="s">
        <v>51</v>
      </c>
      <c r="D612" s="3" t="s">
        <v>25</v>
      </c>
      <c r="E612" s="3" t="s">
        <v>21</v>
      </c>
      <c r="F612" s="3" t="s">
        <v>22</v>
      </c>
      <c r="G612" s="0" t="n">
        <v>621</v>
      </c>
      <c r="H612" s="0" t="n">
        <v>0</v>
      </c>
      <c r="I612" s="0" t="n">
        <v>0</v>
      </c>
      <c r="J612" s="0" t="n">
        <v>30</v>
      </c>
      <c r="K612" s="0" t="n">
        <v>4.9</v>
      </c>
      <c r="L612" s="3" t="s">
        <v>17</v>
      </c>
    </row>
    <row r="613" customFormat="false" ht="15" hidden="false" customHeight="false" outlineLevel="0" collapsed="false">
      <c r="A613" s="0" t="s">
        <v>726</v>
      </c>
      <c r="B613" s="2" t="n">
        <v>46011</v>
      </c>
      <c r="C613" s="3" t="s">
        <v>355</v>
      </c>
      <c r="D613" s="3" t="s">
        <v>49</v>
      </c>
      <c r="E613" s="3" t="s">
        <v>21</v>
      </c>
      <c r="F613" s="3" t="s">
        <v>36</v>
      </c>
      <c r="G613" s="0" t="n">
        <v>379</v>
      </c>
      <c r="H613" s="0" t="n">
        <v>0</v>
      </c>
      <c r="I613" s="0" t="n">
        <v>20</v>
      </c>
      <c r="J613" s="0" t="n">
        <v>40</v>
      </c>
      <c r="K613" s="0" t="n">
        <v>2.9</v>
      </c>
      <c r="L613" s="3" t="s">
        <v>17</v>
      </c>
    </row>
    <row r="614" customFormat="false" ht="15" hidden="false" customHeight="false" outlineLevel="0" collapsed="false">
      <c r="A614" s="0" t="s">
        <v>727</v>
      </c>
      <c r="B614" s="2" t="n">
        <v>45954</v>
      </c>
      <c r="C614" s="3" t="s">
        <v>13</v>
      </c>
      <c r="D614" s="3" t="s">
        <v>31</v>
      </c>
      <c r="E614" s="3" t="s">
        <v>21</v>
      </c>
      <c r="F614" s="3" t="s">
        <v>22</v>
      </c>
      <c r="G614" s="0" t="n">
        <v>651</v>
      </c>
      <c r="H614" s="0" t="n">
        <v>0</v>
      </c>
      <c r="I614" s="0" t="n">
        <v>0</v>
      </c>
      <c r="J614" s="0" t="n">
        <v>31</v>
      </c>
      <c r="K614" s="0" t="n">
        <v>4.2</v>
      </c>
      <c r="L614" s="3" t="s">
        <v>17</v>
      </c>
    </row>
    <row r="615" customFormat="false" ht="15" hidden="false" customHeight="false" outlineLevel="0" collapsed="false">
      <c r="A615" s="0" t="s">
        <v>728</v>
      </c>
      <c r="B615" s="2" t="n">
        <v>45981</v>
      </c>
      <c r="C615" s="3" t="s">
        <v>13</v>
      </c>
      <c r="D615" s="3" t="s">
        <v>31</v>
      </c>
      <c r="E615" s="3" t="s">
        <v>15</v>
      </c>
      <c r="F615" s="3" t="s">
        <v>36</v>
      </c>
      <c r="G615" s="0" t="n">
        <v>629</v>
      </c>
      <c r="H615" s="0" t="n">
        <v>84</v>
      </c>
      <c r="I615" s="0" t="n">
        <v>0</v>
      </c>
      <c r="J615" s="0" t="n">
        <v>28</v>
      </c>
      <c r="K615" s="0" t="n">
        <v>4.4</v>
      </c>
      <c r="L615" s="3" t="s">
        <v>17</v>
      </c>
    </row>
    <row r="616" customFormat="false" ht="15" hidden="false" customHeight="false" outlineLevel="0" collapsed="false">
      <c r="A616" s="0" t="s">
        <v>729</v>
      </c>
      <c r="B616" s="2" t="n">
        <v>45707</v>
      </c>
      <c r="C616" s="3" t="s">
        <v>19</v>
      </c>
      <c r="D616" s="3" t="s">
        <v>25</v>
      </c>
      <c r="E616" s="3" t="s">
        <v>15</v>
      </c>
      <c r="F616" s="3" t="s">
        <v>22</v>
      </c>
      <c r="G616" s="0" t="n">
        <v>489</v>
      </c>
      <c r="H616" s="0" t="n">
        <v>0</v>
      </c>
      <c r="I616" s="0" t="n">
        <v>30</v>
      </c>
      <c r="J616" s="0" t="n">
        <v>30</v>
      </c>
      <c r="K616" s="0" t="n">
        <v>4.6</v>
      </c>
      <c r="L616" s="3" t="s">
        <v>17</v>
      </c>
    </row>
    <row r="617" customFormat="false" ht="15" hidden="false" customHeight="false" outlineLevel="0" collapsed="false">
      <c r="A617" s="0" t="s">
        <v>729</v>
      </c>
      <c r="B617" s="2" t="n">
        <v>45707</v>
      </c>
      <c r="C617" s="3" t="s">
        <v>19</v>
      </c>
      <c r="D617" s="3" t="s">
        <v>25</v>
      </c>
      <c r="E617" s="3" t="s">
        <v>15</v>
      </c>
      <c r="F617" s="3" t="s">
        <v>22</v>
      </c>
      <c r="G617" s="0" t="n">
        <v>489</v>
      </c>
      <c r="H617" s="0" t="n">
        <v>0</v>
      </c>
      <c r="I617" s="0" t="n">
        <v>30</v>
      </c>
      <c r="J617" s="0" t="n">
        <v>30</v>
      </c>
      <c r="K617" s="0" t="n">
        <v>4.6</v>
      </c>
      <c r="L617" s="3" t="s">
        <v>17</v>
      </c>
    </row>
    <row r="618" customFormat="false" ht="15" hidden="false" customHeight="false" outlineLevel="0" collapsed="false">
      <c r="A618" s="0" t="s">
        <v>730</v>
      </c>
      <c r="B618" s="2" t="n">
        <v>45937</v>
      </c>
      <c r="C618" s="3" t="s">
        <v>127</v>
      </c>
      <c r="D618" s="3" t="s">
        <v>31</v>
      </c>
      <c r="E618" s="3" t="s">
        <v>21</v>
      </c>
      <c r="F618" s="3" t="s">
        <v>22</v>
      </c>
      <c r="G618" s="0" t="n">
        <v>575</v>
      </c>
      <c r="H618" s="0" t="n">
        <v>0</v>
      </c>
      <c r="I618" s="0" t="n">
        <v>0</v>
      </c>
      <c r="J618" s="0" t="n">
        <v>39</v>
      </c>
      <c r="K618" s="0" t="n">
        <v>4.7</v>
      </c>
      <c r="L618" s="3" t="s">
        <v>17</v>
      </c>
    </row>
    <row r="619" customFormat="false" ht="15" hidden="false" customHeight="false" outlineLevel="0" collapsed="false">
      <c r="A619" s="0" t="s">
        <v>731</v>
      </c>
      <c r="B619" s="2" t="n">
        <v>45835</v>
      </c>
      <c r="C619" s="3" t="s">
        <v>40</v>
      </c>
      <c r="D619" s="3" t="s">
        <v>25</v>
      </c>
      <c r="E619" s="3" t="s">
        <v>21</v>
      </c>
      <c r="F619" s="3" t="s">
        <v>22</v>
      </c>
      <c r="G619" s="0" t="n">
        <v>291</v>
      </c>
      <c r="H619" s="0" t="n">
        <v>0</v>
      </c>
      <c r="I619" s="0" t="n">
        <v>30</v>
      </c>
      <c r="J619" s="0" t="n">
        <v>31</v>
      </c>
      <c r="K619" s="0" t="n">
        <v>3.8</v>
      </c>
      <c r="L619" s="3" t="s">
        <v>17</v>
      </c>
    </row>
    <row r="620" customFormat="false" ht="15" hidden="false" customHeight="false" outlineLevel="0" collapsed="false">
      <c r="A620" s="0" t="s">
        <v>732</v>
      </c>
      <c r="B620" s="2" t="n">
        <v>45876</v>
      </c>
      <c r="C620" s="3" t="s">
        <v>27</v>
      </c>
      <c r="D620" s="3" t="s">
        <v>20</v>
      </c>
      <c r="E620" s="3" t="s">
        <v>15</v>
      </c>
      <c r="F620" s="3" t="s">
        <v>36</v>
      </c>
      <c r="G620" s="0" t="n">
        <v>767</v>
      </c>
      <c r="H620" s="0" t="n">
        <v>0</v>
      </c>
      <c r="I620" s="0" t="n">
        <v>0</v>
      </c>
      <c r="J620" s="0" t="n">
        <v>30</v>
      </c>
      <c r="K620" s="0" t="n">
        <v>4.7</v>
      </c>
      <c r="L620" s="3" t="s">
        <v>17</v>
      </c>
    </row>
    <row r="621" customFormat="false" ht="15" hidden="false" customHeight="false" outlineLevel="0" collapsed="false">
      <c r="A621" s="0" t="s">
        <v>733</v>
      </c>
      <c r="B621" s="2" t="n">
        <v>45911</v>
      </c>
      <c r="C621" s="3" t="s">
        <v>27</v>
      </c>
      <c r="D621" s="3" t="s">
        <v>25</v>
      </c>
      <c r="E621" s="3" t="s">
        <v>21</v>
      </c>
      <c r="F621" s="3" t="s">
        <v>22</v>
      </c>
      <c r="G621" s="0" t="n">
        <v>630</v>
      </c>
      <c r="H621" s="0" t="n">
        <v>0</v>
      </c>
      <c r="I621" s="0" t="n">
        <v>0</v>
      </c>
      <c r="J621" s="0" t="n">
        <v>44</v>
      </c>
      <c r="K621" s="0" t="n">
        <v>4.7</v>
      </c>
      <c r="L621" s="3" t="s">
        <v>17</v>
      </c>
    </row>
    <row r="622" customFormat="false" ht="15" hidden="false" customHeight="false" outlineLevel="0" collapsed="false">
      <c r="A622" s="0" t="s">
        <v>734</v>
      </c>
      <c r="B622" s="2" t="n">
        <v>46013</v>
      </c>
      <c r="C622" s="3" t="s">
        <v>40</v>
      </c>
      <c r="D622" s="3" t="s">
        <v>20</v>
      </c>
      <c r="E622" s="3" t="s">
        <v>21</v>
      </c>
      <c r="F622" s="3" t="s">
        <v>16</v>
      </c>
      <c r="G622" s="0" t="n">
        <v>494</v>
      </c>
      <c r="H622" s="0" t="n">
        <v>111</v>
      </c>
      <c r="I622" s="0" t="n">
        <v>45</v>
      </c>
      <c r="J622" s="0" t="n">
        <v>42</v>
      </c>
      <c r="K622" s="0" t="n">
        <v>5</v>
      </c>
      <c r="L622" s="3" t="s">
        <v>17</v>
      </c>
    </row>
    <row r="623" customFormat="false" ht="15" hidden="false" customHeight="false" outlineLevel="0" collapsed="false">
      <c r="A623" s="0" t="s">
        <v>735</v>
      </c>
      <c r="B623" s="0" t="s">
        <v>476</v>
      </c>
      <c r="C623" s="0" t="s">
        <v>27</v>
      </c>
      <c r="D623" s="0" t="s">
        <v>49</v>
      </c>
      <c r="E623" s="0" t="s">
        <v>21</v>
      </c>
      <c r="F623" s="0" t="s">
        <v>22</v>
      </c>
      <c r="G623" s="0" t="n">
        <v>410</v>
      </c>
      <c r="H623" s="0" t="n">
        <v>0</v>
      </c>
      <c r="I623" s="0" t="n">
        <v>20</v>
      </c>
      <c r="L623" s="0" t="s">
        <v>68</v>
      </c>
    </row>
    <row r="624" customFormat="false" ht="15" hidden="false" customHeight="false" outlineLevel="0" collapsed="false">
      <c r="A624" s="0" t="s">
        <v>736</v>
      </c>
      <c r="B624" s="2" t="n">
        <v>45778</v>
      </c>
      <c r="C624" s="3" t="s">
        <v>40</v>
      </c>
      <c r="D624" s="3" t="s">
        <v>20</v>
      </c>
      <c r="E624" s="3" t="s">
        <v>15</v>
      </c>
      <c r="F624" s="3" t="s">
        <v>54</v>
      </c>
      <c r="G624" s="0" t="n">
        <v>733</v>
      </c>
      <c r="H624" s="0" t="n">
        <v>114</v>
      </c>
      <c r="I624" s="0" t="n">
        <v>0</v>
      </c>
      <c r="J624" s="0" t="n">
        <v>42</v>
      </c>
      <c r="K624" s="0" t="n">
        <v>3.9</v>
      </c>
      <c r="L624" s="3" t="s">
        <v>17</v>
      </c>
    </row>
    <row r="625" customFormat="false" ht="15" hidden="false" customHeight="false" outlineLevel="0" collapsed="false">
      <c r="A625" s="0" t="s">
        <v>737</v>
      </c>
      <c r="B625" s="0" t="s">
        <v>414</v>
      </c>
      <c r="C625" s="0" t="s">
        <v>51</v>
      </c>
      <c r="D625" s="0" t="s">
        <v>28</v>
      </c>
      <c r="E625" s="0" t="s">
        <v>21</v>
      </c>
      <c r="F625" s="0" t="s">
        <v>22</v>
      </c>
      <c r="G625" s="0" t="n">
        <v>593</v>
      </c>
      <c r="H625" s="0" t="n">
        <v>111</v>
      </c>
      <c r="I625" s="0" t="n">
        <v>0</v>
      </c>
      <c r="J625" s="0" t="n">
        <v>46</v>
      </c>
      <c r="K625" s="0" t="n">
        <v>3.4</v>
      </c>
      <c r="L625" s="0" t="s">
        <v>17</v>
      </c>
    </row>
    <row r="626" customFormat="false" ht="15" hidden="false" customHeight="false" outlineLevel="0" collapsed="false">
      <c r="A626" s="0" t="s">
        <v>738</v>
      </c>
      <c r="B626" s="2" t="n">
        <v>45943</v>
      </c>
      <c r="C626" s="3" t="s">
        <v>24</v>
      </c>
      <c r="D626" s="3" t="s">
        <v>25</v>
      </c>
      <c r="E626" s="3" t="s">
        <v>21</v>
      </c>
      <c r="F626" s="3" t="s">
        <v>22</v>
      </c>
      <c r="G626" s="0" t="n">
        <v>364</v>
      </c>
      <c r="H626" s="0" t="n">
        <v>0</v>
      </c>
      <c r="I626" s="0" t="n">
        <v>45</v>
      </c>
      <c r="J626" s="0" t="n">
        <v>43</v>
      </c>
      <c r="K626" s="0" t="n">
        <v>5</v>
      </c>
      <c r="L626" s="3" t="s">
        <v>17</v>
      </c>
    </row>
    <row r="627" customFormat="false" ht="15" hidden="false" customHeight="false" outlineLevel="0" collapsed="false">
      <c r="A627" s="0" t="s">
        <v>739</v>
      </c>
      <c r="B627" s="2" t="n">
        <v>45800</v>
      </c>
      <c r="C627" s="3" t="s">
        <v>40</v>
      </c>
      <c r="D627" s="3" t="s">
        <v>31</v>
      </c>
      <c r="E627" s="3" t="s">
        <v>21</v>
      </c>
      <c r="F627" s="3" t="s">
        <v>36</v>
      </c>
      <c r="G627" s="0" t="n">
        <v>583</v>
      </c>
      <c r="H627" s="0" t="n">
        <v>0</v>
      </c>
      <c r="I627" s="0" t="n">
        <v>0</v>
      </c>
      <c r="J627" s="0" t="n">
        <v>57</v>
      </c>
      <c r="K627" s="0" t="n">
        <v>4.1</v>
      </c>
      <c r="L627" s="3" t="s">
        <v>17</v>
      </c>
    </row>
    <row r="628" customFormat="false" ht="15" hidden="false" customHeight="false" outlineLevel="0" collapsed="false">
      <c r="A628" s="0" t="s">
        <v>740</v>
      </c>
      <c r="B628" s="2" t="n">
        <v>45711</v>
      </c>
      <c r="C628" s="3" t="s">
        <v>40</v>
      </c>
      <c r="D628" s="3" t="s">
        <v>25</v>
      </c>
      <c r="E628" s="3" t="s">
        <v>15</v>
      </c>
      <c r="F628" s="3" t="s">
        <v>22</v>
      </c>
      <c r="G628" s="0" t="n">
        <v>373</v>
      </c>
      <c r="H628" s="0" t="n">
        <v>47</v>
      </c>
      <c r="I628" s="0" t="n">
        <v>20</v>
      </c>
      <c r="J628" s="0" t="n">
        <v>60</v>
      </c>
      <c r="K628" s="0" t="n">
        <v>3.6</v>
      </c>
      <c r="L628" s="3" t="s">
        <v>17</v>
      </c>
    </row>
    <row r="629" customFormat="false" ht="15" hidden="false" customHeight="false" outlineLevel="0" collapsed="false">
      <c r="A629" s="0" t="s">
        <v>741</v>
      </c>
      <c r="B629" s="2" t="n">
        <v>45676</v>
      </c>
      <c r="C629" s="3" t="s">
        <v>24</v>
      </c>
      <c r="D629" s="3" t="s">
        <v>78</v>
      </c>
      <c r="E629" s="3" t="s">
        <v>21</v>
      </c>
      <c r="F629" s="3" t="s">
        <v>22</v>
      </c>
      <c r="G629" s="0" t="n">
        <v>440</v>
      </c>
      <c r="H629" s="0" t="n">
        <v>0</v>
      </c>
      <c r="I629" s="0" t="n">
        <v>40</v>
      </c>
      <c r="J629" s="0" t="n">
        <v>24</v>
      </c>
      <c r="L629" s="3" t="s">
        <v>17</v>
      </c>
    </row>
    <row r="630" customFormat="false" ht="15" hidden="false" customHeight="false" outlineLevel="0" collapsed="false">
      <c r="A630" s="0" t="s">
        <v>742</v>
      </c>
      <c r="B630" s="2" t="n">
        <v>45952</v>
      </c>
      <c r="C630" s="3" t="s">
        <v>24</v>
      </c>
      <c r="D630" s="3" t="s">
        <v>20</v>
      </c>
      <c r="E630" s="3" t="s">
        <v>21</v>
      </c>
      <c r="F630" s="3" t="s">
        <v>36</v>
      </c>
      <c r="G630" s="0" t="n">
        <v>367</v>
      </c>
      <c r="H630" s="0" t="n">
        <v>39</v>
      </c>
      <c r="I630" s="0" t="n">
        <v>30</v>
      </c>
      <c r="J630" s="0" t="n">
        <v>21</v>
      </c>
      <c r="K630" s="0" t="n">
        <v>4.2</v>
      </c>
      <c r="L630" s="3" t="s">
        <v>17</v>
      </c>
    </row>
    <row r="631" customFormat="false" ht="15" hidden="false" customHeight="false" outlineLevel="0" collapsed="false">
      <c r="A631" s="0" t="s">
        <v>743</v>
      </c>
      <c r="B631" s="2" t="n">
        <v>45853</v>
      </c>
      <c r="C631" s="3" t="s">
        <v>40</v>
      </c>
      <c r="D631" s="3" t="s">
        <v>25</v>
      </c>
      <c r="E631" s="3" t="s">
        <v>99</v>
      </c>
      <c r="F631" s="3" t="s">
        <v>22</v>
      </c>
      <c r="G631" s="0" t="n">
        <v>517</v>
      </c>
      <c r="H631" s="0" t="n">
        <v>99</v>
      </c>
      <c r="I631" s="0" t="n">
        <v>0</v>
      </c>
      <c r="J631" s="0" t="n">
        <v>38</v>
      </c>
      <c r="K631" s="0" t="n">
        <v>4.5</v>
      </c>
      <c r="L631" s="3" t="s">
        <v>17</v>
      </c>
    </row>
    <row r="632" customFormat="false" ht="15" hidden="false" customHeight="false" outlineLevel="0" collapsed="false">
      <c r="A632" s="0" t="s">
        <v>744</v>
      </c>
      <c r="B632" s="2" t="n">
        <v>46018</v>
      </c>
      <c r="C632" s="3" t="s">
        <v>24</v>
      </c>
      <c r="D632" s="3" t="s">
        <v>56</v>
      </c>
      <c r="E632" s="3" t="s">
        <v>21</v>
      </c>
      <c r="F632" s="3" t="s">
        <v>22</v>
      </c>
      <c r="G632" s="0" t="n">
        <v>475</v>
      </c>
      <c r="H632" s="0" t="n">
        <v>97</v>
      </c>
      <c r="I632" s="0" t="n">
        <v>45</v>
      </c>
      <c r="J632" s="0" t="n">
        <v>40</v>
      </c>
      <c r="K632" s="0" t="n">
        <v>4.3</v>
      </c>
      <c r="L632" s="3" t="s">
        <v>17</v>
      </c>
    </row>
    <row r="633" customFormat="false" ht="15" hidden="false" customHeight="false" outlineLevel="0" collapsed="false">
      <c r="A633" s="0" t="s">
        <v>745</v>
      </c>
      <c r="B633" s="2" t="n">
        <v>45844</v>
      </c>
      <c r="C633" s="3" t="s">
        <v>40</v>
      </c>
      <c r="D633" s="3" t="s">
        <v>14</v>
      </c>
      <c r="E633" s="3" t="s">
        <v>21</v>
      </c>
      <c r="F633" s="3" t="s">
        <v>16</v>
      </c>
      <c r="G633" s="0" t="n">
        <v>402</v>
      </c>
      <c r="H633" s="0" t="n">
        <v>40</v>
      </c>
      <c r="I633" s="0" t="n">
        <v>45</v>
      </c>
      <c r="J633" s="0" t="n">
        <v>37</v>
      </c>
      <c r="K633" s="0" t="n">
        <v>3.3</v>
      </c>
      <c r="L633" s="3" t="s">
        <v>17</v>
      </c>
    </row>
    <row r="634" customFormat="false" ht="15" hidden="false" customHeight="false" outlineLevel="0" collapsed="false">
      <c r="A634" s="0" t="s">
        <v>746</v>
      </c>
      <c r="B634" s="2" t="n">
        <v>46016</v>
      </c>
      <c r="C634" s="3" t="s">
        <v>24</v>
      </c>
      <c r="D634" s="3" t="s">
        <v>28</v>
      </c>
      <c r="E634" s="3" t="s">
        <v>21</v>
      </c>
      <c r="F634" s="3" t="s">
        <v>22</v>
      </c>
      <c r="G634" s="0" t="n">
        <v>366</v>
      </c>
      <c r="H634" s="0" t="n">
        <v>0</v>
      </c>
      <c r="I634" s="0" t="n">
        <v>30</v>
      </c>
      <c r="J634" s="0" t="n">
        <v>41</v>
      </c>
      <c r="K634" s="0" t="n">
        <v>4.4</v>
      </c>
      <c r="L634" s="3" t="s">
        <v>17</v>
      </c>
    </row>
    <row r="635" customFormat="false" ht="15" hidden="false" customHeight="false" outlineLevel="0" collapsed="false">
      <c r="A635" s="0" t="s">
        <v>747</v>
      </c>
      <c r="B635" s="2" t="n">
        <v>45825</v>
      </c>
      <c r="C635" s="3" t="s">
        <v>24</v>
      </c>
      <c r="D635" s="3" t="s">
        <v>20</v>
      </c>
      <c r="E635" s="3" t="s">
        <v>15</v>
      </c>
      <c r="F635" s="3" t="s">
        <v>54</v>
      </c>
      <c r="G635" s="0" t="n">
        <v>810</v>
      </c>
      <c r="H635" s="0" t="n">
        <v>0</v>
      </c>
      <c r="I635" s="0" t="n">
        <v>0</v>
      </c>
      <c r="J635" s="0" t="n">
        <v>34</v>
      </c>
      <c r="K635" s="0" t="n">
        <v>3.5</v>
      </c>
      <c r="L635" s="3" t="s">
        <v>17</v>
      </c>
    </row>
    <row r="636" customFormat="false" ht="15" hidden="false" customHeight="false" outlineLevel="0" collapsed="false">
      <c r="A636" s="0" t="s">
        <v>748</v>
      </c>
      <c r="B636" s="2" t="n">
        <v>45957</v>
      </c>
      <c r="C636" s="3" t="s">
        <v>24</v>
      </c>
      <c r="D636" s="3" t="s">
        <v>14</v>
      </c>
      <c r="E636" s="3" t="s">
        <v>21</v>
      </c>
      <c r="F636" s="3" t="s">
        <v>34</v>
      </c>
      <c r="G636" s="0" t="n">
        <v>287</v>
      </c>
      <c r="H636" s="0" t="n">
        <v>0</v>
      </c>
      <c r="I636" s="0" t="n">
        <v>40</v>
      </c>
      <c r="J636" s="0" t="n">
        <v>31</v>
      </c>
      <c r="K636" s="0" t="n">
        <v>5</v>
      </c>
      <c r="L636" s="3" t="s">
        <v>17</v>
      </c>
    </row>
    <row r="637" customFormat="false" ht="15" hidden="false" customHeight="false" outlineLevel="0" collapsed="false">
      <c r="A637" s="0" t="s">
        <v>749</v>
      </c>
      <c r="B637" s="2" t="n">
        <v>45695</v>
      </c>
      <c r="C637" s="3" t="s">
        <v>24</v>
      </c>
      <c r="D637" s="3" t="s">
        <v>28</v>
      </c>
      <c r="E637" s="3" t="s">
        <v>15</v>
      </c>
      <c r="F637" s="3" t="s">
        <v>34</v>
      </c>
      <c r="G637" s="0" t="n">
        <v>415</v>
      </c>
      <c r="H637" s="0" t="n">
        <v>44</v>
      </c>
      <c r="I637" s="0" t="n">
        <v>45</v>
      </c>
      <c r="J637" s="0" t="n">
        <v>32</v>
      </c>
      <c r="K637" s="0" t="n">
        <v>4.5</v>
      </c>
      <c r="L637" s="3" t="s">
        <v>17</v>
      </c>
    </row>
    <row r="638" customFormat="false" ht="15" hidden="false" customHeight="false" outlineLevel="0" collapsed="false">
      <c r="A638" s="0" t="s">
        <v>750</v>
      </c>
      <c r="B638" s="2" t="n">
        <v>45877</v>
      </c>
      <c r="C638" s="3" t="s">
        <v>40</v>
      </c>
      <c r="D638" s="3" t="s">
        <v>20</v>
      </c>
      <c r="E638" s="3" t="s">
        <v>21</v>
      </c>
      <c r="F638" s="3" t="s">
        <v>22</v>
      </c>
      <c r="G638" s="0" t="n">
        <v>529</v>
      </c>
      <c r="H638" s="0" t="n">
        <v>0</v>
      </c>
      <c r="I638" s="0" t="n">
        <v>0</v>
      </c>
      <c r="J638" s="0" t="n">
        <v>37</v>
      </c>
      <c r="K638" s="0" t="n">
        <v>4</v>
      </c>
      <c r="L638" s="3" t="s">
        <v>17</v>
      </c>
    </row>
    <row r="639" customFormat="false" ht="15" hidden="false" customHeight="false" outlineLevel="0" collapsed="false">
      <c r="A639" s="0" t="s">
        <v>751</v>
      </c>
      <c r="B639" s="2" t="n">
        <v>45960</v>
      </c>
      <c r="C639" s="3" t="s">
        <v>292</v>
      </c>
      <c r="D639" s="3" t="s">
        <v>31</v>
      </c>
      <c r="E639" s="3" t="s">
        <v>21</v>
      </c>
      <c r="F639" s="3" t="s">
        <v>36</v>
      </c>
      <c r="G639" s="0" t="n">
        <v>606</v>
      </c>
      <c r="H639" s="0" t="n">
        <v>117</v>
      </c>
      <c r="I639" s="0" t="n">
        <v>0</v>
      </c>
      <c r="J639" s="0" t="n">
        <v>44</v>
      </c>
      <c r="K639" s="0" t="n">
        <v>4.5</v>
      </c>
      <c r="L639" s="3" t="s">
        <v>17</v>
      </c>
    </row>
    <row r="640" customFormat="false" ht="15" hidden="false" customHeight="false" outlineLevel="0" collapsed="false">
      <c r="A640" s="0" t="s">
        <v>752</v>
      </c>
      <c r="B640" s="2" t="n">
        <v>45999</v>
      </c>
      <c r="C640" s="3" t="s">
        <v>24</v>
      </c>
      <c r="D640" s="3" t="s">
        <v>31</v>
      </c>
      <c r="E640" s="3" t="s">
        <v>15</v>
      </c>
      <c r="F640" s="3" t="s">
        <v>36</v>
      </c>
      <c r="G640" s="0" t="n">
        <v>301</v>
      </c>
      <c r="H640" s="0" t="n">
        <v>0</v>
      </c>
      <c r="I640" s="0" t="n">
        <v>20</v>
      </c>
      <c r="J640" s="0" t="n">
        <v>33</v>
      </c>
      <c r="K640" s="0" t="n">
        <v>4.5</v>
      </c>
      <c r="L640" s="3" t="s">
        <v>17</v>
      </c>
    </row>
    <row r="641" customFormat="false" ht="15" hidden="false" customHeight="false" outlineLevel="0" collapsed="false">
      <c r="A641" s="0" t="s">
        <v>753</v>
      </c>
      <c r="B641" s="2" t="n">
        <v>45967</v>
      </c>
      <c r="C641" s="3" t="s">
        <v>13</v>
      </c>
      <c r="D641" s="3" t="s">
        <v>78</v>
      </c>
      <c r="E641" s="3" t="s">
        <v>15</v>
      </c>
      <c r="F641" s="3" t="s">
        <v>22</v>
      </c>
      <c r="G641" s="0" t="n">
        <v>379</v>
      </c>
      <c r="H641" s="0" t="n">
        <v>0</v>
      </c>
      <c r="I641" s="0" t="n">
        <v>20</v>
      </c>
      <c r="J641" s="0" t="n">
        <v>31</v>
      </c>
      <c r="K641" s="0" t="n">
        <v>5</v>
      </c>
      <c r="L641" s="3" t="s">
        <v>17</v>
      </c>
    </row>
    <row r="642" customFormat="false" ht="15" hidden="false" customHeight="false" outlineLevel="0" collapsed="false">
      <c r="A642" s="0" t="s">
        <v>754</v>
      </c>
      <c r="B642" s="0" t="s">
        <v>590</v>
      </c>
      <c r="C642" s="0" t="s">
        <v>19</v>
      </c>
      <c r="D642" s="0" t="s">
        <v>20</v>
      </c>
      <c r="E642" s="0" t="s">
        <v>15</v>
      </c>
      <c r="F642" s="0" t="s">
        <v>54</v>
      </c>
      <c r="G642" s="0" t="n">
        <v>407</v>
      </c>
      <c r="H642" s="0" t="n">
        <v>77</v>
      </c>
      <c r="I642" s="0" t="n">
        <v>20</v>
      </c>
      <c r="J642" s="0" t="n">
        <v>32</v>
      </c>
      <c r="K642" s="0" t="n">
        <v>4.4</v>
      </c>
      <c r="L642" s="0" t="s">
        <v>17</v>
      </c>
    </row>
    <row r="643" customFormat="false" ht="15" hidden="false" customHeight="false" outlineLevel="0" collapsed="false">
      <c r="A643" s="0" t="s">
        <v>755</v>
      </c>
      <c r="B643" s="2" t="n">
        <v>45810</v>
      </c>
      <c r="C643" s="3" t="s">
        <v>51</v>
      </c>
      <c r="D643" s="3" t="s">
        <v>56</v>
      </c>
      <c r="E643" s="3" t="s">
        <v>21</v>
      </c>
      <c r="F643" s="3" t="s">
        <v>34</v>
      </c>
      <c r="G643" s="0" t="n">
        <v>502</v>
      </c>
      <c r="H643" s="0" t="n">
        <v>0</v>
      </c>
      <c r="I643" s="0" t="n">
        <v>0</v>
      </c>
      <c r="J643" s="0" t="n">
        <v>34</v>
      </c>
      <c r="K643" s="0" t="n">
        <v>4.4</v>
      </c>
      <c r="L643" s="3" t="s">
        <v>17</v>
      </c>
    </row>
    <row r="644" customFormat="false" ht="15" hidden="false" customHeight="false" outlineLevel="0" collapsed="false">
      <c r="A644" s="0" t="s">
        <v>756</v>
      </c>
      <c r="B644" s="2" t="n">
        <v>45679</v>
      </c>
      <c r="C644" s="3" t="s">
        <v>27</v>
      </c>
      <c r="D644" s="3" t="s">
        <v>20</v>
      </c>
      <c r="E644" s="3" t="s">
        <v>21</v>
      </c>
      <c r="F644" s="3" t="s">
        <v>36</v>
      </c>
      <c r="G644" s="0" t="n">
        <v>519</v>
      </c>
      <c r="H644" s="0" t="n">
        <v>0</v>
      </c>
      <c r="I644" s="0" t="n">
        <v>0</v>
      </c>
      <c r="J644" s="0" t="n">
        <v>50</v>
      </c>
      <c r="K644" s="0" t="n">
        <v>3.8</v>
      </c>
      <c r="L644" s="3" t="s">
        <v>17</v>
      </c>
    </row>
    <row r="645" customFormat="false" ht="15" hidden="false" customHeight="false" outlineLevel="0" collapsed="false">
      <c r="A645" s="0" t="s">
        <v>757</v>
      </c>
      <c r="B645" s="2" t="n">
        <v>45705</v>
      </c>
      <c r="C645" s="3" t="s">
        <v>27</v>
      </c>
      <c r="D645" s="3" t="s">
        <v>31</v>
      </c>
      <c r="E645" s="3" t="s">
        <v>21</v>
      </c>
      <c r="F645" s="3" t="s">
        <v>22</v>
      </c>
      <c r="G645" s="0" t="n">
        <v>601</v>
      </c>
      <c r="H645" s="0" t="n">
        <v>0</v>
      </c>
      <c r="I645" s="0" t="n">
        <v>0</v>
      </c>
      <c r="J645" s="0" t="n">
        <v>36</v>
      </c>
      <c r="K645" s="0" t="n">
        <v>4.4</v>
      </c>
      <c r="L645" s="3" t="s">
        <v>17</v>
      </c>
    </row>
    <row r="646" customFormat="false" ht="15" hidden="false" customHeight="false" outlineLevel="0" collapsed="false">
      <c r="A646" s="0" t="s">
        <v>758</v>
      </c>
      <c r="B646" s="2" t="n">
        <v>45918</v>
      </c>
      <c r="C646" s="3" t="s">
        <v>24</v>
      </c>
      <c r="D646" s="3" t="s">
        <v>14</v>
      </c>
      <c r="E646" s="3" t="s">
        <v>15</v>
      </c>
      <c r="F646" s="3" t="s">
        <v>22</v>
      </c>
      <c r="G646" s="0" t="n">
        <v>252</v>
      </c>
      <c r="H646" s="0" t="n">
        <v>0</v>
      </c>
      <c r="I646" s="0" t="n">
        <v>20</v>
      </c>
      <c r="L646" s="3" t="s">
        <v>68</v>
      </c>
    </row>
    <row r="647" customFormat="false" ht="15" hidden="false" customHeight="false" outlineLevel="0" collapsed="false">
      <c r="A647" s="0" t="s">
        <v>759</v>
      </c>
      <c r="B647" s="2" t="n">
        <v>45931</v>
      </c>
      <c r="C647" s="3" t="s">
        <v>30</v>
      </c>
      <c r="D647" s="3" t="s">
        <v>25</v>
      </c>
      <c r="E647" s="3" t="s">
        <v>15</v>
      </c>
      <c r="F647" s="3" t="s">
        <v>36</v>
      </c>
      <c r="G647" s="0" t="n">
        <v>537</v>
      </c>
      <c r="H647" s="0" t="n">
        <v>0</v>
      </c>
      <c r="I647" s="0" t="n">
        <v>0</v>
      </c>
      <c r="J647" s="0" t="n">
        <v>33</v>
      </c>
      <c r="K647" s="0" t="n">
        <v>4.1</v>
      </c>
      <c r="L647" s="3" t="s">
        <v>17</v>
      </c>
    </row>
    <row r="648" customFormat="false" ht="15" hidden="false" customHeight="false" outlineLevel="0" collapsed="false">
      <c r="A648" s="0" t="s">
        <v>760</v>
      </c>
      <c r="B648" s="2" t="n">
        <v>45951</v>
      </c>
      <c r="C648" s="3" t="s">
        <v>761</v>
      </c>
      <c r="D648" s="3" t="s">
        <v>14</v>
      </c>
      <c r="E648" s="3" t="s">
        <v>15</v>
      </c>
      <c r="F648" s="3" t="s">
        <v>36</v>
      </c>
      <c r="G648" s="0" t="n">
        <v>382</v>
      </c>
      <c r="H648" s="0" t="n">
        <v>84</v>
      </c>
      <c r="I648" s="0" t="n">
        <v>20</v>
      </c>
      <c r="J648" s="0" t="n">
        <v>34</v>
      </c>
      <c r="K648" s="0" t="n">
        <v>4.6</v>
      </c>
      <c r="L648" s="3" t="s">
        <v>17</v>
      </c>
    </row>
    <row r="649" customFormat="false" ht="15" hidden="false" customHeight="false" outlineLevel="0" collapsed="false">
      <c r="A649" s="0" t="s">
        <v>762</v>
      </c>
      <c r="B649" s="2" t="n">
        <v>45980</v>
      </c>
      <c r="C649" s="3" t="s">
        <v>45</v>
      </c>
      <c r="D649" s="3" t="s">
        <v>20</v>
      </c>
      <c r="E649" s="3" t="s">
        <v>21</v>
      </c>
      <c r="F649" s="3" t="s">
        <v>22</v>
      </c>
      <c r="G649" s="0" t="n">
        <v>659</v>
      </c>
      <c r="H649" s="0" t="n">
        <v>67</v>
      </c>
      <c r="I649" s="0" t="n">
        <v>0</v>
      </c>
      <c r="J649" s="0" t="n">
        <v>24</v>
      </c>
      <c r="K649" s="0" t="n">
        <v>4.1</v>
      </c>
      <c r="L649" s="3" t="s">
        <v>17</v>
      </c>
    </row>
    <row r="650" customFormat="false" ht="15" hidden="false" customHeight="false" outlineLevel="0" collapsed="false">
      <c r="A650" s="0" t="s">
        <v>762</v>
      </c>
      <c r="B650" s="2" t="n">
        <v>45980</v>
      </c>
      <c r="C650" s="3" t="s">
        <v>45</v>
      </c>
      <c r="D650" s="3" t="s">
        <v>20</v>
      </c>
      <c r="E650" s="3" t="s">
        <v>21</v>
      </c>
      <c r="F650" s="3" t="s">
        <v>22</v>
      </c>
      <c r="G650" s="0" t="n">
        <v>659</v>
      </c>
      <c r="H650" s="0" t="n">
        <v>67</v>
      </c>
      <c r="I650" s="0" t="n">
        <v>0</v>
      </c>
      <c r="J650" s="0" t="n">
        <v>24</v>
      </c>
      <c r="K650" s="0" t="n">
        <v>4.1</v>
      </c>
      <c r="L650" s="3" t="s">
        <v>17</v>
      </c>
    </row>
    <row r="651" customFormat="false" ht="15" hidden="false" customHeight="false" outlineLevel="0" collapsed="false">
      <c r="A651" s="0" t="s">
        <v>763</v>
      </c>
      <c r="B651" s="2" t="n">
        <v>45940</v>
      </c>
      <c r="C651" s="3" t="s">
        <v>45</v>
      </c>
      <c r="D651" s="3" t="s">
        <v>25</v>
      </c>
      <c r="E651" s="3" t="s">
        <v>21</v>
      </c>
      <c r="F651" s="3" t="s">
        <v>22</v>
      </c>
      <c r="G651" s="0" t="n">
        <v>568</v>
      </c>
      <c r="H651" s="0" t="n">
        <v>0</v>
      </c>
      <c r="I651" s="0" t="n">
        <v>0</v>
      </c>
      <c r="J651" s="0" t="n">
        <v>39</v>
      </c>
      <c r="K651" s="0" t="n">
        <v>3.1</v>
      </c>
      <c r="L651" s="3" t="s">
        <v>17</v>
      </c>
    </row>
    <row r="652" customFormat="false" ht="15" hidden="false" customHeight="false" outlineLevel="0" collapsed="false">
      <c r="A652" s="0" t="s">
        <v>764</v>
      </c>
      <c r="B652" s="2" t="n">
        <v>45960</v>
      </c>
      <c r="C652" s="3" t="s">
        <v>27</v>
      </c>
      <c r="D652" s="3" t="s">
        <v>31</v>
      </c>
      <c r="E652" s="3" t="s">
        <v>21</v>
      </c>
      <c r="F652" s="3" t="s">
        <v>36</v>
      </c>
      <c r="G652" s="0" t="n">
        <v>581</v>
      </c>
      <c r="H652" s="0" t="n">
        <v>0</v>
      </c>
      <c r="I652" s="0" t="n">
        <v>0</v>
      </c>
      <c r="L652" s="3" t="s">
        <v>68</v>
      </c>
    </row>
    <row r="653" customFormat="false" ht="15" hidden="false" customHeight="false" outlineLevel="0" collapsed="false">
      <c r="A653" s="0" t="s">
        <v>765</v>
      </c>
      <c r="B653" s="2" t="n">
        <v>45679</v>
      </c>
      <c r="C653" s="3" t="s">
        <v>30</v>
      </c>
      <c r="D653" s="3" t="s">
        <v>14</v>
      </c>
      <c r="E653" s="3" t="s">
        <v>15</v>
      </c>
      <c r="F653" s="3" t="s">
        <v>22</v>
      </c>
      <c r="G653" s="0" t="n">
        <v>333</v>
      </c>
      <c r="H653" s="0" t="n">
        <v>63</v>
      </c>
      <c r="I653" s="0" t="n">
        <v>45</v>
      </c>
      <c r="J653" s="0" t="n">
        <v>27</v>
      </c>
      <c r="L653" s="3" t="s">
        <v>17</v>
      </c>
    </row>
    <row r="654" customFormat="false" ht="15" hidden="false" customHeight="false" outlineLevel="0" collapsed="false">
      <c r="A654" s="0" t="s">
        <v>766</v>
      </c>
      <c r="B654" s="2" t="n">
        <v>45757</v>
      </c>
      <c r="C654" s="3" t="s">
        <v>30</v>
      </c>
      <c r="D654" s="3" t="s">
        <v>31</v>
      </c>
      <c r="E654" s="3" t="s">
        <v>21</v>
      </c>
      <c r="F654" s="3" t="s">
        <v>22</v>
      </c>
      <c r="G654" s="0" t="n">
        <v>533</v>
      </c>
      <c r="H654" s="0" t="n">
        <v>0</v>
      </c>
      <c r="I654" s="0" t="n">
        <v>0</v>
      </c>
      <c r="J654" s="0" t="n">
        <v>41</v>
      </c>
      <c r="K654" s="0" t="n">
        <v>4.1</v>
      </c>
      <c r="L654" s="3" t="s">
        <v>17</v>
      </c>
    </row>
    <row r="655" customFormat="false" ht="15" hidden="false" customHeight="false" outlineLevel="0" collapsed="false">
      <c r="A655" s="0" t="s">
        <v>767</v>
      </c>
      <c r="B655" s="2" t="n">
        <v>45900</v>
      </c>
      <c r="C655" s="3" t="s">
        <v>24</v>
      </c>
      <c r="D655" s="3" t="s">
        <v>31</v>
      </c>
      <c r="E655" s="3" t="s">
        <v>15</v>
      </c>
      <c r="F655" s="3" t="s">
        <v>34</v>
      </c>
      <c r="G655" s="0" t="n">
        <v>417</v>
      </c>
      <c r="H655" s="0" t="n">
        <v>0</v>
      </c>
      <c r="I655" s="0" t="n">
        <v>40</v>
      </c>
      <c r="J655" s="0" t="n">
        <v>19</v>
      </c>
      <c r="K655" s="0" t="n">
        <v>3.9</v>
      </c>
      <c r="L655" s="3" t="s">
        <v>17</v>
      </c>
    </row>
    <row r="656" customFormat="false" ht="15" hidden="false" customHeight="false" outlineLevel="0" collapsed="false">
      <c r="A656" s="0" t="s">
        <v>768</v>
      </c>
      <c r="B656" s="2" t="n">
        <v>45978</v>
      </c>
      <c r="C656" s="3" t="s">
        <v>51</v>
      </c>
      <c r="D656" s="3" t="s">
        <v>28</v>
      </c>
      <c r="E656" s="3" t="s">
        <v>21</v>
      </c>
      <c r="F656" s="3" t="s">
        <v>22</v>
      </c>
      <c r="G656" s="0" t="n">
        <v>433</v>
      </c>
      <c r="H656" s="0" t="n">
        <v>0</v>
      </c>
      <c r="I656" s="0" t="n">
        <v>40</v>
      </c>
      <c r="J656" s="0" t="n">
        <v>43</v>
      </c>
      <c r="K656" s="0" t="n">
        <v>4.2</v>
      </c>
      <c r="L656" s="3" t="s">
        <v>17</v>
      </c>
    </row>
    <row r="657" customFormat="false" ht="15" hidden="false" customHeight="false" outlineLevel="0" collapsed="false">
      <c r="A657" s="0" t="s">
        <v>769</v>
      </c>
      <c r="B657" s="2" t="n">
        <v>45660</v>
      </c>
      <c r="C657" s="3" t="s">
        <v>40</v>
      </c>
      <c r="D657" s="3" t="s">
        <v>25</v>
      </c>
      <c r="E657" s="3" t="s">
        <v>21</v>
      </c>
      <c r="F657" s="3" t="s">
        <v>22</v>
      </c>
      <c r="G657" s="0" t="n">
        <v>369</v>
      </c>
      <c r="H657" s="0" t="n">
        <v>56</v>
      </c>
      <c r="I657" s="0" t="n">
        <v>45</v>
      </c>
      <c r="J657" s="0" t="n">
        <v>32</v>
      </c>
      <c r="K657" s="0" t="n">
        <v>4.5</v>
      </c>
      <c r="L657" s="3" t="s">
        <v>17</v>
      </c>
    </row>
    <row r="658" customFormat="false" ht="15" hidden="false" customHeight="false" outlineLevel="0" collapsed="false">
      <c r="A658" s="0" t="s">
        <v>770</v>
      </c>
      <c r="B658" s="2" t="n">
        <v>45862</v>
      </c>
      <c r="C658" s="3" t="s">
        <v>19</v>
      </c>
      <c r="D658" s="3" t="s">
        <v>56</v>
      </c>
      <c r="E658" s="3" t="s">
        <v>21</v>
      </c>
      <c r="F658" s="3" t="s">
        <v>22</v>
      </c>
      <c r="G658" s="0" t="n">
        <v>430</v>
      </c>
      <c r="H658" s="0" t="n">
        <v>0</v>
      </c>
      <c r="I658" s="0" t="n">
        <v>20</v>
      </c>
      <c r="J658" s="0" t="n">
        <v>35</v>
      </c>
      <c r="K658" s="0" t="n">
        <v>3.8</v>
      </c>
      <c r="L658" s="3" t="s">
        <v>17</v>
      </c>
    </row>
    <row r="659" customFormat="false" ht="15" hidden="false" customHeight="false" outlineLevel="0" collapsed="false">
      <c r="A659" s="0" t="s">
        <v>771</v>
      </c>
      <c r="B659" s="0" t="s">
        <v>276</v>
      </c>
      <c r="C659" s="0" t="s">
        <v>30</v>
      </c>
      <c r="D659" s="0" t="s">
        <v>25</v>
      </c>
      <c r="E659" s="0" t="s">
        <v>21</v>
      </c>
      <c r="F659" s="0" t="s">
        <v>54</v>
      </c>
      <c r="G659" s="0" t="n">
        <v>465</v>
      </c>
      <c r="H659" s="0" t="n">
        <v>0</v>
      </c>
      <c r="I659" s="0" t="n">
        <v>20</v>
      </c>
      <c r="J659" s="0" t="n">
        <v>24</v>
      </c>
      <c r="L659" s="0" t="s">
        <v>17</v>
      </c>
    </row>
    <row r="660" customFormat="false" ht="15" hidden="false" customHeight="false" outlineLevel="0" collapsed="false">
      <c r="A660" s="0" t="s">
        <v>772</v>
      </c>
      <c r="B660" s="2" t="n">
        <v>45670</v>
      </c>
      <c r="C660" s="3" t="s">
        <v>40</v>
      </c>
      <c r="D660" s="3" t="s">
        <v>14</v>
      </c>
      <c r="E660" s="3" t="s">
        <v>15</v>
      </c>
      <c r="F660" s="3" t="s">
        <v>22</v>
      </c>
      <c r="G660" s="0" t="n">
        <v>228</v>
      </c>
      <c r="H660" s="0" t="n">
        <v>0</v>
      </c>
      <c r="I660" s="0" t="n">
        <v>20</v>
      </c>
      <c r="J660" s="0" t="n">
        <v>38</v>
      </c>
      <c r="K660" s="0" t="n">
        <v>4.1</v>
      </c>
      <c r="L660" s="3" t="s">
        <v>17</v>
      </c>
    </row>
    <row r="661" customFormat="false" ht="15" hidden="false" customHeight="false" outlineLevel="0" collapsed="false">
      <c r="A661" s="0" t="s">
        <v>773</v>
      </c>
      <c r="B661" s="2" t="n">
        <v>45821</v>
      </c>
      <c r="C661" s="3" t="s">
        <v>13</v>
      </c>
      <c r="D661" s="3" t="s">
        <v>25</v>
      </c>
      <c r="E661" s="3" t="s">
        <v>21</v>
      </c>
      <c r="F661" s="3" t="s">
        <v>34</v>
      </c>
      <c r="G661" s="0" t="n">
        <v>372</v>
      </c>
      <c r="H661" s="0" t="n">
        <v>0</v>
      </c>
      <c r="I661" s="0" t="n">
        <v>40</v>
      </c>
      <c r="J661" s="0" t="n">
        <v>27</v>
      </c>
      <c r="K661" s="0" t="n">
        <v>4.8</v>
      </c>
      <c r="L661" s="3" t="s">
        <v>17</v>
      </c>
    </row>
    <row r="662" customFormat="false" ht="15" hidden="false" customHeight="false" outlineLevel="0" collapsed="false">
      <c r="A662" s="0" t="s">
        <v>774</v>
      </c>
      <c r="B662" s="2" t="n">
        <v>45990</v>
      </c>
      <c r="C662" s="3" t="s">
        <v>40</v>
      </c>
      <c r="D662" s="3" t="s">
        <v>25</v>
      </c>
      <c r="E662" s="3" t="s">
        <v>15</v>
      </c>
      <c r="F662" s="3" t="s">
        <v>54</v>
      </c>
      <c r="G662" s="0" t="n">
        <v>474</v>
      </c>
      <c r="H662" s="0" t="n">
        <v>77</v>
      </c>
      <c r="I662" s="0" t="n">
        <v>45</v>
      </c>
      <c r="J662" s="0" t="n">
        <v>37</v>
      </c>
      <c r="K662" s="0" t="n">
        <v>4.4</v>
      </c>
      <c r="L662" s="3" t="s">
        <v>17</v>
      </c>
    </row>
    <row r="663" customFormat="false" ht="15" hidden="false" customHeight="false" outlineLevel="0" collapsed="false">
      <c r="A663" s="0" t="s">
        <v>775</v>
      </c>
      <c r="B663" s="2" t="n">
        <v>45917</v>
      </c>
      <c r="C663" s="3" t="s">
        <v>30</v>
      </c>
      <c r="D663" s="3" t="s">
        <v>25</v>
      </c>
      <c r="E663" s="3" t="s">
        <v>21</v>
      </c>
      <c r="F663" s="3" t="s">
        <v>34</v>
      </c>
      <c r="G663" s="0" t="n">
        <v>466</v>
      </c>
      <c r="H663" s="0" t="n">
        <v>0</v>
      </c>
      <c r="I663" s="0" t="n">
        <v>20</v>
      </c>
      <c r="J663" s="0" t="n">
        <v>44</v>
      </c>
      <c r="K663" s="0" t="n">
        <v>3.6</v>
      </c>
      <c r="L663" s="3" t="s">
        <v>17</v>
      </c>
    </row>
    <row r="664" customFormat="false" ht="15" hidden="false" customHeight="false" outlineLevel="0" collapsed="false">
      <c r="A664" s="0" t="s">
        <v>776</v>
      </c>
      <c r="B664" s="2" t="n">
        <v>45758</v>
      </c>
      <c r="C664" s="3" t="s">
        <v>30</v>
      </c>
      <c r="D664" s="3" t="s">
        <v>25</v>
      </c>
      <c r="E664" s="3" t="s">
        <v>15</v>
      </c>
      <c r="F664" s="3" t="s">
        <v>16</v>
      </c>
      <c r="G664" s="0" t="n">
        <v>391</v>
      </c>
      <c r="H664" s="0" t="n">
        <v>56</v>
      </c>
      <c r="I664" s="0" t="n">
        <v>30</v>
      </c>
      <c r="J664" s="0" t="n">
        <v>30</v>
      </c>
      <c r="K664" s="0" t="n">
        <v>4.5</v>
      </c>
      <c r="L664" s="3" t="s">
        <v>17</v>
      </c>
    </row>
    <row r="665" customFormat="false" ht="15" hidden="false" customHeight="false" outlineLevel="0" collapsed="false">
      <c r="A665" s="0" t="s">
        <v>777</v>
      </c>
      <c r="B665" s="2" t="n">
        <v>45976</v>
      </c>
      <c r="C665" s="3" t="s">
        <v>27</v>
      </c>
      <c r="D665" s="3" t="s">
        <v>25</v>
      </c>
      <c r="E665" s="3" t="s">
        <v>15</v>
      </c>
      <c r="F665" s="3" t="s">
        <v>16</v>
      </c>
      <c r="G665" s="0" t="n">
        <v>356</v>
      </c>
      <c r="H665" s="0" t="n">
        <v>50</v>
      </c>
      <c r="I665" s="0" t="n">
        <v>40</v>
      </c>
      <c r="J665" s="0" t="n">
        <v>57</v>
      </c>
      <c r="K665" s="0" t="n">
        <v>4.2</v>
      </c>
      <c r="L665" s="3" t="s">
        <v>17</v>
      </c>
    </row>
    <row r="666" customFormat="false" ht="15" hidden="false" customHeight="false" outlineLevel="0" collapsed="false">
      <c r="A666" s="0" t="s">
        <v>778</v>
      </c>
      <c r="B666" s="2" t="n">
        <v>45801</v>
      </c>
      <c r="C666" s="3" t="s">
        <v>45</v>
      </c>
      <c r="D666" s="3" t="s">
        <v>31</v>
      </c>
      <c r="E666" s="3" t="s">
        <v>15</v>
      </c>
      <c r="F666" s="3" t="s">
        <v>22</v>
      </c>
      <c r="G666" s="0" t="n">
        <v>587</v>
      </c>
      <c r="H666" s="0" t="n">
        <v>122</v>
      </c>
      <c r="I666" s="0" t="n">
        <v>0</v>
      </c>
      <c r="J666" s="0" t="n">
        <v>27</v>
      </c>
      <c r="K666" s="0" t="n">
        <v>3.9</v>
      </c>
      <c r="L666" s="3" t="s">
        <v>17</v>
      </c>
    </row>
    <row r="667" customFormat="false" ht="15" hidden="false" customHeight="false" outlineLevel="0" collapsed="false">
      <c r="A667" s="0" t="s">
        <v>779</v>
      </c>
      <c r="B667" s="2" t="n">
        <v>45976</v>
      </c>
      <c r="C667" s="3" t="s">
        <v>40</v>
      </c>
      <c r="D667" s="3" t="s">
        <v>31</v>
      </c>
      <c r="E667" s="3" t="s">
        <v>15</v>
      </c>
      <c r="F667" s="3" t="s">
        <v>34</v>
      </c>
      <c r="G667" s="0" t="n">
        <v>618</v>
      </c>
      <c r="H667" s="0" t="n">
        <v>0</v>
      </c>
      <c r="I667" s="0" t="n">
        <v>0</v>
      </c>
      <c r="L667" s="3" t="s">
        <v>68</v>
      </c>
    </row>
    <row r="668" customFormat="false" ht="15" hidden="false" customHeight="false" outlineLevel="0" collapsed="false">
      <c r="A668" s="0" t="s">
        <v>780</v>
      </c>
      <c r="B668" s="2" t="n">
        <v>45782</v>
      </c>
      <c r="C668" s="3" t="s">
        <v>24</v>
      </c>
      <c r="D668" s="3" t="s">
        <v>56</v>
      </c>
      <c r="E668" s="3" t="s">
        <v>21</v>
      </c>
      <c r="F668" s="3" t="s">
        <v>54</v>
      </c>
      <c r="G668" s="0" t="n">
        <v>542</v>
      </c>
      <c r="H668" s="0" t="n">
        <v>0</v>
      </c>
      <c r="I668" s="0" t="n">
        <v>0</v>
      </c>
      <c r="J668" s="0" t="n">
        <v>25</v>
      </c>
      <c r="K668" s="0" t="n">
        <v>5</v>
      </c>
      <c r="L668" s="3" t="s">
        <v>17</v>
      </c>
    </row>
    <row r="669" customFormat="false" ht="15" hidden="false" customHeight="false" outlineLevel="0" collapsed="false">
      <c r="A669" s="0" t="s">
        <v>781</v>
      </c>
      <c r="B669" s="2" t="n">
        <v>45889</v>
      </c>
      <c r="C669" s="3" t="s">
        <v>375</v>
      </c>
      <c r="D669" s="3" t="s">
        <v>14</v>
      </c>
      <c r="E669" s="3" t="s">
        <v>21</v>
      </c>
      <c r="F669" s="3" t="s">
        <v>36</v>
      </c>
      <c r="G669" s="0" t="n">
        <v>187</v>
      </c>
      <c r="H669" s="0" t="n">
        <v>0</v>
      </c>
      <c r="I669" s="0" t="n">
        <v>45</v>
      </c>
      <c r="J669" s="0" t="n">
        <v>40</v>
      </c>
      <c r="K669" s="0" t="n">
        <v>3.5</v>
      </c>
      <c r="L669" s="3" t="s">
        <v>17</v>
      </c>
    </row>
    <row r="670" customFormat="false" ht="15" hidden="false" customHeight="false" outlineLevel="0" collapsed="false">
      <c r="A670" s="0" t="s">
        <v>782</v>
      </c>
      <c r="B670" s="2" t="n">
        <v>45819</v>
      </c>
      <c r="C670" s="3" t="s">
        <v>40</v>
      </c>
      <c r="D670" s="3" t="s">
        <v>31</v>
      </c>
      <c r="E670" s="3" t="s">
        <v>15</v>
      </c>
      <c r="F670" s="3" t="s">
        <v>16</v>
      </c>
      <c r="G670" s="0" t="n">
        <v>597</v>
      </c>
      <c r="H670" s="0" t="n">
        <v>114</v>
      </c>
      <c r="I670" s="0" t="n">
        <v>0</v>
      </c>
      <c r="J670" s="0" t="n">
        <v>34</v>
      </c>
      <c r="K670" s="0" t="n">
        <v>4.9</v>
      </c>
      <c r="L670" s="3" t="s">
        <v>17</v>
      </c>
    </row>
    <row r="671" customFormat="false" ht="15" hidden="false" customHeight="false" outlineLevel="0" collapsed="false">
      <c r="A671" s="0" t="s">
        <v>783</v>
      </c>
      <c r="B671" s="2" t="n">
        <v>45773</v>
      </c>
      <c r="C671" s="3" t="s">
        <v>27</v>
      </c>
      <c r="D671" s="3" t="s">
        <v>25</v>
      </c>
      <c r="E671" s="3" t="s">
        <v>21</v>
      </c>
      <c r="F671" s="3" t="s">
        <v>22</v>
      </c>
      <c r="G671" s="0" t="n">
        <v>365</v>
      </c>
      <c r="H671" s="0" t="n">
        <v>0</v>
      </c>
      <c r="I671" s="0" t="n">
        <v>45</v>
      </c>
      <c r="J671" s="0" t="n">
        <v>53</v>
      </c>
      <c r="L671" s="3" t="s">
        <v>17</v>
      </c>
    </row>
    <row r="672" customFormat="false" ht="15" hidden="false" customHeight="false" outlineLevel="0" collapsed="false">
      <c r="A672" s="0" t="s">
        <v>784</v>
      </c>
      <c r="B672" s="2" t="n">
        <v>45987</v>
      </c>
      <c r="C672" s="3" t="s">
        <v>24</v>
      </c>
      <c r="D672" s="3" t="s">
        <v>49</v>
      </c>
      <c r="E672" s="3" t="s">
        <v>21</v>
      </c>
      <c r="F672" s="3" t="s">
        <v>54</v>
      </c>
      <c r="G672" s="0" t="n">
        <v>571</v>
      </c>
      <c r="H672" s="0" t="n">
        <v>130</v>
      </c>
      <c r="I672" s="0" t="n">
        <v>0</v>
      </c>
      <c r="J672" s="0" t="n">
        <v>37</v>
      </c>
      <c r="K672" s="0" t="n">
        <v>4.1</v>
      </c>
      <c r="L672" s="3" t="s">
        <v>17</v>
      </c>
    </row>
    <row r="673" customFormat="false" ht="15" hidden="false" customHeight="false" outlineLevel="0" collapsed="false">
      <c r="A673" s="0" t="s">
        <v>785</v>
      </c>
      <c r="B673" s="2" t="n">
        <v>45738</v>
      </c>
      <c r="C673" s="3" t="s">
        <v>47</v>
      </c>
      <c r="D673" s="3" t="s">
        <v>49</v>
      </c>
      <c r="E673" s="3" t="s">
        <v>15</v>
      </c>
      <c r="F673" s="3" t="s">
        <v>22</v>
      </c>
      <c r="G673" s="0" t="n">
        <v>735</v>
      </c>
      <c r="H673" s="0" t="n">
        <v>175</v>
      </c>
      <c r="I673" s="0" t="n">
        <v>0</v>
      </c>
      <c r="J673" s="0" t="n">
        <v>21</v>
      </c>
      <c r="K673" s="0" t="n">
        <v>4.5</v>
      </c>
      <c r="L673" s="3" t="s">
        <v>17</v>
      </c>
    </row>
    <row r="674" customFormat="false" ht="15" hidden="false" customHeight="false" outlineLevel="0" collapsed="false">
      <c r="A674" s="0" t="s">
        <v>786</v>
      </c>
      <c r="B674" s="0" t="s">
        <v>787</v>
      </c>
      <c r="C674" s="0" t="s">
        <v>27</v>
      </c>
      <c r="D674" s="0" t="s">
        <v>28</v>
      </c>
      <c r="E674" s="0" t="s">
        <v>21</v>
      </c>
      <c r="F674" s="0" t="s">
        <v>36</v>
      </c>
      <c r="G674" s="0" t="n">
        <v>474</v>
      </c>
      <c r="H674" s="0" t="n">
        <v>0</v>
      </c>
      <c r="I674" s="0" t="n">
        <v>30</v>
      </c>
      <c r="J674" s="0" t="n">
        <v>33</v>
      </c>
      <c r="K674" s="0" t="n">
        <v>4.8</v>
      </c>
      <c r="L674" s="0" t="s">
        <v>17</v>
      </c>
    </row>
    <row r="675" customFormat="false" ht="15" hidden="false" customHeight="false" outlineLevel="0" collapsed="false">
      <c r="A675" s="0" t="s">
        <v>788</v>
      </c>
      <c r="B675" s="2" t="n">
        <v>45799</v>
      </c>
      <c r="C675" s="3" t="s">
        <v>45</v>
      </c>
      <c r="D675" s="3" t="s">
        <v>25</v>
      </c>
      <c r="E675" s="3" t="s">
        <v>21</v>
      </c>
      <c r="F675" s="3" t="s">
        <v>22</v>
      </c>
      <c r="G675" s="0" t="n">
        <v>311</v>
      </c>
      <c r="H675" s="0" t="n">
        <v>0</v>
      </c>
      <c r="I675" s="0" t="n">
        <v>45</v>
      </c>
      <c r="J675" s="0" t="n">
        <v>23</v>
      </c>
      <c r="K675" s="0" t="n">
        <v>4.5</v>
      </c>
      <c r="L675" s="3" t="s">
        <v>17</v>
      </c>
    </row>
    <row r="676" customFormat="false" ht="15" hidden="false" customHeight="false" outlineLevel="0" collapsed="false">
      <c r="A676" s="0" t="s">
        <v>789</v>
      </c>
      <c r="B676" s="2" t="n">
        <v>45932</v>
      </c>
      <c r="C676" s="3" t="s">
        <v>24</v>
      </c>
      <c r="D676" s="3" t="s">
        <v>56</v>
      </c>
      <c r="E676" s="3" t="s">
        <v>58</v>
      </c>
      <c r="F676" s="3" t="s">
        <v>36</v>
      </c>
      <c r="G676" s="0" t="n">
        <v>455</v>
      </c>
      <c r="H676" s="0" t="n">
        <v>0</v>
      </c>
      <c r="I676" s="0" t="n">
        <v>30</v>
      </c>
      <c r="J676" s="0" t="n">
        <v>43</v>
      </c>
      <c r="K676" s="0" t="n">
        <v>2.9</v>
      </c>
      <c r="L676" s="3" t="s">
        <v>17</v>
      </c>
    </row>
    <row r="677" customFormat="false" ht="15" hidden="false" customHeight="false" outlineLevel="0" collapsed="false">
      <c r="A677" s="0" t="s">
        <v>790</v>
      </c>
      <c r="B677" s="2" t="n">
        <v>45962</v>
      </c>
      <c r="C677" s="3" t="s">
        <v>45</v>
      </c>
      <c r="D677" s="3" t="s">
        <v>25</v>
      </c>
      <c r="E677" s="3" t="s">
        <v>21</v>
      </c>
      <c r="F677" s="3" t="s">
        <v>36</v>
      </c>
      <c r="G677" s="0" t="n">
        <v>388</v>
      </c>
      <c r="H677" s="0" t="n">
        <v>0</v>
      </c>
      <c r="I677" s="0" t="n">
        <v>45</v>
      </c>
      <c r="J677" s="0" t="n">
        <v>36</v>
      </c>
      <c r="K677" s="0" t="n">
        <v>4.2</v>
      </c>
      <c r="L677" s="3" t="s">
        <v>17</v>
      </c>
    </row>
    <row r="678" customFormat="false" ht="15" hidden="false" customHeight="false" outlineLevel="0" collapsed="false">
      <c r="A678" s="0" t="s">
        <v>791</v>
      </c>
      <c r="B678" s="2" t="n">
        <v>46022</v>
      </c>
      <c r="C678" s="3" t="s">
        <v>355</v>
      </c>
      <c r="D678" s="3" t="s">
        <v>31</v>
      </c>
      <c r="E678" s="3" t="s">
        <v>21</v>
      </c>
      <c r="F678" s="3" t="s">
        <v>16</v>
      </c>
      <c r="G678" s="0" t="n">
        <v>539</v>
      </c>
      <c r="H678" s="0" t="n">
        <v>108</v>
      </c>
      <c r="I678" s="0" t="n">
        <v>0</v>
      </c>
      <c r="J678" s="0" t="n">
        <v>40</v>
      </c>
      <c r="K678" s="0" t="n">
        <v>4.4</v>
      </c>
      <c r="L678" s="3" t="s">
        <v>17</v>
      </c>
    </row>
    <row r="679" customFormat="false" ht="15" hidden="false" customHeight="false" outlineLevel="0" collapsed="false">
      <c r="A679" s="0" t="s">
        <v>792</v>
      </c>
      <c r="B679" s="2" t="n">
        <v>45781</v>
      </c>
      <c r="C679" s="3" t="s">
        <v>24</v>
      </c>
      <c r="D679" s="3" t="s">
        <v>56</v>
      </c>
      <c r="E679" s="3" t="s">
        <v>15</v>
      </c>
      <c r="F679" s="3" t="s">
        <v>22</v>
      </c>
      <c r="G679" s="0" t="n">
        <v>366</v>
      </c>
      <c r="H679" s="0" t="n">
        <v>91</v>
      </c>
      <c r="I679" s="0" t="n">
        <v>20</v>
      </c>
      <c r="L679" s="3" t="s">
        <v>68</v>
      </c>
    </row>
    <row r="680" customFormat="false" ht="15" hidden="false" customHeight="false" outlineLevel="0" collapsed="false">
      <c r="A680" s="0" t="s">
        <v>793</v>
      </c>
      <c r="B680" s="2" t="n">
        <v>45823</v>
      </c>
      <c r="C680" s="3" t="s">
        <v>27</v>
      </c>
      <c r="D680" s="3" t="s">
        <v>20</v>
      </c>
      <c r="E680" s="3" t="s">
        <v>15</v>
      </c>
      <c r="F680" s="3" t="s">
        <v>36</v>
      </c>
      <c r="G680" s="0" t="n">
        <v>670</v>
      </c>
      <c r="H680" s="0" t="n">
        <v>0</v>
      </c>
      <c r="I680" s="0" t="n">
        <v>0</v>
      </c>
      <c r="J680" s="0" t="n">
        <v>47</v>
      </c>
      <c r="K680" s="0" t="n">
        <v>3.5</v>
      </c>
      <c r="L680" s="3" t="s">
        <v>17</v>
      </c>
    </row>
    <row r="681" customFormat="false" ht="15" hidden="false" customHeight="false" outlineLevel="0" collapsed="false">
      <c r="A681" s="0" t="s">
        <v>794</v>
      </c>
      <c r="B681" s="2" t="n">
        <v>45717</v>
      </c>
      <c r="C681" s="3" t="s">
        <v>27</v>
      </c>
      <c r="D681" s="3" t="s">
        <v>25</v>
      </c>
      <c r="E681" s="3" t="s">
        <v>21</v>
      </c>
      <c r="F681" s="3" t="s">
        <v>22</v>
      </c>
      <c r="G681" s="0" t="n">
        <v>346</v>
      </c>
      <c r="H681" s="0" t="n">
        <v>73</v>
      </c>
      <c r="I681" s="0" t="n">
        <v>20</v>
      </c>
      <c r="J681" s="0" t="n">
        <v>34</v>
      </c>
      <c r="K681" s="0" t="n">
        <v>4.2</v>
      </c>
      <c r="L681" s="3" t="s">
        <v>17</v>
      </c>
    </row>
    <row r="682" customFormat="false" ht="15" hidden="false" customHeight="false" outlineLevel="0" collapsed="false">
      <c r="A682" s="0" t="s">
        <v>795</v>
      </c>
      <c r="B682" s="2" t="n">
        <v>45884</v>
      </c>
      <c r="C682" s="3" t="s">
        <v>71</v>
      </c>
      <c r="D682" s="3" t="s">
        <v>20</v>
      </c>
      <c r="E682" s="3" t="s">
        <v>21</v>
      </c>
      <c r="F682" s="3" t="s">
        <v>22</v>
      </c>
      <c r="G682" s="0" t="n">
        <v>498</v>
      </c>
      <c r="H682" s="0" t="n">
        <v>102</v>
      </c>
      <c r="I682" s="0" t="n">
        <v>40</v>
      </c>
      <c r="J682" s="0" t="n">
        <v>39</v>
      </c>
      <c r="K682" s="0" t="n">
        <v>4.7</v>
      </c>
      <c r="L682" s="3" t="s">
        <v>17</v>
      </c>
    </row>
    <row r="683" customFormat="false" ht="15" hidden="false" customHeight="false" outlineLevel="0" collapsed="false">
      <c r="A683" s="0" t="s">
        <v>796</v>
      </c>
      <c r="B683" s="2" t="n">
        <v>46022</v>
      </c>
      <c r="C683" s="3" t="s">
        <v>27</v>
      </c>
      <c r="D683" s="3" t="s">
        <v>25</v>
      </c>
      <c r="E683" s="3" t="s">
        <v>21</v>
      </c>
      <c r="F683" s="3" t="s">
        <v>16</v>
      </c>
      <c r="G683" s="0" t="n">
        <v>576</v>
      </c>
      <c r="H683" s="0" t="n">
        <v>0</v>
      </c>
      <c r="I683" s="0" t="n">
        <v>0</v>
      </c>
      <c r="J683" s="0" t="n">
        <v>45</v>
      </c>
      <c r="K683" s="0" t="n">
        <v>4</v>
      </c>
      <c r="L683" s="3" t="s">
        <v>17</v>
      </c>
    </row>
    <row r="684" customFormat="false" ht="15" hidden="false" customHeight="false" outlineLevel="0" collapsed="false">
      <c r="A684" s="0" t="s">
        <v>797</v>
      </c>
      <c r="B684" s="2" t="n">
        <v>45927</v>
      </c>
      <c r="C684" s="3" t="s">
        <v>40</v>
      </c>
      <c r="D684" s="3" t="s">
        <v>25</v>
      </c>
      <c r="E684" s="3" t="s">
        <v>15</v>
      </c>
      <c r="F684" s="3" t="s">
        <v>16</v>
      </c>
      <c r="G684" s="0" t="n">
        <v>468</v>
      </c>
      <c r="H684" s="0" t="n">
        <v>100</v>
      </c>
      <c r="I684" s="0" t="n">
        <v>30</v>
      </c>
      <c r="J684" s="0" t="n">
        <v>36</v>
      </c>
      <c r="K684" s="0" t="n">
        <v>3.5</v>
      </c>
      <c r="L684" s="3" t="s">
        <v>17</v>
      </c>
    </row>
    <row r="685" customFormat="false" ht="15" hidden="false" customHeight="false" outlineLevel="0" collapsed="false">
      <c r="A685" s="0" t="s">
        <v>798</v>
      </c>
      <c r="B685" s="2" t="n">
        <v>45891</v>
      </c>
      <c r="C685" s="3" t="s">
        <v>24</v>
      </c>
      <c r="D685" s="3" t="s">
        <v>14</v>
      </c>
      <c r="E685" s="3" t="s">
        <v>15</v>
      </c>
      <c r="F685" s="3" t="s">
        <v>36</v>
      </c>
      <c r="G685" s="0" t="n">
        <v>354</v>
      </c>
      <c r="H685" s="0" t="n">
        <v>0</v>
      </c>
      <c r="I685" s="0" t="n">
        <v>20</v>
      </c>
      <c r="J685" s="0" t="n">
        <v>39</v>
      </c>
      <c r="K685" s="0" t="n">
        <v>4.8</v>
      </c>
      <c r="L685" s="3" t="s">
        <v>17</v>
      </c>
    </row>
    <row r="686" customFormat="false" ht="15" hidden="false" customHeight="false" outlineLevel="0" collapsed="false">
      <c r="A686" s="0" t="s">
        <v>799</v>
      </c>
      <c r="B686" s="2" t="n">
        <v>45818</v>
      </c>
      <c r="C686" s="3" t="s">
        <v>800</v>
      </c>
      <c r="D686" s="3" t="s">
        <v>14</v>
      </c>
      <c r="E686" s="3" t="s">
        <v>15</v>
      </c>
      <c r="F686" s="3" t="s">
        <v>22</v>
      </c>
      <c r="G686" s="0" t="n">
        <v>395</v>
      </c>
      <c r="H686" s="0" t="n">
        <v>60</v>
      </c>
      <c r="I686" s="0" t="n">
        <v>20</v>
      </c>
      <c r="J686" s="0" t="n">
        <v>43</v>
      </c>
      <c r="K686" s="0" t="n">
        <v>4</v>
      </c>
      <c r="L686" s="3" t="s">
        <v>17</v>
      </c>
    </row>
    <row r="687" customFormat="false" ht="15" hidden="false" customHeight="false" outlineLevel="0" collapsed="false">
      <c r="A687" s="0" t="s">
        <v>801</v>
      </c>
      <c r="B687" s="2" t="n">
        <v>45996</v>
      </c>
      <c r="C687" s="3" t="s">
        <v>27</v>
      </c>
      <c r="D687" s="3" t="s">
        <v>25</v>
      </c>
      <c r="E687" s="3" t="s">
        <v>15</v>
      </c>
      <c r="F687" s="3" t="s">
        <v>16</v>
      </c>
      <c r="G687" s="0" t="n">
        <v>378</v>
      </c>
      <c r="H687" s="0" t="n">
        <v>60</v>
      </c>
      <c r="I687" s="0" t="n">
        <v>45</v>
      </c>
      <c r="J687" s="0" t="n">
        <v>45</v>
      </c>
      <c r="K687" s="0" t="n">
        <v>4.6</v>
      </c>
      <c r="L687" s="3" t="s">
        <v>17</v>
      </c>
    </row>
    <row r="688" customFormat="false" ht="15" hidden="false" customHeight="false" outlineLevel="0" collapsed="false">
      <c r="A688" s="0" t="s">
        <v>802</v>
      </c>
      <c r="B688" s="2" t="n">
        <v>45856</v>
      </c>
      <c r="C688" s="3" t="s">
        <v>30</v>
      </c>
      <c r="D688" s="3" t="s">
        <v>20</v>
      </c>
      <c r="E688" s="3" t="s">
        <v>15</v>
      </c>
      <c r="F688" s="3" t="s">
        <v>54</v>
      </c>
      <c r="G688" s="0" t="n">
        <v>766</v>
      </c>
      <c r="H688" s="0" t="n">
        <v>0</v>
      </c>
      <c r="I688" s="0" t="n">
        <v>0</v>
      </c>
      <c r="J688" s="0" t="n">
        <v>22</v>
      </c>
      <c r="K688" s="0" t="n">
        <v>3.9</v>
      </c>
      <c r="L688" s="3" t="s">
        <v>17</v>
      </c>
    </row>
    <row r="689" customFormat="false" ht="15" hidden="false" customHeight="false" outlineLevel="0" collapsed="false">
      <c r="A689" s="0" t="s">
        <v>803</v>
      </c>
      <c r="B689" s="2" t="n">
        <v>45716</v>
      </c>
      <c r="C689" s="3" t="s">
        <v>24</v>
      </c>
      <c r="D689" s="3" t="s">
        <v>25</v>
      </c>
      <c r="E689" s="3" t="s">
        <v>21</v>
      </c>
      <c r="F689" s="3" t="s">
        <v>22</v>
      </c>
      <c r="G689" s="0" t="n">
        <v>432</v>
      </c>
      <c r="H689" s="0" t="n">
        <v>0</v>
      </c>
      <c r="I689" s="0" t="n">
        <v>30</v>
      </c>
      <c r="J689" s="0" t="n">
        <v>40</v>
      </c>
      <c r="K689" s="0" t="n">
        <v>4.1</v>
      </c>
      <c r="L689" s="3" t="s">
        <v>17</v>
      </c>
    </row>
    <row r="690" customFormat="false" ht="15" hidden="false" customHeight="false" outlineLevel="0" collapsed="false">
      <c r="A690" s="0" t="s">
        <v>804</v>
      </c>
      <c r="B690" s="2" t="n">
        <v>45808</v>
      </c>
      <c r="C690" s="3" t="s">
        <v>19</v>
      </c>
      <c r="D690" s="3" t="s">
        <v>31</v>
      </c>
      <c r="E690" s="3" t="s">
        <v>21</v>
      </c>
      <c r="F690" s="3" t="s">
        <v>16</v>
      </c>
      <c r="G690" s="0" t="n">
        <v>367</v>
      </c>
      <c r="H690" s="0" t="n">
        <v>0</v>
      </c>
      <c r="I690" s="0" t="n">
        <v>45</v>
      </c>
      <c r="J690" s="0" t="n">
        <v>35</v>
      </c>
      <c r="K690" s="0" t="n">
        <v>4.5</v>
      </c>
      <c r="L690" s="3" t="s">
        <v>17</v>
      </c>
    </row>
    <row r="691" customFormat="false" ht="15" hidden="false" customHeight="false" outlineLevel="0" collapsed="false">
      <c r="A691" s="0" t="s">
        <v>805</v>
      </c>
      <c r="B691" s="2" t="n">
        <v>45687</v>
      </c>
      <c r="C691" s="3" t="s">
        <v>30</v>
      </c>
      <c r="D691" s="3" t="s">
        <v>28</v>
      </c>
      <c r="E691" s="3" t="s">
        <v>21</v>
      </c>
      <c r="F691" s="3" t="s">
        <v>34</v>
      </c>
      <c r="G691" s="0" t="n">
        <v>419</v>
      </c>
      <c r="H691" s="0" t="n">
        <v>91</v>
      </c>
      <c r="I691" s="0" t="n">
        <v>40</v>
      </c>
      <c r="L691" s="3" t="s">
        <v>68</v>
      </c>
    </row>
    <row r="692" customFormat="false" ht="15" hidden="false" customHeight="false" outlineLevel="0" collapsed="false">
      <c r="A692" s="0" t="s">
        <v>806</v>
      </c>
      <c r="B692" s="2" t="n">
        <v>45744</v>
      </c>
      <c r="C692" s="3" t="s">
        <v>807</v>
      </c>
      <c r="D692" s="3" t="s">
        <v>31</v>
      </c>
      <c r="E692" s="3" t="s">
        <v>21</v>
      </c>
      <c r="F692" s="3" t="s">
        <v>54</v>
      </c>
      <c r="G692" s="0" t="n">
        <v>599</v>
      </c>
      <c r="H692" s="0" t="n">
        <v>0</v>
      </c>
      <c r="I692" s="0" t="n">
        <v>0</v>
      </c>
      <c r="J692" s="0" t="n">
        <v>32</v>
      </c>
      <c r="K692" s="0" t="n">
        <v>3.8</v>
      </c>
      <c r="L692" s="3" t="s">
        <v>17</v>
      </c>
    </row>
    <row r="693" customFormat="false" ht="15" hidden="false" customHeight="false" outlineLevel="0" collapsed="false">
      <c r="A693" s="0" t="s">
        <v>808</v>
      </c>
      <c r="B693" s="0" t="s">
        <v>809</v>
      </c>
      <c r="C693" s="0" t="s">
        <v>30</v>
      </c>
      <c r="D693" s="0" t="s">
        <v>56</v>
      </c>
      <c r="E693" s="0" t="s">
        <v>15</v>
      </c>
      <c r="F693" s="0" t="s">
        <v>34</v>
      </c>
      <c r="G693" s="0" t="n">
        <v>303</v>
      </c>
      <c r="H693" s="0" t="n">
        <v>37</v>
      </c>
      <c r="I693" s="0" t="n">
        <v>30</v>
      </c>
      <c r="J693" s="0" t="n">
        <v>30</v>
      </c>
      <c r="K693" s="0" t="n">
        <v>3.2</v>
      </c>
      <c r="L693" s="0" t="s">
        <v>17</v>
      </c>
    </row>
    <row r="694" customFormat="false" ht="15" hidden="false" customHeight="false" outlineLevel="0" collapsed="false">
      <c r="A694" s="0" t="s">
        <v>810</v>
      </c>
      <c r="B694" s="2" t="n">
        <v>45840</v>
      </c>
      <c r="C694" s="3" t="s">
        <v>40</v>
      </c>
      <c r="D694" s="3" t="s">
        <v>56</v>
      </c>
      <c r="E694" s="3" t="s">
        <v>21</v>
      </c>
      <c r="F694" s="3" t="s">
        <v>36</v>
      </c>
      <c r="G694" s="0" t="n">
        <v>398</v>
      </c>
      <c r="H694" s="0" t="n">
        <v>0</v>
      </c>
      <c r="I694" s="0" t="n">
        <v>40</v>
      </c>
      <c r="J694" s="0" t="n">
        <v>44</v>
      </c>
      <c r="K694" s="0" t="n">
        <v>4.8</v>
      </c>
      <c r="L694" s="3" t="s">
        <v>17</v>
      </c>
    </row>
    <row r="695" customFormat="false" ht="15" hidden="false" customHeight="false" outlineLevel="0" collapsed="false">
      <c r="A695" s="0" t="s">
        <v>811</v>
      </c>
      <c r="B695" s="0" t="s">
        <v>582</v>
      </c>
      <c r="C695" s="0" t="s">
        <v>27</v>
      </c>
      <c r="D695" s="0" t="s">
        <v>31</v>
      </c>
      <c r="E695" s="0" t="s">
        <v>15</v>
      </c>
      <c r="F695" s="0" t="s">
        <v>22</v>
      </c>
      <c r="G695" s="0" t="n">
        <v>553</v>
      </c>
      <c r="H695" s="0" t="n">
        <v>129</v>
      </c>
      <c r="I695" s="0" t="n">
        <v>0</v>
      </c>
      <c r="J695" s="0" t="n">
        <v>42</v>
      </c>
      <c r="K695" s="0" t="n">
        <v>4.2</v>
      </c>
      <c r="L695" s="0" t="s">
        <v>17</v>
      </c>
    </row>
    <row r="696" customFormat="false" ht="15" hidden="false" customHeight="false" outlineLevel="0" collapsed="false">
      <c r="A696" s="0" t="s">
        <v>812</v>
      </c>
      <c r="B696" s="0" t="s">
        <v>813</v>
      </c>
      <c r="C696" s="0" t="s">
        <v>40</v>
      </c>
      <c r="D696" s="0" t="s">
        <v>31</v>
      </c>
      <c r="E696" s="0" t="s">
        <v>21</v>
      </c>
      <c r="F696" s="0" t="s">
        <v>22</v>
      </c>
      <c r="G696" s="0" t="n">
        <v>610</v>
      </c>
      <c r="H696" s="0" t="n">
        <v>0</v>
      </c>
      <c r="I696" s="0" t="n">
        <v>0</v>
      </c>
      <c r="J696" s="0" t="n">
        <v>30</v>
      </c>
      <c r="L696" s="0" t="s">
        <v>17</v>
      </c>
    </row>
    <row r="697" customFormat="false" ht="15" hidden="false" customHeight="false" outlineLevel="0" collapsed="false">
      <c r="A697" s="0" t="s">
        <v>814</v>
      </c>
      <c r="B697" s="2" t="n">
        <v>45828</v>
      </c>
      <c r="C697" s="3" t="s">
        <v>30</v>
      </c>
      <c r="D697" s="3" t="s">
        <v>25</v>
      </c>
      <c r="E697" s="3" t="s">
        <v>15</v>
      </c>
      <c r="F697" s="3" t="s">
        <v>54</v>
      </c>
      <c r="G697" s="0" t="n">
        <v>381</v>
      </c>
      <c r="H697" s="0" t="n">
        <v>89</v>
      </c>
      <c r="I697" s="0" t="n">
        <v>30</v>
      </c>
      <c r="J697" s="0" t="n">
        <v>37</v>
      </c>
      <c r="K697" s="0" t="n">
        <v>4.7</v>
      </c>
      <c r="L697" s="3" t="s">
        <v>17</v>
      </c>
    </row>
    <row r="698" customFormat="false" ht="15" hidden="false" customHeight="false" outlineLevel="0" collapsed="false">
      <c r="A698" s="0" t="s">
        <v>815</v>
      </c>
      <c r="B698" s="2" t="n">
        <v>46010</v>
      </c>
      <c r="C698" s="3" t="s">
        <v>355</v>
      </c>
      <c r="D698" s="3" t="s">
        <v>78</v>
      </c>
      <c r="E698" s="3" t="s">
        <v>21</v>
      </c>
      <c r="F698" s="3" t="s">
        <v>54</v>
      </c>
      <c r="G698" s="0" t="n">
        <v>284</v>
      </c>
      <c r="H698" s="0" t="n">
        <v>0</v>
      </c>
      <c r="I698" s="0" t="n">
        <v>45</v>
      </c>
      <c r="J698" s="0" t="n">
        <v>31</v>
      </c>
      <c r="K698" s="0" t="n">
        <v>4.7</v>
      </c>
      <c r="L698" s="3" t="s">
        <v>17</v>
      </c>
    </row>
    <row r="699" customFormat="false" ht="15" hidden="false" customHeight="false" outlineLevel="0" collapsed="false">
      <c r="A699" s="0" t="s">
        <v>816</v>
      </c>
      <c r="B699" s="2" t="n">
        <v>45943</v>
      </c>
      <c r="C699" s="3" t="s">
        <v>24</v>
      </c>
      <c r="D699" s="3" t="s">
        <v>20</v>
      </c>
      <c r="E699" s="3" t="s">
        <v>21</v>
      </c>
      <c r="F699" s="3" t="s">
        <v>16</v>
      </c>
      <c r="G699" s="0" t="n">
        <v>561</v>
      </c>
      <c r="H699" s="0" t="n">
        <v>0</v>
      </c>
      <c r="I699" s="0" t="n">
        <v>0</v>
      </c>
      <c r="J699" s="0" t="n">
        <v>38</v>
      </c>
      <c r="K699" s="0" t="n">
        <v>4</v>
      </c>
      <c r="L699" s="3" t="s">
        <v>17</v>
      </c>
    </row>
    <row r="700" customFormat="false" ht="15" hidden="false" customHeight="false" outlineLevel="0" collapsed="false">
      <c r="A700" s="0" t="s">
        <v>817</v>
      </c>
      <c r="B700" s="2" t="n">
        <v>45872</v>
      </c>
      <c r="C700" s="3" t="s">
        <v>51</v>
      </c>
      <c r="D700" s="3" t="s">
        <v>56</v>
      </c>
      <c r="E700" s="3" t="s">
        <v>21</v>
      </c>
      <c r="F700" s="3" t="s">
        <v>16</v>
      </c>
      <c r="G700" s="0" t="n">
        <v>496</v>
      </c>
      <c r="H700" s="0" t="n">
        <v>0</v>
      </c>
      <c r="I700" s="0" t="n">
        <v>30</v>
      </c>
      <c r="J700" s="0" t="n">
        <v>32</v>
      </c>
      <c r="K700" s="0" t="n">
        <v>4.6</v>
      </c>
      <c r="L700" s="3" t="s">
        <v>17</v>
      </c>
    </row>
    <row r="701" customFormat="false" ht="15" hidden="false" customHeight="false" outlineLevel="0" collapsed="false">
      <c r="A701" s="0" t="s">
        <v>818</v>
      </c>
      <c r="B701" s="2" t="n">
        <v>45777</v>
      </c>
      <c r="C701" s="3" t="s">
        <v>40</v>
      </c>
      <c r="D701" s="3" t="s">
        <v>31</v>
      </c>
      <c r="E701" s="3" t="s">
        <v>21</v>
      </c>
      <c r="F701" s="3" t="s">
        <v>16</v>
      </c>
      <c r="G701" s="0" t="n">
        <v>487</v>
      </c>
      <c r="H701" s="0" t="n">
        <v>0</v>
      </c>
      <c r="I701" s="0" t="n">
        <v>30</v>
      </c>
      <c r="J701" s="0" t="n">
        <v>35</v>
      </c>
      <c r="K701" s="0" t="n">
        <v>5</v>
      </c>
      <c r="L701" s="3" t="s">
        <v>17</v>
      </c>
    </row>
    <row r="702" customFormat="false" ht="15" hidden="false" customHeight="false" outlineLevel="0" collapsed="false">
      <c r="A702" s="0" t="s">
        <v>819</v>
      </c>
      <c r="B702" s="2" t="n">
        <v>45990</v>
      </c>
      <c r="C702" s="3" t="s">
        <v>27</v>
      </c>
      <c r="D702" s="3" t="s">
        <v>20</v>
      </c>
      <c r="E702" s="3" t="s">
        <v>21</v>
      </c>
      <c r="F702" s="3" t="s">
        <v>22</v>
      </c>
      <c r="G702" s="0" t="n">
        <v>734</v>
      </c>
      <c r="H702" s="0" t="n">
        <v>0</v>
      </c>
      <c r="I702" s="0" t="n">
        <v>0</v>
      </c>
      <c r="J702" s="0" t="n">
        <v>43</v>
      </c>
      <c r="K702" s="0" t="n">
        <v>4.1</v>
      </c>
      <c r="L702" s="3" t="s">
        <v>17</v>
      </c>
    </row>
    <row r="703" customFormat="false" ht="15" hidden="false" customHeight="false" outlineLevel="0" collapsed="false">
      <c r="A703" s="0" t="s">
        <v>820</v>
      </c>
      <c r="B703" s="2" t="n">
        <v>45757</v>
      </c>
      <c r="C703" s="3" t="s">
        <v>13</v>
      </c>
      <c r="D703" s="3" t="s">
        <v>31</v>
      </c>
      <c r="E703" s="3" t="s">
        <v>15</v>
      </c>
      <c r="F703" s="3" t="s">
        <v>54</v>
      </c>
      <c r="G703" s="0" t="n">
        <v>329</v>
      </c>
      <c r="H703" s="0" t="n">
        <v>0</v>
      </c>
      <c r="I703" s="0" t="n">
        <v>20</v>
      </c>
      <c r="J703" s="0" t="n">
        <v>28</v>
      </c>
      <c r="K703" s="0" t="n">
        <v>5</v>
      </c>
      <c r="L703" s="3" t="s">
        <v>17</v>
      </c>
    </row>
    <row r="704" customFormat="false" ht="15" hidden="false" customHeight="false" outlineLevel="0" collapsed="false">
      <c r="A704" s="0" t="s">
        <v>821</v>
      </c>
      <c r="B704" s="2" t="n">
        <v>45792</v>
      </c>
      <c r="C704" s="3" t="s">
        <v>40</v>
      </c>
      <c r="D704" s="3" t="s">
        <v>20</v>
      </c>
      <c r="E704" s="3" t="s">
        <v>21</v>
      </c>
      <c r="F704" s="3" t="s">
        <v>36</v>
      </c>
      <c r="G704" s="0" t="n">
        <v>435</v>
      </c>
      <c r="H704" s="0" t="n">
        <v>0</v>
      </c>
      <c r="I704" s="0" t="n">
        <v>20</v>
      </c>
      <c r="J704" s="0" t="n">
        <v>42</v>
      </c>
      <c r="K704" s="0" t="n">
        <v>3.4</v>
      </c>
      <c r="L704" s="3" t="s">
        <v>17</v>
      </c>
    </row>
    <row r="705" customFormat="false" ht="15" hidden="false" customHeight="false" outlineLevel="0" collapsed="false">
      <c r="A705" s="0" t="s">
        <v>822</v>
      </c>
      <c r="B705" s="2" t="n">
        <v>45994</v>
      </c>
      <c r="C705" s="3" t="s">
        <v>27</v>
      </c>
      <c r="D705" s="3" t="s">
        <v>28</v>
      </c>
      <c r="E705" s="3" t="s">
        <v>21</v>
      </c>
      <c r="F705" s="3" t="s">
        <v>16</v>
      </c>
      <c r="G705" s="0" t="n">
        <v>254</v>
      </c>
      <c r="H705" s="0" t="n">
        <v>0</v>
      </c>
      <c r="I705" s="0" t="n">
        <v>40</v>
      </c>
      <c r="J705" s="0" t="n">
        <v>42</v>
      </c>
      <c r="L705" s="3" t="s">
        <v>17</v>
      </c>
    </row>
    <row r="706" customFormat="false" ht="15" hidden="false" customHeight="false" outlineLevel="0" collapsed="false">
      <c r="A706" s="0" t="s">
        <v>823</v>
      </c>
      <c r="B706" s="2" t="n">
        <v>45868</v>
      </c>
      <c r="C706" s="3" t="s">
        <v>209</v>
      </c>
      <c r="D706" s="3" t="s">
        <v>56</v>
      </c>
      <c r="E706" s="3" t="s">
        <v>21</v>
      </c>
      <c r="F706" s="3" t="s">
        <v>22</v>
      </c>
      <c r="G706" s="0" t="n">
        <v>429</v>
      </c>
      <c r="H706" s="0" t="n">
        <v>84</v>
      </c>
      <c r="I706" s="0" t="n">
        <v>20</v>
      </c>
      <c r="J706" s="0" t="n">
        <v>27</v>
      </c>
      <c r="K706" s="0" t="n">
        <v>5</v>
      </c>
      <c r="L706" s="3" t="s">
        <v>17</v>
      </c>
    </row>
    <row r="707" customFormat="false" ht="15" hidden="false" customHeight="false" outlineLevel="0" collapsed="false">
      <c r="A707" s="0" t="s">
        <v>824</v>
      </c>
      <c r="B707" s="2" t="n">
        <v>45940</v>
      </c>
      <c r="C707" s="3" t="s">
        <v>40</v>
      </c>
      <c r="D707" s="3" t="s">
        <v>25</v>
      </c>
      <c r="E707" s="3" t="s">
        <v>21</v>
      </c>
      <c r="F707" s="3" t="s">
        <v>22</v>
      </c>
      <c r="G707" s="0" t="n">
        <v>403</v>
      </c>
      <c r="H707" s="0" t="n">
        <v>0</v>
      </c>
      <c r="I707" s="0" t="n">
        <v>40</v>
      </c>
      <c r="J707" s="0" t="n">
        <v>47</v>
      </c>
      <c r="K707" s="0" t="n">
        <v>3.6</v>
      </c>
      <c r="L707" s="3" t="s">
        <v>17</v>
      </c>
    </row>
    <row r="708" customFormat="false" ht="15" hidden="false" customHeight="false" outlineLevel="0" collapsed="false">
      <c r="A708" s="0" t="s">
        <v>825</v>
      </c>
      <c r="B708" s="2" t="n">
        <v>45889</v>
      </c>
      <c r="C708" s="3" t="s">
        <v>27</v>
      </c>
      <c r="D708" s="3" t="s">
        <v>31</v>
      </c>
      <c r="E708" s="3" t="s">
        <v>15</v>
      </c>
      <c r="F708" s="3" t="s">
        <v>22</v>
      </c>
      <c r="G708" s="0" t="n">
        <v>569</v>
      </c>
      <c r="H708" s="0" t="n">
        <v>94</v>
      </c>
      <c r="I708" s="0" t="n">
        <v>0</v>
      </c>
      <c r="J708" s="0" t="n">
        <v>43</v>
      </c>
      <c r="K708" s="0" t="n">
        <v>5</v>
      </c>
      <c r="L708" s="3" t="s">
        <v>17</v>
      </c>
    </row>
    <row r="709" customFormat="false" ht="15" hidden="false" customHeight="false" outlineLevel="0" collapsed="false">
      <c r="A709" s="0" t="s">
        <v>826</v>
      </c>
      <c r="B709" s="2" t="n">
        <v>45911</v>
      </c>
      <c r="C709" s="3" t="s">
        <v>24</v>
      </c>
      <c r="D709" s="3" t="s">
        <v>31</v>
      </c>
      <c r="E709" s="3" t="s">
        <v>21</v>
      </c>
      <c r="F709" s="3" t="s">
        <v>36</v>
      </c>
      <c r="G709" s="0" t="n">
        <v>588</v>
      </c>
      <c r="H709" s="0" t="n">
        <v>105</v>
      </c>
      <c r="I709" s="0" t="n">
        <v>0</v>
      </c>
      <c r="J709" s="0" t="n">
        <v>40</v>
      </c>
      <c r="K709" s="0" t="n">
        <v>4.8</v>
      </c>
      <c r="L709" s="3" t="s">
        <v>17</v>
      </c>
    </row>
    <row r="710" customFormat="false" ht="15" hidden="false" customHeight="false" outlineLevel="0" collapsed="false">
      <c r="A710" s="0" t="s">
        <v>827</v>
      </c>
      <c r="B710" s="2" t="n">
        <v>45782</v>
      </c>
      <c r="C710" s="3" t="s">
        <v>13</v>
      </c>
      <c r="D710" s="3" t="s">
        <v>56</v>
      </c>
      <c r="E710" s="3" t="s">
        <v>21</v>
      </c>
      <c r="F710" s="3" t="s">
        <v>16</v>
      </c>
      <c r="G710" s="0" t="n">
        <v>439</v>
      </c>
      <c r="H710" s="0" t="n">
        <v>73</v>
      </c>
      <c r="I710" s="0" t="n">
        <v>30</v>
      </c>
      <c r="J710" s="0" t="n">
        <v>43</v>
      </c>
      <c r="K710" s="0" t="n">
        <v>4.9</v>
      </c>
      <c r="L710" s="3" t="s">
        <v>17</v>
      </c>
    </row>
    <row r="711" customFormat="false" ht="15" hidden="false" customHeight="false" outlineLevel="0" collapsed="false">
      <c r="A711" s="0" t="s">
        <v>828</v>
      </c>
      <c r="B711" s="0" t="s">
        <v>829</v>
      </c>
      <c r="C711" s="0" t="s">
        <v>40</v>
      </c>
      <c r="D711" s="0" t="s">
        <v>14</v>
      </c>
      <c r="E711" s="0" t="s">
        <v>15</v>
      </c>
      <c r="F711" s="0" t="s">
        <v>22</v>
      </c>
      <c r="G711" s="0" t="n">
        <v>289</v>
      </c>
      <c r="H711" s="0" t="n">
        <v>66</v>
      </c>
      <c r="I711" s="0" t="n">
        <v>45</v>
      </c>
      <c r="J711" s="0" t="n">
        <v>48</v>
      </c>
      <c r="K711" s="0" t="n">
        <v>4.4</v>
      </c>
      <c r="L711" s="0" t="s">
        <v>17</v>
      </c>
    </row>
    <row r="712" customFormat="false" ht="15" hidden="false" customHeight="false" outlineLevel="0" collapsed="false">
      <c r="A712" s="0" t="s">
        <v>830</v>
      </c>
      <c r="B712" s="2" t="n">
        <v>45791</v>
      </c>
      <c r="C712" s="3" t="s">
        <v>51</v>
      </c>
      <c r="D712" s="3" t="s">
        <v>25</v>
      </c>
      <c r="E712" s="3" t="s">
        <v>15</v>
      </c>
      <c r="G712" s="0" t="n">
        <v>574</v>
      </c>
      <c r="H712" s="0" t="n">
        <v>0</v>
      </c>
      <c r="I712" s="0" t="n">
        <v>0</v>
      </c>
      <c r="J712" s="0" t="n">
        <v>39</v>
      </c>
      <c r="K712" s="0" t="n">
        <v>3.7</v>
      </c>
      <c r="L712" s="3" t="s">
        <v>17</v>
      </c>
    </row>
    <row r="713" customFormat="false" ht="15" hidden="false" customHeight="false" outlineLevel="0" collapsed="false">
      <c r="A713" s="0" t="s">
        <v>831</v>
      </c>
      <c r="B713" s="2" t="n">
        <v>45724</v>
      </c>
      <c r="C713" s="3" t="s">
        <v>45</v>
      </c>
      <c r="D713" s="3" t="s">
        <v>20</v>
      </c>
      <c r="E713" s="3" t="s">
        <v>15</v>
      </c>
      <c r="F713" s="3" t="s">
        <v>54</v>
      </c>
      <c r="G713" s="0" t="n">
        <v>641</v>
      </c>
      <c r="H713" s="0" t="n">
        <v>0</v>
      </c>
      <c r="I713" s="0" t="n">
        <v>0</v>
      </c>
      <c r="J713" s="0" t="n">
        <v>28</v>
      </c>
      <c r="K713" s="0" t="n">
        <v>3.6</v>
      </c>
      <c r="L713" s="3" t="s">
        <v>17</v>
      </c>
    </row>
    <row r="714" customFormat="false" ht="15" hidden="false" customHeight="false" outlineLevel="0" collapsed="false">
      <c r="A714" s="0" t="s">
        <v>832</v>
      </c>
      <c r="B714" s="2" t="n">
        <v>45983</v>
      </c>
      <c r="C714" s="3" t="s">
        <v>40</v>
      </c>
      <c r="D714" s="3" t="s">
        <v>28</v>
      </c>
      <c r="E714" s="3" t="s">
        <v>58</v>
      </c>
      <c r="F714" s="3" t="s">
        <v>22</v>
      </c>
      <c r="G714" s="0" t="n">
        <v>371</v>
      </c>
      <c r="H714" s="0" t="n">
        <v>92</v>
      </c>
      <c r="I714" s="0" t="n">
        <v>20</v>
      </c>
      <c r="J714" s="0" t="n">
        <v>28</v>
      </c>
      <c r="K714" s="0" t="n">
        <v>5</v>
      </c>
      <c r="L714" s="3" t="s">
        <v>17</v>
      </c>
    </row>
    <row r="715" customFormat="false" ht="15" hidden="false" customHeight="false" outlineLevel="0" collapsed="false">
      <c r="A715" s="0" t="s">
        <v>833</v>
      </c>
      <c r="B715" s="2" t="n">
        <v>45776</v>
      </c>
      <c r="C715" s="3" t="s">
        <v>24</v>
      </c>
      <c r="D715" s="3" t="s">
        <v>31</v>
      </c>
      <c r="E715" s="3" t="s">
        <v>15</v>
      </c>
      <c r="F715" s="3" t="s">
        <v>16</v>
      </c>
      <c r="G715" s="0" t="n">
        <v>627</v>
      </c>
      <c r="H715" s="0" t="n">
        <v>142</v>
      </c>
      <c r="I715" s="0" t="n">
        <v>0</v>
      </c>
      <c r="J715" s="0" t="n">
        <v>37</v>
      </c>
      <c r="K715" s="0" t="n">
        <v>3.5</v>
      </c>
      <c r="L715" s="3" t="s">
        <v>17</v>
      </c>
    </row>
    <row r="716" customFormat="false" ht="15" hidden="false" customHeight="false" outlineLevel="0" collapsed="false">
      <c r="A716" s="0" t="s">
        <v>834</v>
      </c>
      <c r="B716" s="2" t="n">
        <v>45879</v>
      </c>
      <c r="C716" s="3" t="s">
        <v>27</v>
      </c>
      <c r="D716" s="3" t="s">
        <v>31</v>
      </c>
      <c r="E716" s="3" t="s">
        <v>15</v>
      </c>
      <c r="F716" s="3" t="s">
        <v>16</v>
      </c>
      <c r="G716" s="0" t="n">
        <v>468</v>
      </c>
      <c r="H716" s="0" t="n">
        <v>0</v>
      </c>
      <c r="I716" s="0" t="n">
        <v>30</v>
      </c>
      <c r="J716" s="0" t="n">
        <v>50</v>
      </c>
      <c r="K716" s="0" t="n">
        <v>4.7</v>
      </c>
      <c r="L716" s="3" t="s">
        <v>17</v>
      </c>
    </row>
    <row r="717" customFormat="false" ht="15" hidden="false" customHeight="false" outlineLevel="0" collapsed="false">
      <c r="A717" s="0" t="s">
        <v>835</v>
      </c>
      <c r="B717" s="2" t="n">
        <v>45956</v>
      </c>
      <c r="C717" s="3" t="s">
        <v>13</v>
      </c>
      <c r="D717" s="3" t="s">
        <v>25</v>
      </c>
      <c r="E717" s="3" t="s">
        <v>15</v>
      </c>
      <c r="F717" s="3" t="s">
        <v>22</v>
      </c>
      <c r="G717" s="0" t="n">
        <v>635</v>
      </c>
      <c r="H717" s="0" t="n">
        <v>136</v>
      </c>
      <c r="I717" s="0" t="n">
        <v>0</v>
      </c>
      <c r="J717" s="0" t="n">
        <v>35</v>
      </c>
      <c r="K717" s="0" t="n">
        <v>4.6</v>
      </c>
      <c r="L717" s="3" t="s">
        <v>17</v>
      </c>
    </row>
    <row r="718" customFormat="false" ht="15" hidden="false" customHeight="false" outlineLevel="0" collapsed="false">
      <c r="A718" s="0" t="s">
        <v>836</v>
      </c>
      <c r="B718" s="2" t="n">
        <v>45954</v>
      </c>
      <c r="C718" s="3" t="s">
        <v>27</v>
      </c>
      <c r="D718" s="3" t="s">
        <v>28</v>
      </c>
      <c r="E718" s="3" t="s">
        <v>21</v>
      </c>
      <c r="F718" s="3" t="s">
        <v>16</v>
      </c>
      <c r="G718" s="0" t="n">
        <v>318</v>
      </c>
      <c r="H718" s="0" t="n">
        <v>38</v>
      </c>
      <c r="I718" s="0" t="n">
        <v>40</v>
      </c>
      <c r="J718" s="0" t="n">
        <v>18</v>
      </c>
      <c r="K718" s="0" t="n">
        <v>4.7</v>
      </c>
      <c r="L718" s="3" t="s">
        <v>17</v>
      </c>
    </row>
    <row r="719" customFormat="false" ht="15" hidden="false" customHeight="false" outlineLevel="0" collapsed="false">
      <c r="A719" s="0" t="s">
        <v>837</v>
      </c>
      <c r="B719" s="2" t="n">
        <v>45835</v>
      </c>
      <c r="C719" s="3" t="s">
        <v>40</v>
      </c>
      <c r="D719" s="3" t="s">
        <v>56</v>
      </c>
      <c r="E719" s="3" t="s">
        <v>15</v>
      </c>
      <c r="F719" s="3" t="s">
        <v>34</v>
      </c>
      <c r="G719" s="0" t="n">
        <v>405</v>
      </c>
      <c r="H719" s="0" t="n">
        <v>87</v>
      </c>
      <c r="I719" s="0" t="n">
        <v>20</v>
      </c>
      <c r="J719" s="0" t="n">
        <v>44</v>
      </c>
      <c r="K719" s="0" t="n">
        <v>4.3</v>
      </c>
      <c r="L719" s="3" t="s">
        <v>17</v>
      </c>
    </row>
    <row r="720" customFormat="false" ht="15" hidden="false" customHeight="false" outlineLevel="0" collapsed="false">
      <c r="A720" s="0" t="s">
        <v>838</v>
      </c>
      <c r="B720" s="2" t="n">
        <v>45849</v>
      </c>
      <c r="C720" s="3" t="s">
        <v>40</v>
      </c>
      <c r="D720" s="3" t="s">
        <v>28</v>
      </c>
      <c r="E720" s="3" t="s">
        <v>99</v>
      </c>
      <c r="F720" s="3" t="s">
        <v>22</v>
      </c>
      <c r="G720" s="0" t="n">
        <v>364</v>
      </c>
      <c r="H720" s="0" t="n">
        <v>0</v>
      </c>
      <c r="I720" s="0" t="n">
        <v>30</v>
      </c>
      <c r="L720" s="3" t="s">
        <v>68</v>
      </c>
    </row>
    <row r="721" customFormat="false" ht="15" hidden="false" customHeight="false" outlineLevel="0" collapsed="false">
      <c r="A721" s="0" t="s">
        <v>839</v>
      </c>
      <c r="B721" s="2" t="n">
        <v>46021</v>
      </c>
      <c r="C721" s="3" t="s">
        <v>19</v>
      </c>
      <c r="D721" s="3" t="s">
        <v>14</v>
      </c>
      <c r="E721" s="3" t="s">
        <v>21</v>
      </c>
      <c r="F721" s="3" t="s">
        <v>22</v>
      </c>
      <c r="G721" s="0" t="n">
        <v>324</v>
      </c>
      <c r="H721" s="0" t="n">
        <v>0</v>
      </c>
      <c r="I721" s="0" t="n">
        <v>40</v>
      </c>
      <c r="J721" s="0" t="n">
        <v>26</v>
      </c>
      <c r="K721" s="0" t="n">
        <v>4.4</v>
      </c>
      <c r="L721" s="3" t="s">
        <v>17</v>
      </c>
    </row>
    <row r="722" customFormat="false" ht="15" hidden="false" customHeight="false" outlineLevel="0" collapsed="false">
      <c r="A722" s="0" t="s">
        <v>840</v>
      </c>
      <c r="B722" s="2" t="n">
        <v>45918</v>
      </c>
      <c r="C722" s="3" t="s">
        <v>375</v>
      </c>
      <c r="D722" s="3" t="s">
        <v>28</v>
      </c>
      <c r="E722" s="3" t="s">
        <v>99</v>
      </c>
      <c r="F722" s="3" t="s">
        <v>36</v>
      </c>
      <c r="G722" s="0" t="n">
        <v>495</v>
      </c>
      <c r="H722" s="0" t="n">
        <v>0</v>
      </c>
      <c r="I722" s="0" t="n">
        <v>40</v>
      </c>
      <c r="J722" s="0" t="n">
        <v>49</v>
      </c>
      <c r="K722" s="0" t="n">
        <v>4.6</v>
      </c>
      <c r="L722" s="3" t="s">
        <v>17</v>
      </c>
    </row>
    <row r="723" customFormat="false" ht="15" hidden="false" customHeight="false" outlineLevel="0" collapsed="false">
      <c r="A723" s="0" t="s">
        <v>841</v>
      </c>
      <c r="B723" s="2" t="n">
        <v>45964</v>
      </c>
      <c r="C723" s="3" t="s">
        <v>45</v>
      </c>
      <c r="D723" s="3" t="s">
        <v>78</v>
      </c>
      <c r="E723" s="3" t="s">
        <v>21</v>
      </c>
      <c r="F723" s="3" t="s">
        <v>22</v>
      </c>
      <c r="G723" s="0" t="n">
        <v>342</v>
      </c>
      <c r="H723" s="0" t="n">
        <v>73</v>
      </c>
      <c r="I723" s="0" t="n">
        <v>30</v>
      </c>
      <c r="J723" s="0" t="n">
        <v>34</v>
      </c>
      <c r="K723" s="0" t="n">
        <v>5</v>
      </c>
      <c r="L723" s="3" t="s">
        <v>17</v>
      </c>
    </row>
    <row r="724" customFormat="false" ht="15" hidden="false" customHeight="false" outlineLevel="0" collapsed="false">
      <c r="A724" s="0" t="s">
        <v>842</v>
      </c>
      <c r="B724" s="0" t="s">
        <v>163</v>
      </c>
      <c r="C724" s="0" t="s">
        <v>27</v>
      </c>
      <c r="D724" s="0" t="s">
        <v>28</v>
      </c>
      <c r="E724" s="0" t="s">
        <v>21</v>
      </c>
      <c r="F724" s="0" t="s">
        <v>34</v>
      </c>
      <c r="G724" s="0" t="n">
        <v>502</v>
      </c>
      <c r="H724" s="0" t="n">
        <v>0</v>
      </c>
      <c r="I724" s="0" t="n">
        <v>0</v>
      </c>
      <c r="J724" s="0" t="n">
        <v>37</v>
      </c>
      <c r="K724" s="0" t="n">
        <v>4.3</v>
      </c>
      <c r="L724" s="0" t="s">
        <v>17</v>
      </c>
    </row>
    <row r="725" customFormat="false" ht="15" hidden="false" customHeight="false" outlineLevel="0" collapsed="false">
      <c r="A725" s="0" t="s">
        <v>843</v>
      </c>
      <c r="B725" s="2" t="n">
        <v>45955</v>
      </c>
      <c r="C725" s="3" t="s">
        <v>51</v>
      </c>
      <c r="D725" s="3" t="s">
        <v>14</v>
      </c>
      <c r="E725" s="3" t="s">
        <v>21</v>
      </c>
      <c r="F725" s="3" t="s">
        <v>34</v>
      </c>
      <c r="G725" s="0" t="n">
        <v>472</v>
      </c>
      <c r="H725" s="0" t="n">
        <v>65</v>
      </c>
      <c r="I725" s="0" t="n">
        <v>30</v>
      </c>
      <c r="J725" s="0" t="n">
        <v>44</v>
      </c>
      <c r="L725" s="3" t="s">
        <v>17</v>
      </c>
    </row>
    <row r="726" customFormat="false" ht="15" hidden="false" customHeight="false" outlineLevel="0" collapsed="false">
      <c r="A726" s="0" t="s">
        <v>844</v>
      </c>
      <c r="B726" s="2" t="n">
        <v>45737</v>
      </c>
      <c r="C726" s="3" t="s">
        <v>40</v>
      </c>
      <c r="D726" s="3" t="s">
        <v>14</v>
      </c>
      <c r="E726" s="3" t="s">
        <v>21</v>
      </c>
      <c r="F726" s="3" t="s">
        <v>36</v>
      </c>
      <c r="G726" s="0" t="n">
        <v>370</v>
      </c>
      <c r="H726" s="0" t="n">
        <v>0</v>
      </c>
      <c r="I726" s="0" t="n">
        <v>30</v>
      </c>
      <c r="J726" s="0" t="n">
        <v>29</v>
      </c>
      <c r="K726" s="0" t="n">
        <v>5</v>
      </c>
      <c r="L726" s="3" t="s">
        <v>17</v>
      </c>
    </row>
    <row r="727" customFormat="false" ht="15" hidden="false" customHeight="false" outlineLevel="0" collapsed="false">
      <c r="A727" s="0" t="s">
        <v>845</v>
      </c>
      <c r="B727" s="2" t="n">
        <v>45879</v>
      </c>
      <c r="C727" s="3" t="s">
        <v>40</v>
      </c>
      <c r="D727" s="3" t="s">
        <v>28</v>
      </c>
      <c r="E727" s="3" t="s">
        <v>21</v>
      </c>
      <c r="F727" s="3" t="s">
        <v>36</v>
      </c>
      <c r="G727" s="0" t="n">
        <v>509</v>
      </c>
      <c r="H727" s="0" t="n">
        <v>0</v>
      </c>
      <c r="I727" s="0" t="n">
        <v>0</v>
      </c>
      <c r="J727" s="0" t="n">
        <v>38</v>
      </c>
      <c r="K727" s="0" t="n">
        <v>3.2</v>
      </c>
      <c r="L727" s="3" t="s">
        <v>17</v>
      </c>
    </row>
    <row r="728" customFormat="false" ht="15" hidden="false" customHeight="false" outlineLevel="0" collapsed="false">
      <c r="A728" s="0" t="s">
        <v>846</v>
      </c>
      <c r="B728" s="2" t="n">
        <v>45702</v>
      </c>
      <c r="C728" s="3" t="s">
        <v>51</v>
      </c>
      <c r="D728" s="3" t="s">
        <v>14</v>
      </c>
      <c r="E728" s="3" t="s">
        <v>15</v>
      </c>
      <c r="F728" s="3" t="s">
        <v>36</v>
      </c>
      <c r="G728" s="0" t="n">
        <v>219</v>
      </c>
      <c r="H728" s="0" t="n">
        <v>32</v>
      </c>
      <c r="I728" s="0" t="n">
        <v>45</v>
      </c>
      <c r="J728" s="0" t="n">
        <v>34</v>
      </c>
      <c r="K728" s="0" t="n">
        <v>4.5</v>
      </c>
      <c r="L728" s="3" t="s">
        <v>17</v>
      </c>
    </row>
    <row r="729" customFormat="false" ht="15" hidden="false" customHeight="false" outlineLevel="0" collapsed="false">
      <c r="A729" s="0" t="s">
        <v>847</v>
      </c>
      <c r="B729" s="2" t="n">
        <v>45910</v>
      </c>
      <c r="C729" s="3" t="s">
        <v>51</v>
      </c>
      <c r="D729" s="3" t="s">
        <v>49</v>
      </c>
      <c r="E729" s="3" t="s">
        <v>15</v>
      </c>
      <c r="F729" s="3" t="s">
        <v>34</v>
      </c>
      <c r="G729" s="0" t="n">
        <v>403</v>
      </c>
      <c r="H729" s="0" t="n">
        <v>72</v>
      </c>
      <c r="I729" s="0" t="n">
        <v>40</v>
      </c>
      <c r="J729" s="0" t="n">
        <v>29</v>
      </c>
      <c r="K729" s="0" t="n">
        <v>4.8</v>
      </c>
      <c r="L729" s="3" t="s">
        <v>17</v>
      </c>
    </row>
    <row r="730" customFormat="false" ht="15" hidden="false" customHeight="false" outlineLevel="0" collapsed="false">
      <c r="A730" s="0" t="s">
        <v>848</v>
      </c>
      <c r="B730" s="2" t="n">
        <v>46009</v>
      </c>
      <c r="C730" s="3" t="s">
        <v>24</v>
      </c>
      <c r="D730" s="3" t="s">
        <v>56</v>
      </c>
      <c r="E730" s="3" t="s">
        <v>15</v>
      </c>
      <c r="F730" s="3" t="s">
        <v>16</v>
      </c>
      <c r="G730" s="0" t="n">
        <v>325</v>
      </c>
      <c r="H730" s="0" t="n">
        <v>49</v>
      </c>
      <c r="I730" s="0" t="n">
        <v>20</v>
      </c>
      <c r="J730" s="0" t="n">
        <v>38</v>
      </c>
      <c r="K730" s="0" t="n">
        <v>3.8</v>
      </c>
      <c r="L730" s="3" t="s">
        <v>17</v>
      </c>
    </row>
    <row r="731" customFormat="false" ht="15" hidden="false" customHeight="false" outlineLevel="0" collapsed="false">
      <c r="A731" s="0" t="s">
        <v>849</v>
      </c>
      <c r="B731" s="2" t="n">
        <v>45862</v>
      </c>
      <c r="C731" s="3" t="s">
        <v>24</v>
      </c>
      <c r="D731" s="3" t="s">
        <v>20</v>
      </c>
      <c r="E731" s="3" t="s">
        <v>15</v>
      </c>
      <c r="F731" s="3" t="s">
        <v>22</v>
      </c>
      <c r="G731" s="0" t="n">
        <v>592</v>
      </c>
      <c r="H731" s="0" t="n">
        <v>128</v>
      </c>
      <c r="I731" s="0" t="n">
        <v>0</v>
      </c>
      <c r="J731" s="0" t="n">
        <v>45</v>
      </c>
      <c r="K731" s="0" t="n">
        <v>4.5</v>
      </c>
      <c r="L731" s="3" t="s">
        <v>17</v>
      </c>
    </row>
    <row r="732" customFormat="false" ht="15" hidden="false" customHeight="false" outlineLevel="0" collapsed="false">
      <c r="A732" s="0" t="s">
        <v>850</v>
      </c>
      <c r="B732" s="2" t="n">
        <v>45833</v>
      </c>
      <c r="C732" s="3" t="s">
        <v>27</v>
      </c>
      <c r="D732" s="3" t="s">
        <v>56</v>
      </c>
      <c r="E732" s="3" t="s">
        <v>58</v>
      </c>
      <c r="F732" s="3" t="s">
        <v>22</v>
      </c>
      <c r="G732" s="0" t="n">
        <v>330</v>
      </c>
      <c r="H732" s="0" t="n">
        <v>0</v>
      </c>
      <c r="I732" s="0" t="n">
        <v>30</v>
      </c>
      <c r="J732" s="0" t="n">
        <v>51</v>
      </c>
      <c r="K732" s="0" t="n">
        <v>3.9</v>
      </c>
      <c r="L732" s="3" t="s">
        <v>17</v>
      </c>
    </row>
    <row r="733" customFormat="false" ht="15" hidden="false" customHeight="false" outlineLevel="0" collapsed="false">
      <c r="A733" s="0" t="s">
        <v>851</v>
      </c>
      <c r="B733" s="2" t="n">
        <v>45674</v>
      </c>
      <c r="C733" s="3" t="s">
        <v>27</v>
      </c>
      <c r="D733" s="3" t="s">
        <v>14</v>
      </c>
      <c r="E733" s="3" t="s">
        <v>15</v>
      </c>
      <c r="F733" s="3" t="s">
        <v>22</v>
      </c>
      <c r="G733" s="0" t="n">
        <v>215</v>
      </c>
      <c r="H733" s="0" t="n">
        <v>0</v>
      </c>
      <c r="I733" s="0" t="n">
        <v>30</v>
      </c>
      <c r="J733" s="0" t="n">
        <v>47</v>
      </c>
      <c r="K733" s="0" t="n">
        <v>3.7</v>
      </c>
      <c r="L733" s="3" t="s">
        <v>17</v>
      </c>
    </row>
    <row r="734" customFormat="false" ht="15" hidden="false" customHeight="false" outlineLevel="0" collapsed="false">
      <c r="A734" s="0" t="s">
        <v>852</v>
      </c>
      <c r="B734" s="0" t="s">
        <v>195</v>
      </c>
      <c r="C734" s="0" t="s">
        <v>40</v>
      </c>
      <c r="D734" s="0" t="s">
        <v>56</v>
      </c>
      <c r="E734" s="0" t="s">
        <v>15</v>
      </c>
      <c r="F734" s="0" t="s">
        <v>22</v>
      </c>
      <c r="G734" s="0" t="n">
        <v>411</v>
      </c>
      <c r="H734" s="0" t="n">
        <v>0</v>
      </c>
      <c r="I734" s="0" t="n">
        <v>20</v>
      </c>
      <c r="J734" s="0" t="n">
        <v>26</v>
      </c>
      <c r="K734" s="0" t="n">
        <v>5</v>
      </c>
      <c r="L734" s="0" t="s">
        <v>17</v>
      </c>
    </row>
    <row r="735" customFormat="false" ht="15" hidden="false" customHeight="false" outlineLevel="0" collapsed="false">
      <c r="A735" s="0" t="s">
        <v>853</v>
      </c>
      <c r="B735" s="0" t="s">
        <v>854</v>
      </c>
      <c r="C735" s="0" t="s">
        <v>45</v>
      </c>
      <c r="D735" s="0" t="s">
        <v>14</v>
      </c>
      <c r="E735" s="0" t="s">
        <v>21</v>
      </c>
      <c r="F735" s="0" t="s">
        <v>16</v>
      </c>
      <c r="G735" s="0" t="n">
        <v>201</v>
      </c>
      <c r="H735" s="0" t="n">
        <v>0</v>
      </c>
      <c r="I735" s="0" t="n">
        <v>45</v>
      </c>
      <c r="J735" s="0" t="n">
        <v>21</v>
      </c>
      <c r="K735" s="0" t="n">
        <v>4.1</v>
      </c>
      <c r="L735" s="0" t="s">
        <v>17</v>
      </c>
    </row>
    <row r="736" customFormat="false" ht="15" hidden="false" customHeight="false" outlineLevel="0" collapsed="false">
      <c r="A736" s="0" t="s">
        <v>855</v>
      </c>
      <c r="B736" s="2" t="n">
        <v>45676</v>
      </c>
      <c r="C736" s="3" t="s">
        <v>24</v>
      </c>
      <c r="D736" s="3" t="s">
        <v>14</v>
      </c>
      <c r="E736" s="3" t="s">
        <v>21</v>
      </c>
      <c r="F736" s="3" t="s">
        <v>22</v>
      </c>
      <c r="G736" s="0" t="n">
        <v>306</v>
      </c>
      <c r="H736" s="0" t="n">
        <v>42</v>
      </c>
      <c r="I736" s="0" t="n">
        <v>20</v>
      </c>
      <c r="L736" s="3" t="s">
        <v>68</v>
      </c>
    </row>
    <row r="737" customFormat="false" ht="15" hidden="false" customHeight="false" outlineLevel="0" collapsed="false">
      <c r="A737" s="0" t="s">
        <v>856</v>
      </c>
      <c r="B737" s="2" t="n">
        <v>45761</v>
      </c>
      <c r="C737" s="3" t="s">
        <v>13</v>
      </c>
      <c r="D737" s="3" t="s">
        <v>78</v>
      </c>
      <c r="E737" s="3" t="s">
        <v>15</v>
      </c>
      <c r="F737" s="3" t="s">
        <v>22</v>
      </c>
      <c r="G737" s="0" t="n">
        <v>330</v>
      </c>
      <c r="H737" s="0" t="n">
        <v>37</v>
      </c>
      <c r="I737" s="0" t="n">
        <v>45</v>
      </c>
      <c r="J737" s="0" t="n">
        <v>33</v>
      </c>
      <c r="K737" s="0" t="n">
        <v>3.3</v>
      </c>
      <c r="L737" s="3" t="s">
        <v>17</v>
      </c>
    </row>
    <row r="738" customFormat="false" ht="15" hidden="false" customHeight="false" outlineLevel="0" collapsed="false">
      <c r="A738" s="0" t="s">
        <v>857</v>
      </c>
      <c r="B738" s="2" t="n">
        <v>45687</v>
      </c>
      <c r="C738" s="3" t="s">
        <v>40</v>
      </c>
      <c r="D738" s="3" t="s">
        <v>25</v>
      </c>
      <c r="E738" s="3" t="s">
        <v>15</v>
      </c>
      <c r="F738" s="3" t="s">
        <v>22</v>
      </c>
      <c r="G738" s="0" t="n">
        <v>318</v>
      </c>
      <c r="H738" s="0" t="n">
        <v>54</v>
      </c>
      <c r="I738" s="0" t="n">
        <v>20</v>
      </c>
      <c r="J738" s="0" t="n">
        <v>35</v>
      </c>
      <c r="K738" s="0" t="n">
        <v>4.4</v>
      </c>
      <c r="L738" s="3" t="s">
        <v>17</v>
      </c>
    </row>
    <row r="739" customFormat="false" ht="15" hidden="false" customHeight="false" outlineLevel="0" collapsed="false">
      <c r="A739" s="0" t="s">
        <v>858</v>
      </c>
      <c r="B739" s="2" t="n">
        <v>45841</v>
      </c>
      <c r="C739" s="3" t="s">
        <v>40</v>
      </c>
      <c r="D739" s="3" t="s">
        <v>28</v>
      </c>
      <c r="E739" s="3" t="s">
        <v>15</v>
      </c>
      <c r="F739" s="3" t="s">
        <v>36</v>
      </c>
      <c r="G739" s="0" t="n">
        <v>487</v>
      </c>
      <c r="H739" s="0" t="n">
        <v>67</v>
      </c>
      <c r="I739" s="0" t="n">
        <v>40</v>
      </c>
      <c r="J739" s="0" t="n">
        <v>51</v>
      </c>
      <c r="K739" s="0" t="n">
        <v>3.9</v>
      </c>
      <c r="L739" s="3" t="s">
        <v>17</v>
      </c>
    </row>
    <row r="740" customFormat="false" ht="15" hidden="false" customHeight="false" outlineLevel="0" collapsed="false">
      <c r="A740" s="0" t="s">
        <v>859</v>
      </c>
      <c r="B740" s="2" t="n">
        <v>45863</v>
      </c>
      <c r="C740" s="3" t="s">
        <v>13</v>
      </c>
      <c r="D740" s="3" t="s">
        <v>28</v>
      </c>
      <c r="E740" s="3" t="s">
        <v>15</v>
      </c>
      <c r="F740" s="3" t="s">
        <v>34</v>
      </c>
      <c r="G740" s="0" t="n">
        <v>313</v>
      </c>
      <c r="H740" s="0" t="n">
        <v>0</v>
      </c>
      <c r="I740" s="0" t="n">
        <v>20</v>
      </c>
      <c r="J740" s="0" t="n">
        <v>34</v>
      </c>
      <c r="K740" s="0" t="n">
        <v>4</v>
      </c>
      <c r="L740" s="3" t="s">
        <v>17</v>
      </c>
    </row>
    <row r="741" customFormat="false" ht="15" hidden="false" customHeight="false" outlineLevel="0" collapsed="false">
      <c r="A741" s="0" t="s">
        <v>860</v>
      </c>
      <c r="B741" s="0" t="s">
        <v>861</v>
      </c>
      <c r="C741" s="0" t="s">
        <v>24</v>
      </c>
      <c r="D741" s="0" t="s">
        <v>49</v>
      </c>
      <c r="E741" s="0" t="s">
        <v>21</v>
      </c>
      <c r="F741" s="0" t="s">
        <v>36</v>
      </c>
      <c r="G741" s="0" t="n">
        <v>696</v>
      </c>
      <c r="H741" s="0" t="n">
        <v>0</v>
      </c>
      <c r="I741" s="0" t="n">
        <v>0</v>
      </c>
      <c r="L741" s="0" t="s">
        <v>68</v>
      </c>
    </row>
    <row r="742" customFormat="false" ht="15" hidden="false" customHeight="false" outlineLevel="0" collapsed="false">
      <c r="A742" s="0" t="s">
        <v>862</v>
      </c>
      <c r="B742" s="2" t="n">
        <v>45680</v>
      </c>
      <c r="C742" s="3" t="s">
        <v>13</v>
      </c>
      <c r="D742" s="3" t="s">
        <v>49</v>
      </c>
      <c r="E742" s="3" t="s">
        <v>21</v>
      </c>
      <c r="F742" s="3" t="s">
        <v>16</v>
      </c>
      <c r="G742" s="0" t="n">
        <v>614</v>
      </c>
      <c r="H742" s="0" t="n">
        <v>83</v>
      </c>
      <c r="I742" s="0" t="n">
        <v>0</v>
      </c>
      <c r="J742" s="0" t="n">
        <v>40</v>
      </c>
      <c r="K742" s="0" t="n">
        <v>4.1</v>
      </c>
      <c r="L742" s="3" t="s">
        <v>17</v>
      </c>
    </row>
    <row r="743" customFormat="false" ht="15" hidden="false" customHeight="false" outlineLevel="0" collapsed="false">
      <c r="A743" s="0" t="s">
        <v>863</v>
      </c>
      <c r="B743" s="2" t="n">
        <v>45706</v>
      </c>
      <c r="C743" s="3" t="s">
        <v>40</v>
      </c>
      <c r="D743" s="3" t="s">
        <v>20</v>
      </c>
      <c r="E743" s="3" t="s">
        <v>21</v>
      </c>
      <c r="F743" s="3" t="s">
        <v>36</v>
      </c>
      <c r="G743" s="0" t="n">
        <v>530</v>
      </c>
      <c r="H743" s="0" t="n">
        <v>0</v>
      </c>
      <c r="I743" s="0" t="n">
        <v>0</v>
      </c>
      <c r="J743" s="0" t="n">
        <v>38</v>
      </c>
      <c r="K743" s="0" t="n">
        <v>4.7</v>
      </c>
      <c r="L743" s="3" t="s">
        <v>17</v>
      </c>
    </row>
    <row r="744" customFormat="false" ht="15" hidden="false" customHeight="false" outlineLevel="0" collapsed="false">
      <c r="A744" s="0" t="s">
        <v>864</v>
      </c>
      <c r="B744" s="0" t="s">
        <v>865</v>
      </c>
      <c r="C744" s="0" t="s">
        <v>51</v>
      </c>
      <c r="D744" s="0" t="s">
        <v>20</v>
      </c>
      <c r="E744" s="0" t="s">
        <v>21</v>
      </c>
      <c r="F744" s="0" t="s">
        <v>36</v>
      </c>
      <c r="G744" s="0" t="n">
        <v>613</v>
      </c>
      <c r="H744" s="0" t="n">
        <v>0</v>
      </c>
      <c r="I744" s="0" t="n">
        <v>0</v>
      </c>
      <c r="J744" s="0" t="n">
        <v>53</v>
      </c>
      <c r="K744" s="0" t="n">
        <v>4.1</v>
      </c>
      <c r="L744" s="0" t="s">
        <v>17</v>
      </c>
    </row>
    <row r="745" customFormat="false" ht="15" hidden="false" customHeight="false" outlineLevel="0" collapsed="false">
      <c r="A745" s="0" t="s">
        <v>866</v>
      </c>
      <c r="B745" s="2" t="n">
        <v>45684</v>
      </c>
      <c r="C745" s="3" t="s">
        <v>13</v>
      </c>
      <c r="D745" s="3" t="s">
        <v>31</v>
      </c>
      <c r="E745" s="3" t="s">
        <v>21</v>
      </c>
      <c r="F745" s="3" t="s">
        <v>22</v>
      </c>
      <c r="G745" s="0" t="n">
        <v>310</v>
      </c>
      <c r="H745" s="0" t="n">
        <v>39</v>
      </c>
      <c r="I745" s="0" t="n">
        <v>20</v>
      </c>
      <c r="J745" s="0" t="n">
        <v>26</v>
      </c>
      <c r="K745" s="0" t="n">
        <v>4.7</v>
      </c>
      <c r="L745" s="3" t="s">
        <v>17</v>
      </c>
    </row>
    <row r="746" customFormat="false" ht="15" hidden="false" customHeight="false" outlineLevel="0" collapsed="false">
      <c r="A746" s="0" t="s">
        <v>867</v>
      </c>
      <c r="B746" s="2" t="n">
        <v>45926</v>
      </c>
      <c r="C746" s="3" t="s">
        <v>45</v>
      </c>
      <c r="D746" s="3" t="s">
        <v>78</v>
      </c>
      <c r="E746" s="3" t="s">
        <v>21</v>
      </c>
      <c r="F746" s="3" t="s">
        <v>54</v>
      </c>
      <c r="G746" s="0" t="n">
        <v>403</v>
      </c>
      <c r="H746" s="0" t="n">
        <v>0</v>
      </c>
      <c r="I746" s="0" t="n">
        <v>45</v>
      </c>
      <c r="J746" s="0" t="n">
        <v>26</v>
      </c>
      <c r="K746" s="0" t="n">
        <v>4.6</v>
      </c>
      <c r="L746" s="3" t="s">
        <v>17</v>
      </c>
    </row>
    <row r="747" customFormat="false" ht="15" hidden="false" customHeight="false" outlineLevel="0" collapsed="false">
      <c r="A747" s="0" t="s">
        <v>868</v>
      </c>
      <c r="B747" s="2" t="n">
        <v>45746</v>
      </c>
      <c r="C747" s="3" t="s">
        <v>40</v>
      </c>
      <c r="D747" s="3" t="s">
        <v>25</v>
      </c>
      <c r="E747" s="3" t="s">
        <v>15</v>
      </c>
      <c r="F747" s="3" t="s">
        <v>22</v>
      </c>
      <c r="G747" s="0" t="n">
        <v>535</v>
      </c>
      <c r="H747" s="0" t="n">
        <v>62</v>
      </c>
      <c r="I747" s="0" t="n">
        <v>0</v>
      </c>
      <c r="J747" s="0" t="n">
        <v>31</v>
      </c>
      <c r="K747" s="0" t="n">
        <v>4.1</v>
      </c>
      <c r="L747" s="3" t="s">
        <v>17</v>
      </c>
    </row>
    <row r="748" customFormat="false" ht="15" hidden="false" customHeight="false" outlineLevel="0" collapsed="false">
      <c r="A748" s="0" t="s">
        <v>869</v>
      </c>
      <c r="B748" s="2" t="n">
        <v>45783</v>
      </c>
      <c r="C748" s="3" t="s">
        <v>24</v>
      </c>
      <c r="D748" s="3" t="s">
        <v>28</v>
      </c>
      <c r="E748" s="3" t="s">
        <v>15</v>
      </c>
      <c r="F748" s="3" t="s">
        <v>34</v>
      </c>
      <c r="G748" s="0" t="n">
        <v>352</v>
      </c>
      <c r="H748" s="0" t="n">
        <v>45</v>
      </c>
      <c r="I748" s="0" t="n">
        <v>40</v>
      </c>
      <c r="J748" s="0" t="n">
        <v>47</v>
      </c>
      <c r="K748" s="0" t="n">
        <v>3.8</v>
      </c>
      <c r="L748" s="3" t="s">
        <v>17</v>
      </c>
    </row>
    <row r="749" customFormat="false" ht="15" hidden="false" customHeight="false" outlineLevel="0" collapsed="false">
      <c r="A749" s="0" t="s">
        <v>870</v>
      </c>
      <c r="B749" s="2" t="n">
        <v>45818</v>
      </c>
      <c r="C749" s="3" t="s">
        <v>24</v>
      </c>
      <c r="D749" s="3" t="s">
        <v>14</v>
      </c>
      <c r="E749" s="3" t="s">
        <v>21</v>
      </c>
      <c r="F749" s="3" t="s">
        <v>36</v>
      </c>
      <c r="G749" s="0" t="n">
        <v>395</v>
      </c>
      <c r="H749" s="0" t="n">
        <v>0</v>
      </c>
      <c r="I749" s="0" t="n">
        <v>45</v>
      </c>
      <c r="J749" s="0" t="n">
        <v>42</v>
      </c>
      <c r="K749" s="0" t="n">
        <v>4.2</v>
      </c>
      <c r="L749" s="3" t="s">
        <v>17</v>
      </c>
    </row>
    <row r="750" customFormat="false" ht="15" hidden="false" customHeight="false" outlineLevel="0" collapsed="false">
      <c r="A750" s="0" t="s">
        <v>871</v>
      </c>
      <c r="B750" s="2" t="n">
        <v>45827</v>
      </c>
      <c r="C750" s="3" t="s">
        <v>27</v>
      </c>
      <c r="D750" s="3" t="s">
        <v>56</v>
      </c>
      <c r="E750" s="3" t="s">
        <v>21</v>
      </c>
      <c r="F750" s="3" t="s">
        <v>22</v>
      </c>
      <c r="G750" s="0" t="n">
        <v>247</v>
      </c>
      <c r="H750" s="0" t="n">
        <v>0</v>
      </c>
      <c r="I750" s="0" t="n">
        <v>40</v>
      </c>
      <c r="L750" s="3" t="s">
        <v>68</v>
      </c>
    </row>
    <row r="751" customFormat="false" ht="15" hidden="false" customHeight="false" outlineLevel="0" collapsed="false">
      <c r="A751" s="0" t="s">
        <v>872</v>
      </c>
      <c r="B751" s="2" t="n">
        <v>45658</v>
      </c>
      <c r="C751" s="3" t="s">
        <v>24</v>
      </c>
      <c r="D751" s="3" t="s">
        <v>25</v>
      </c>
      <c r="E751" s="3" t="s">
        <v>15</v>
      </c>
      <c r="F751" s="3" t="s">
        <v>34</v>
      </c>
      <c r="G751" s="0" t="n">
        <v>310</v>
      </c>
      <c r="H751" s="0" t="n">
        <v>74</v>
      </c>
      <c r="I751" s="0" t="n">
        <v>40</v>
      </c>
      <c r="J751" s="0" t="n">
        <v>30</v>
      </c>
      <c r="K751" s="0" t="n">
        <v>5</v>
      </c>
      <c r="L751" s="3" t="s">
        <v>17</v>
      </c>
    </row>
    <row r="752" customFormat="false" ht="15" hidden="false" customHeight="false" outlineLevel="0" collapsed="false">
      <c r="A752" s="0" t="s">
        <v>873</v>
      </c>
      <c r="B752" s="2" t="n">
        <v>45706</v>
      </c>
      <c r="C752" s="3" t="s">
        <v>40</v>
      </c>
      <c r="D752" s="3" t="s">
        <v>31</v>
      </c>
      <c r="E752" s="3" t="s">
        <v>15</v>
      </c>
      <c r="F752" s="3" t="s">
        <v>22</v>
      </c>
      <c r="G752" s="0" t="n">
        <v>576</v>
      </c>
      <c r="H752" s="0" t="n">
        <v>80</v>
      </c>
      <c r="I752" s="0" t="n">
        <v>0</v>
      </c>
      <c r="J752" s="0" t="n">
        <v>48</v>
      </c>
      <c r="K752" s="0" t="n">
        <v>4</v>
      </c>
      <c r="L752" s="3" t="s">
        <v>17</v>
      </c>
    </row>
    <row r="753" customFormat="false" ht="15" hidden="false" customHeight="false" outlineLevel="0" collapsed="false">
      <c r="A753" s="0" t="s">
        <v>874</v>
      </c>
      <c r="B753" s="2" t="n">
        <v>45979</v>
      </c>
      <c r="C753" s="3" t="s">
        <v>24</v>
      </c>
      <c r="D753" s="3" t="s">
        <v>14</v>
      </c>
      <c r="E753" s="3" t="s">
        <v>15</v>
      </c>
      <c r="F753" s="3" t="s">
        <v>22</v>
      </c>
      <c r="G753" s="0" t="n">
        <v>268</v>
      </c>
      <c r="H753" s="0" t="n">
        <v>0</v>
      </c>
      <c r="I753" s="0" t="n">
        <v>30</v>
      </c>
      <c r="J753" s="0" t="n">
        <v>39</v>
      </c>
      <c r="K753" s="0" t="n">
        <v>4.4</v>
      </c>
      <c r="L753" s="3" t="s">
        <v>17</v>
      </c>
    </row>
    <row r="754" customFormat="false" ht="15" hidden="false" customHeight="false" outlineLevel="0" collapsed="false">
      <c r="A754" s="0" t="s">
        <v>875</v>
      </c>
      <c r="B754" s="2" t="n">
        <v>45658</v>
      </c>
      <c r="C754" s="3" t="s">
        <v>279</v>
      </c>
      <c r="D754" s="3" t="s">
        <v>56</v>
      </c>
      <c r="E754" s="3" t="s">
        <v>15</v>
      </c>
      <c r="F754" s="3" t="s">
        <v>22</v>
      </c>
      <c r="G754" s="0" t="n">
        <v>353</v>
      </c>
      <c r="H754" s="0" t="n">
        <v>54</v>
      </c>
      <c r="I754" s="0" t="n">
        <v>40</v>
      </c>
      <c r="J754" s="0" t="n">
        <v>46</v>
      </c>
      <c r="K754" s="0" t="n">
        <v>3.3</v>
      </c>
      <c r="L754" s="3" t="s">
        <v>17</v>
      </c>
    </row>
    <row r="755" customFormat="false" ht="15" hidden="false" customHeight="false" outlineLevel="0" collapsed="false">
      <c r="A755" s="0" t="s">
        <v>876</v>
      </c>
      <c r="B755" s="2" t="n">
        <v>45860</v>
      </c>
      <c r="C755" s="3" t="s">
        <v>24</v>
      </c>
      <c r="D755" s="3" t="s">
        <v>31</v>
      </c>
      <c r="E755" s="3" t="s">
        <v>21</v>
      </c>
      <c r="F755" s="3" t="s">
        <v>22</v>
      </c>
      <c r="G755" s="0" t="n">
        <v>474</v>
      </c>
      <c r="H755" s="0" t="n">
        <v>0</v>
      </c>
      <c r="I755" s="0" t="n">
        <v>20</v>
      </c>
      <c r="L755" s="3" t="s">
        <v>68</v>
      </c>
    </row>
    <row r="756" customFormat="false" ht="15" hidden="false" customHeight="false" outlineLevel="0" collapsed="false">
      <c r="A756" s="0" t="s">
        <v>877</v>
      </c>
      <c r="B756" s="2" t="n">
        <v>45853</v>
      </c>
      <c r="C756" s="3" t="s">
        <v>40</v>
      </c>
      <c r="D756" s="3" t="s">
        <v>28</v>
      </c>
      <c r="E756" s="3" t="s">
        <v>21</v>
      </c>
      <c r="F756" s="3" t="s">
        <v>22</v>
      </c>
      <c r="G756" s="0" t="n">
        <v>380</v>
      </c>
      <c r="H756" s="0" t="n">
        <v>0</v>
      </c>
      <c r="I756" s="0" t="n">
        <v>30</v>
      </c>
      <c r="J756" s="0" t="n">
        <v>42</v>
      </c>
      <c r="K756" s="0" t="n">
        <v>3.8</v>
      </c>
      <c r="L756" s="3" t="s">
        <v>17</v>
      </c>
    </row>
    <row r="757" customFormat="false" ht="15" hidden="false" customHeight="false" outlineLevel="0" collapsed="false">
      <c r="A757" s="0" t="s">
        <v>878</v>
      </c>
      <c r="B757" s="2" t="n">
        <v>45795</v>
      </c>
      <c r="C757" s="3" t="s">
        <v>24</v>
      </c>
      <c r="D757" s="3" t="s">
        <v>25</v>
      </c>
      <c r="E757" s="3" t="s">
        <v>21</v>
      </c>
      <c r="F757" s="3" t="s">
        <v>34</v>
      </c>
      <c r="G757" s="0" t="n">
        <v>473</v>
      </c>
      <c r="H757" s="0" t="n">
        <v>0</v>
      </c>
      <c r="I757" s="0" t="n">
        <v>45</v>
      </c>
      <c r="J757" s="0" t="n">
        <v>38</v>
      </c>
      <c r="K757" s="0" t="n">
        <v>3.7</v>
      </c>
      <c r="L757" s="3" t="s">
        <v>17</v>
      </c>
    </row>
    <row r="758" customFormat="false" ht="15" hidden="false" customHeight="false" outlineLevel="0" collapsed="false">
      <c r="A758" s="0" t="s">
        <v>879</v>
      </c>
      <c r="B758" s="2" t="n">
        <v>45832</v>
      </c>
      <c r="C758" s="3" t="s">
        <v>13</v>
      </c>
      <c r="D758" s="3" t="s">
        <v>14</v>
      </c>
      <c r="E758" s="3" t="s">
        <v>15</v>
      </c>
      <c r="F758" s="3" t="s">
        <v>16</v>
      </c>
      <c r="G758" s="0" t="n">
        <v>408</v>
      </c>
      <c r="H758" s="0" t="n">
        <v>0</v>
      </c>
      <c r="I758" s="0" t="n">
        <v>45</v>
      </c>
      <c r="J758" s="0" t="n">
        <v>29</v>
      </c>
      <c r="K758" s="0" t="n">
        <v>5</v>
      </c>
      <c r="L758" s="3" t="s">
        <v>17</v>
      </c>
    </row>
    <row r="759" customFormat="false" ht="15" hidden="false" customHeight="false" outlineLevel="0" collapsed="false">
      <c r="A759" s="0" t="s">
        <v>880</v>
      </c>
      <c r="B759" s="2" t="n">
        <v>45953</v>
      </c>
      <c r="C759" s="3" t="s">
        <v>71</v>
      </c>
      <c r="D759" s="3" t="s">
        <v>25</v>
      </c>
      <c r="E759" s="3" t="s">
        <v>15</v>
      </c>
      <c r="F759" s="3" t="s">
        <v>16</v>
      </c>
      <c r="G759" s="0" t="n">
        <v>402</v>
      </c>
      <c r="H759" s="0" t="n">
        <v>0</v>
      </c>
      <c r="I759" s="0" t="n">
        <v>45</v>
      </c>
      <c r="J759" s="0" t="n">
        <v>35</v>
      </c>
      <c r="K759" s="0" t="n">
        <v>4.6</v>
      </c>
      <c r="L759" s="3" t="s">
        <v>17</v>
      </c>
    </row>
    <row r="760" customFormat="false" ht="15" hidden="false" customHeight="false" outlineLevel="0" collapsed="false">
      <c r="A760" s="0" t="s">
        <v>881</v>
      </c>
      <c r="B760" s="2" t="n">
        <v>45972</v>
      </c>
      <c r="C760" s="3" t="s">
        <v>24</v>
      </c>
      <c r="D760" s="3" t="s">
        <v>25</v>
      </c>
      <c r="E760" s="3" t="s">
        <v>21</v>
      </c>
      <c r="F760" s="3" t="s">
        <v>36</v>
      </c>
      <c r="G760" s="0" t="n">
        <v>444</v>
      </c>
      <c r="H760" s="0" t="n">
        <v>0</v>
      </c>
      <c r="I760" s="0" t="n">
        <v>45</v>
      </c>
      <c r="J760" s="0" t="n">
        <v>28</v>
      </c>
      <c r="K760" s="0" t="n">
        <v>4.9</v>
      </c>
      <c r="L760" s="3" t="s">
        <v>17</v>
      </c>
    </row>
    <row r="761" customFormat="false" ht="15" hidden="false" customHeight="false" outlineLevel="0" collapsed="false">
      <c r="A761" s="0" t="s">
        <v>882</v>
      </c>
      <c r="B761" s="2" t="n">
        <v>45767</v>
      </c>
      <c r="C761" s="3" t="s">
        <v>27</v>
      </c>
      <c r="D761" s="3" t="s">
        <v>31</v>
      </c>
      <c r="E761" s="3" t="s">
        <v>21</v>
      </c>
      <c r="F761" s="3" t="s">
        <v>22</v>
      </c>
      <c r="G761" s="0" t="n">
        <v>430</v>
      </c>
      <c r="H761" s="0" t="n">
        <v>0</v>
      </c>
      <c r="I761" s="0" t="n">
        <v>45</v>
      </c>
      <c r="J761" s="0" t="n">
        <v>45</v>
      </c>
      <c r="K761" s="0" t="n">
        <v>4.3</v>
      </c>
      <c r="L761" s="3" t="s">
        <v>17</v>
      </c>
    </row>
    <row r="762" customFormat="false" ht="15" hidden="false" customHeight="false" outlineLevel="0" collapsed="false">
      <c r="A762" s="0" t="s">
        <v>883</v>
      </c>
      <c r="B762" s="2" t="n">
        <v>45791</v>
      </c>
      <c r="C762" s="3" t="s">
        <v>30</v>
      </c>
      <c r="D762" s="3" t="s">
        <v>56</v>
      </c>
      <c r="E762" s="3" t="s">
        <v>15</v>
      </c>
      <c r="F762" s="3" t="s">
        <v>22</v>
      </c>
      <c r="G762" s="0" t="n">
        <v>414</v>
      </c>
      <c r="H762" s="0" t="n">
        <v>63</v>
      </c>
      <c r="I762" s="0" t="n">
        <v>20</v>
      </c>
      <c r="J762" s="0" t="n">
        <v>36</v>
      </c>
      <c r="K762" s="0" t="n">
        <v>4.2</v>
      </c>
      <c r="L762" s="3" t="s">
        <v>17</v>
      </c>
    </row>
    <row r="763" customFormat="false" ht="15" hidden="false" customHeight="false" outlineLevel="0" collapsed="false">
      <c r="A763" s="0" t="s">
        <v>884</v>
      </c>
      <c r="B763" s="2" t="n">
        <v>45760</v>
      </c>
      <c r="C763" s="3" t="s">
        <v>24</v>
      </c>
      <c r="D763" s="3" t="s">
        <v>56</v>
      </c>
      <c r="E763" s="3" t="s">
        <v>15</v>
      </c>
      <c r="F763" s="3" t="s">
        <v>36</v>
      </c>
      <c r="G763" s="0" t="n">
        <v>423</v>
      </c>
      <c r="H763" s="0" t="n">
        <v>47</v>
      </c>
      <c r="I763" s="0" t="n">
        <v>45</v>
      </c>
      <c r="J763" s="0" t="n">
        <v>43</v>
      </c>
      <c r="K763" s="0" t="n">
        <v>3.9</v>
      </c>
      <c r="L763" s="3" t="s">
        <v>17</v>
      </c>
    </row>
    <row r="764" customFormat="false" ht="15" hidden="false" customHeight="false" outlineLevel="0" collapsed="false">
      <c r="A764" s="0" t="s">
        <v>885</v>
      </c>
      <c r="B764" s="2" t="n">
        <v>45850</v>
      </c>
      <c r="C764" s="3" t="s">
        <v>27</v>
      </c>
      <c r="D764" s="3" t="s">
        <v>28</v>
      </c>
      <c r="E764" s="3" t="s">
        <v>21</v>
      </c>
      <c r="F764" s="3" t="s">
        <v>54</v>
      </c>
      <c r="G764" s="0" t="n">
        <v>509</v>
      </c>
      <c r="H764" s="0" t="n">
        <v>0</v>
      </c>
      <c r="I764" s="0" t="n">
        <v>0</v>
      </c>
      <c r="J764" s="0" t="n">
        <v>47</v>
      </c>
      <c r="K764" s="0" t="n">
        <v>4.4</v>
      </c>
      <c r="L764" s="3" t="s">
        <v>17</v>
      </c>
    </row>
    <row r="765" customFormat="false" ht="15" hidden="false" customHeight="false" outlineLevel="0" collapsed="false">
      <c r="A765" s="0" t="s">
        <v>886</v>
      </c>
      <c r="B765" s="2" t="n">
        <v>45921</v>
      </c>
      <c r="C765" s="3" t="s">
        <v>19</v>
      </c>
      <c r="D765" s="3" t="s">
        <v>56</v>
      </c>
      <c r="E765" s="3" t="s">
        <v>21</v>
      </c>
      <c r="F765" s="3" t="s">
        <v>16</v>
      </c>
      <c r="G765" s="0" t="n">
        <v>326</v>
      </c>
      <c r="H765" s="0" t="n">
        <v>0</v>
      </c>
      <c r="I765" s="0" t="n">
        <v>45</v>
      </c>
      <c r="J765" s="0" t="n">
        <v>27</v>
      </c>
      <c r="K765" s="0" t="n">
        <v>5</v>
      </c>
      <c r="L765" s="3" t="s">
        <v>17</v>
      </c>
    </row>
    <row r="766" customFormat="false" ht="15" hidden="false" customHeight="false" outlineLevel="0" collapsed="false">
      <c r="A766" s="0" t="s">
        <v>887</v>
      </c>
      <c r="B766" s="2" t="n">
        <v>45754</v>
      </c>
      <c r="C766" s="3" t="s">
        <v>27</v>
      </c>
      <c r="D766" s="3" t="s">
        <v>25</v>
      </c>
      <c r="E766" s="3" t="s">
        <v>21</v>
      </c>
      <c r="F766" s="3" t="s">
        <v>22</v>
      </c>
      <c r="G766" s="0" t="n">
        <v>448</v>
      </c>
      <c r="H766" s="0" t="n">
        <v>0</v>
      </c>
      <c r="I766" s="0" t="n">
        <v>40</v>
      </c>
      <c r="L766" s="3" t="s">
        <v>68</v>
      </c>
    </row>
    <row r="767" customFormat="false" ht="15" hidden="false" customHeight="false" outlineLevel="0" collapsed="false">
      <c r="A767" s="0" t="s">
        <v>888</v>
      </c>
      <c r="B767" s="2" t="n">
        <v>45794</v>
      </c>
      <c r="C767" s="3" t="s">
        <v>45</v>
      </c>
      <c r="D767" s="3" t="s">
        <v>25</v>
      </c>
      <c r="E767" s="3" t="s">
        <v>21</v>
      </c>
      <c r="F767" s="3" t="s">
        <v>36</v>
      </c>
      <c r="G767" s="0" t="n">
        <v>297</v>
      </c>
      <c r="H767" s="0" t="n">
        <v>0</v>
      </c>
      <c r="I767" s="0" t="n">
        <v>20</v>
      </c>
      <c r="J767" s="0" t="n">
        <v>36</v>
      </c>
      <c r="K767" s="0" t="n">
        <v>5</v>
      </c>
      <c r="L767" s="3" t="s">
        <v>17</v>
      </c>
    </row>
    <row r="768" customFormat="false" ht="15" hidden="false" customHeight="false" outlineLevel="0" collapsed="false">
      <c r="A768" s="0" t="s">
        <v>889</v>
      </c>
      <c r="B768" s="0" t="s">
        <v>890</v>
      </c>
      <c r="C768" s="0" t="s">
        <v>30</v>
      </c>
      <c r="D768" s="0" t="s">
        <v>25</v>
      </c>
      <c r="E768" s="0" t="s">
        <v>21</v>
      </c>
      <c r="F768" s="0" t="s">
        <v>54</v>
      </c>
      <c r="G768" s="0" t="n">
        <v>380</v>
      </c>
      <c r="H768" s="0" t="n">
        <v>90</v>
      </c>
      <c r="I768" s="0" t="n">
        <v>40</v>
      </c>
      <c r="L768" s="0" t="s">
        <v>68</v>
      </c>
    </row>
    <row r="769" customFormat="false" ht="15" hidden="false" customHeight="false" outlineLevel="0" collapsed="false">
      <c r="A769" s="0" t="s">
        <v>891</v>
      </c>
      <c r="B769" s="2" t="n">
        <v>45679</v>
      </c>
      <c r="C769" s="3" t="s">
        <v>421</v>
      </c>
      <c r="D769" s="3" t="s">
        <v>49</v>
      </c>
      <c r="E769" s="3" t="s">
        <v>21</v>
      </c>
      <c r="F769" s="3" t="s">
        <v>22</v>
      </c>
      <c r="G769" s="0" t="n">
        <v>447</v>
      </c>
      <c r="H769" s="0" t="n">
        <v>96</v>
      </c>
      <c r="I769" s="0" t="n">
        <v>45</v>
      </c>
      <c r="J769" s="0" t="n">
        <v>48</v>
      </c>
      <c r="K769" s="0" t="n">
        <v>3.3</v>
      </c>
      <c r="L769" s="3" t="s">
        <v>17</v>
      </c>
    </row>
    <row r="770" customFormat="false" ht="15" hidden="false" customHeight="false" outlineLevel="0" collapsed="false">
      <c r="A770" s="0" t="s">
        <v>892</v>
      </c>
      <c r="B770" s="2" t="n">
        <v>45843</v>
      </c>
      <c r="C770" s="3" t="s">
        <v>27</v>
      </c>
      <c r="D770" s="3" t="s">
        <v>31</v>
      </c>
      <c r="E770" s="3" t="s">
        <v>15</v>
      </c>
      <c r="F770" s="3" t="s">
        <v>22</v>
      </c>
      <c r="G770" s="0" t="n">
        <v>339</v>
      </c>
      <c r="H770" s="0" t="n">
        <v>0</v>
      </c>
      <c r="I770" s="0" t="n">
        <v>20</v>
      </c>
      <c r="J770" s="0" t="n">
        <v>41</v>
      </c>
      <c r="K770" s="0" t="n">
        <v>3.3</v>
      </c>
      <c r="L770" s="3" t="s">
        <v>17</v>
      </c>
    </row>
    <row r="771" customFormat="false" ht="15" hidden="false" customHeight="false" outlineLevel="0" collapsed="false">
      <c r="A771" s="0" t="s">
        <v>892</v>
      </c>
      <c r="B771" s="2" t="n">
        <v>45843</v>
      </c>
      <c r="C771" s="3" t="s">
        <v>27</v>
      </c>
      <c r="D771" s="3" t="s">
        <v>31</v>
      </c>
      <c r="E771" s="3" t="s">
        <v>15</v>
      </c>
      <c r="F771" s="3" t="s">
        <v>22</v>
      </c>
      <c r="G771" s="0" t="n">
        <v>339</v>
      </c>
      <c r="H771" s="0" t="n">
        <v>0</v>
      </c>
      <c r="I771" s="0" t="n">
        <v>20</v>
      </c>
      <c r="J771" s="0" t="n">
        <v>41</v>
      </c>
      <c r="K771" s="0" t="n">
        <v>3.3</v>
      </c>
      <c r="L771" s="3" t="s">
        <v>17</v>
      </c>
    </row>
    <row r="772" customFormat="false" ht="15" hidden="false" customHeight="false" outlineLevel="0" collapsed="false">
      <c r="A772" s="0" t="s">
        <v>893</v>
      </c>
      <c r="B772" s="2" t="n">
        <v>45930</v>
      </c>
      <c r="C772" s="3" t="s">
        <v>13</v>
      </c>
      <c r="D772" s="3" t="s">
        <v>78</v>
      </c>
      <c r="E772" s="3" t="s">
        <v>21</v>
      </c>
      <c r="F772" s="3" t="s">
        <v>22</v>
      </c>
      <c r="G772" s="0" t="n">
        <v>296</v>
      </c>
      <c r="H772" s="0" t="n">
        <v>0</v>
      </c>
      <c r="I772" s="0" t="n">
        <v>40</v>
      </c>
      <c r="J772" s="0" t="n">
        <v>36</v>
      </c>
      <c r="K772" s="0" t="n">
        <v>3.4</v>
      </c>
      <c r="L772" s="3" t="s">
        <v>17</v>
      </c>
    </row>
    <row r="773" customFormat="false" ht="15" hidden="false" customHeight="false" outlineLevel="0" collapsed="false">
      <c r="A773" s="0" t="s">
        <v>894</v>
      </c>
      <c r="B773" s="2" t="n">
        <v>45723</v>
      </c>
      <c r="C773" s="3" t="s">
        <v>694</v>
      </c>
      <c r="D773" s="3" t="s">
        <v>25</v>
      </c>
      <c r="E773" s="3" t="s">
        <v>21</v>
      </c>
      <c r="F773" s="3" t="s">
        <v>34</v>
      </c>
      <c r="H773" s="0" t="n">
        <v>0</v>
      </c>
      <c r="I773" s="0" t="n">
        <v>40</v>
      </c>
      <c r="J773" s="0" t="n">
        <v>33</v>
      </c>
      <c r="K773" s="0" t="n">
        <v>4.1</v>
      </c>
      <c r="L773" s="3" t="s">
        <v>17</v>
      </c>
    </row>
    <row r="774" customFormat="false" ht="15" hidden="false" customHeight="false" outlineLevel="0" collapsed="false">
      <c r="A774" s="0" t="s">
        <v>895</v>
      </c>
      <c r="B774" s="2" t="n">
        <v>45678</v>
      </c>
      <c r="C774" s="3" t="s">
        <v>27</v>
      </c>
      <c r="D774" s="3" t="s">
        <v>31</v>
      </c>
      <c r="E774" s="3" t="s">
        <v>15</v>
      </c>
      <c r="F774" s="3" t="s">
        <v>54</v>
      </c>
      <c r="G774" s="0" t="n">
        <v>395</v>
      </c>
      <c r="H774" s="0" t="n">
        <v>92</v>
      </c>
      <c r="I774" s="0" t="n">
        <v>30</v>
      </c>
      <c r="J774" s="0" t="n">
        <v>34</v>
      </c>
      <c r="K774" s="0" t="n">
        <v>4.2</v>
      </c>
      <c r="L774" s="3" t="s">
        <v>17</v>
      </c>
    </row>
    <row r="775" customFormat="false" ht="15" hidden="false" customHeight="false" outlineLevel="0" collapsed="false">
      <c r="A775" s="0" t="s">
        <v>896</v>
      </c>
      <c r="B775" s="2" t="n">
        <v>45717</v>
      </c>
      <c r="C775" s="3" t="s">
        <v>40</v>
      </c>
      <c r="D775" s="3" t="s">
        <v>25</v>
      </c>
      <c r="E775" s="3" t="s">
        <v>21</v>
      </c>
      <c r="F775" s="3" t="s">
        <v>36</v>
      </c>
      <c r="G775" s="0" t="n">
        <v>374</v>
      </c>
      <c r="H775" s="0" t="n">
        <v>0</v>
      </c>
      <c r="I775" s="0" t="n">
        <v>45</v>
      </c>
      <c r="J775" s="0" t="n">
        <v>30</v>
      </c>
      <c r="K775" s="0" t="n">
        <v>4.7</v>
      </c>
      <c r="L775" s="3" t="s">
        <v>17</v>
      </c>
    </row>
    <row r="776" customFormat="false" ht="15" hidden="false" customHeight="false" outlineLevel="0" collapsed="false">
      <c r="A776" s="0" t="s">
        <v>897</v>
      </c>
      <c r="B776" s="2" t="n">
        <v>45997</v>
      </c>
      <c r="C776" s="3" t="s">
        <v>27</v>
      </c>
      <c r="D776" s="3" t="s">
        <v>31</v>
      </c>
      <c r="E776" s="3" t="s">
        <v>21</v>
      </c>
      <c r="F776" s="3" t="s">
        <v>22</v>
      </c>
      <c r="G776" s="0" t="n">
        <v>510</v>
      </c>
      <c r="H776" s="0" t="n">
        <v>0</v>
      </c>
      <c r="I776" s="0" t="n">
        <v>0</v>
      </c>
      <c r="J776" s="0" t="n">
        <v>33</v>
      </c>
      <c r="K776" s="0" t="n">
        <v>4.3</v>
      </c>
      <c r="L776" s="3" t="s">
        <v>17</v>
      </c>
    </row>
    <row r="777" customFormat="false" ht="15" hidden="false" customHeight="false" outlineLevel="0" collapsed="false">
      <c r="A777" s="0" t="s">
        <v>898</v>
      </c>
      <c r="B777" s="2" t="n">
        <v>45662</v>
      </c>
      <c r="C777" s="3" t="s">
        <v>40</v>
      </c>
      <c r="D777" s="3" t="s">
        <v>14</v>
      </c>
      <c r="E777" s="3" t="s">
        <v>15</v>
      </c>
      <c r="F777" s="3" t="s">
        <v>34</v>
      </c>
      <c r="G777" s="0" t="n">
        <v>261</v>
      </c>
      <c r="H777" s="0" t="n">
        <v>28</v>
      </c>
      <c r="I777" s="0" t="n">
        <v>30</v>
      </c>
      <c r="J777" s="0" t="n">
        <v>37</v>
      </c>
      <c r="K777" s="0" t="n">
        <v>4.6</v>
      </c>
      <c r="L777" s="3" t="s">
        <v>17</v>
      </c>
    </row>
    <row r="778" customFormat="false" ht="15" hidden="false" customHeight="false" outlineLevel="0" collapsed="false">
      <c r="A778" s="0" t="s">
        <v>899</v>
      </c>
      <c r="B778" s="2" t="n">
        <v>45738</v>
      </c>
      <c r="C778" s="3" t="s">
        <v>76</v>
      </c>
      <c r="D778" s="3" t="s">
        <v>56</v>
      </c>
      <c r="E778" s="3" t="s">
        <v>15</v>
      </c>
      <c r="F778" s="3" t="s">
        <v>36</v>
      </c>
      <c r="G778" s="0" t="n">
        <v>355</v>
      </c>
      <c r="H778" s="0" t="n">
        <v>89</v>
      </c>
      <c r="I778" s="0" t="n">
        <v>45</v>
      </c>
      <c r="L778" s="3" t="s">
        <v>68</v>
      </c>
    </row>
    <row r="779" customFormat="false" ht="15" hidden="false" customHeight="false" outlineLevel="0" collapsed="false">
      <c r="A779" s="0" t="s">
        <v>900</v>
      </c>
      <c r="B779" s="2" t="n">
        <v>45671</v>
      </c>
      <c r="C779" s="3" t="s">
        <v>27</v>
      </c>
      <c r="D779" s="3" t="s">
        <v>25</v>
      </c>
      <c r="E779" s="3" t="s">
        <v>21</v>
      </c>
      <c r="F779" s="3" t="s">
        <v>16</v>
      </c>
      <c r="G779" s="0" t="n">
        <v>536</v>
      </c>
      <c r="H779" s="0" t="n">
        <v>0</v>
      </c>
      <c r="I779" s="0" t="n">
        <v>0</v>
      </c>
      <c r="J779" s="0" t="n">
        <v>32</v>
      </c>
      <c r="K779" s="0" t="n">
        <v>4.4</v>
      </c>
      <c r="L779" s="3" t="s">
        <v>17</v>
      </c>
    </row>
    <row r="780" customFormat="false" ht="15" hidden="false" customHeight="false" outlineLevel="0" collapsed="false">
      <c r="A780" s="0" t="s">
        <v>901</v>
      </c>
      <c r="B780" s="2" t="n">
        <v>45706</v>
      </c>
      <c r="C780" s="3" t="s">
        <v>13</v>
      </c>
      <c r="D780" s="3" t="s">
        <v>28</v>
      </c>
      <c r="E780" s="3" t="s">
        <v>21</v>
      </c>
      <c r="F780" s="3" t="s">
        <v>36</v>
      </c>
      <c r="G780" s="0" t="n">
        <v>557</v>
      </c>
      <c r="H780" s="0" t="n">
        <v>0</v>
      </c>
      <c r="I780" s="0" t="n">
        <v>0</v>
      </c>
      <c r="J780" s="0" t="n">
        <v>34</v>
      </c>
      <c r="K780" s="0" t="n">
        <v>4</v>
      </c>
      <c r="L780" s="3" t="s">
        <v>17</v>
      </c>
    </row>
    <row r="781" customFormat="false" ht="15" hidden="false" customHeight="false" outlineLevel="0" collapsed="false">
      <c r="A781" s="0" t="s">
        <v>902</v>
      </c>
      <c r="B781" s="2" t="n">
        <v>45899</v>
      </c>
      <c r="C781" s="3" t="s">
        <v>45</v>
      </c>
      <c r="D781" s="3" t="s">
        <v>20</v>
      </c>
      <c r="E781" s="3" t="s">
        <v>21</v>
      </c>
      <c r="F781" s="3" t="s">
        <v>22</v>
      </c>
      <c r="G781" s="0" t="n">
        <v>498</v>
      </c>
      <c r="H781" s="0" t="n">
        <v>0</v>
      </c>
      <c r="I781" s="0" t="n">
        <v>20</v>
      </c>
      <c r="J781" s="0" t="n">
        <v>29</v>
      </c>
      <c r="K781" s="0" t="n">
        <v>5</v>
      </c>
      <c r="L781" s="3" t="s">
        <v>17</v>
      </c>
    </row>
    <row r="782" customFormat="false" ht="15" hidden="false" customHeight="false" outlineLevel="0" collapsed="false">
      <c r="A782" s="0" t="s">
        <v>903</v>
      </c>
      <c r="B782" s="2" t="n">
        <v>45759</v>
      </c>
      <c r="C782" s="3" t="s">
        <v>13</v>
      </c>
      <c r="D782" s="3" t="s">
        <v>49</v>
      </c>
      <c r="E782" s="3" t="s">
        <v>21</v>
      </c>
      <c r="F782" s="3" t="s">
        <v>22</v>
      </c>
      <c r="G782" s="0" t="n">
        <v>385</v>
      </c>
      <c r="H782" s="0" t="n">
        <v>0</v>
      </c>
      <c r="I782" s="0" t="n">
        <v>40</v>
      </c>
      <c r="J782" s="0" t="n">
        <v>41</v>
      </c>
      <c r="K782" s="0" t="n">
        <v>3.4</v>
      </c>
      <c r="L782" s="3" t="s">
        <v>17</v>
      </c>
    </row>
    <row r="783" customFormat="false" ht="15" hidden="false" customHeight="false" outlineLevel="0" collapsed="false">
      <c r="A783" s="0" t="s">
        <v>904</v>
      </c>
      <c r="B783" s="2" t="n">
        <v>45881</v>
      </c>
      <c r="C783" s="3" t="s">
        <v>27</v>
      </c>
      <c r="D783" s="3" t="s">
        <v>78</v>
      </c>
      <c r="E783" s="3" t="s">
        <v>21</v>
      </c>
      <c r="F783" s="3" t="s">
        <v>34</v>
      </c>
      <c r="G783" s="0" t="n">
        <v>299</v>
      </c>
      <c r="H783" s="0" t="n">
        <v>0</v>
      </c>
      <c r="I783" s="0" t="n">
        <v>45</v>
      </c>
      <c r="J783" s="0" t="n">
        <v>56</v>
      </c>
      <c r="K783" s="0" t="n">
        <v>3.9</v>
      </c>
      <c r="L783" s="3" t="s">
        <v>17</v>
      </c>
    </row>
    <row r="784" customFormat="false" ht="15" hidden="false" customHeight="false" outlineLevel="0" collapsed="false">
      <c r="A784" s="0" t="s">
        <v>905</v>
      </c>
      <c r="B784" s="0" t="s">
        <v>906</v>
      </c>
      <c r="C784" s="0" t="s">
        <v>13</v>
      </c>
      <c r="D784" s="0" t="s">
        <v>28</v>
      </c>
      <c r="E784" s="0" t="s">
        <v>21</v>
      </c>
      <c r="F784" s="0" t="s">
        <v>16</v>
      </c>
      <c r="G784" s="0" t="n">
        <v>524</v>
      </c>
      <c r="H784" s="0" t="n">
        <v>78</v>
      </c>
      <c r="I784" s="0" t="n">
        <v>0</v>
      </c>
      <c r="J784" s="0" t="n">
        <v>36</v>
      </c>
      <c r="K784" s="0" t="n">
        <v>4.2</v>
      </c>
      <c r="L784" s="0" t="s">
        <v>17</v>
      </c>
    </row>
    <row r="785" customFormat="false" ht="15" hidden="false" customHeight="false" outlineLevel="0" collapsed="false">
      <c r="A785" s="0" t="s">
        <v>907</v>
      </c>
      <c r="B785" s="2" t="n">
        <v>45975</v>
      </c>
      <c r="C785" s="3" t="s">
        <v>45</v>
      </c>
      <c r="D785" s="3" t="s">
        <v>14</v>
      </c>
      <c r="E785" s="3" t="s">
        <v>21</v>
      </c>
      <c r="F785" s="3" t="s">
        <v>54</v>
      </c>
      <c r="G785" s="0" t="n">
        <v>266</v>
      </c>
      <c r="H785" s="0" t="n">
        <v>0</v>
      </c>
      <c r="I785" s="0" t="n">
        <v>20</v>
      </c>
      <c r="J785" s="0" t="n">
        <v>25</v>
      </c>
      <c r="K785" s="0" t="n">
        <v>4.9</v>
      </c>
      <c r="L785" s="3" t="s">
        <v>17</v>
      </c>
    </row>
    <row r="786" customFormat="false" ht="15" hidden="false" customHeight="false" outlineLevel="0" collapsed="false">
      <c r="A786" s="0" t="s">
        <v>908</v>
      </c>
      <c r="B786" s="2" t="n">
        <v>45660</v>
      </c>
      <c r="C786" s="3" t="s">
        <v>45</v>
      </c>
      <c r="D786" s="3" t="s">
        <v>14</v>
      </c>
      <c r="E786" s="3" t="s">
        <v>21</v>
      </c>
      <c r="F786" s="3" t="s">
        <v>16</v>
      </c>
      <c r="G786" s="0" t="n">
        <v>347</v>
      </c>
      <c r="H786" s="0" t="n">
        <v>0</v>
      </c>
      <c r="I786" s="0" t="n">
        <v>30</v>
      </c>
      <c r="J786" s="0" t="n">
        <v>35</v>
      </c>
      <c r="K786" s="0" t="n">
        <v>4.3</v>
      </c>
      <c r="L786" s="3" t="s">
        <v>17</v>
      </c>
    </row>
    <row r="787" customFormat="false" ht="15" hidden="false" customHeight="false" outlineLevel="0" collapsed="false">
      <c r="A787" s="0" t="s">
        <v>909</v>
      </c>
      <c r="B787" s="0" t="s">
        <v>354</v>
      </c>
      <c r="C787" s="0" t="s">
        <v>40</v>
      </c>
      <c r="D787" s="0" t="s">
        <v>56</v>
      </c>
      <c r="E787" s="0" t="s">
        <v>21</v>
      </c>
      <c r="F787" s="0" t="s">
        <v>22</v>
      </c>
      <c r="G787" s="0" t="n">
        <v>538</v>
      </c>
      <c r="H787" s="0" t="n">
        <v>0</v>
      </c>
      <c r="I787" s="0" t="n">
        <v>0</v>
      </c>
      <c r="J787" s="0" t="n">
        <v>38</v>
      </c>
      <c r="K787" s="0" t="n">
        <v>4.2</v>
      </c>
      <c r="L787" s="0" t="s">
        <v>17</v>
      </c>
    </row>
    <row r="788" customFormat="false" ht="15" hidden="false" customHeight="false" outlineLevel="0" collapsed="false">
      <c r="A788" s="0" t="s">
        <v>910</v>
      </c>
      <c r="B788" s="2" t="n">
        <v>45899</v>
      </c>
      <c r="C788" s="3" t="s">
        <v>27</v>
      </c>
      <c r="D788" s="3" t="s">
        <v>28</v>
      </c>
      <c r="E788" s="3" t="s">
        <v>21</v>
      </c>
      <c r="F788" s="3" t="s">
        <v>22</v>
      </c>
      <c r="G788" s="0" t="n">
        <v>312</v>
      </c>
      <c r="H788" s="0" t="n">
        <v>0</v>
      </c>
      <c r="I788" s="0" t="n">
        <v>20</v>
      </c>
      <c r="J788" s="0" t="n">
        <v>40</v>
      </c>
      <c r="K788" s="0" t="n">
        <v>4</v>
      </c>
      <c r="L788" s="3" t="s">
        <v>17</v>
      </c>
    </row>
    <row r="789" customFormat="false" ht="15" hidden="false" customHeight="false" outlineLevel="0" collapsed="false">
      <c r="A789" s="0" t="s">
        <v>911</v>
      </c>
      <c r="B789" s="2" t="n">
        <v>45728</v>
      </c>
      <c r="C789" s="3" t="s">
        <v>24</v>
      </c>
      <c r="D789" s="3" t="s">
        <v>31</v>
      </c>
      <c r="E789" s="3" t="s">
        <v>21</v>
      </c>
      <c r="F789" s="3" t="s">
        <v>16</v>
      </c>
      <c r="G789" s="0" t="n">
        <v>518</v>
      </c>
      <c r="H789" s="0" t="n">
        <v>0</v>
      </c>
      <c r="I789" s="0" t="n">
        <v>0</v>
      </c>
      <c r="L789" s="3" t="s">
        <v>68</v>
      </c>
    </row>
    <row r="790" customFormat="false" ht="15" hidden="false" customHeight="false" outlineLevel="0" collapsed="false">
      <c r="A790" s="0" t="s">
        <v>912</v>
      </c>
      <c r="B790" s="2" t="n">
        <v>45950</v>
      </c>
      <c r="C790" s="3" t="s">
        <v>45</v>
      </c>
      <c r="D790" s="3" t="s">
        <v>28</v>
      </c>
      <c r="E790" s="3" t="s">
        <v>15</v>
      </c>
      <c r="F790" s="3" t="s">
        <v>22</v>
      </c>
      <c r="G790" s="0" t="n">
        <v>438</v>
      </c>
      <c r="H790" s="0" t="n">
        <v>66</v>
      </c>
      <c r="I790" s="0" t="n">
        <v>40</v>
      </c>
      <c r="J790" s="0" t="n">
        <v>27</v>
      </c>
      <c r="L790" s="3" t="s">
        <v>17</v>
      </c>
    </row>
    <row r="791" customFormat="false" ht="15" hidden="false" customHeight="false" outlineLevel="0" collapsed="false">
      <c r="A791" s="0" t="s">
        <v>913</v>
      </c>
      <c r="B791" s="2" t="n">
        <v>45977</v>
      </c>
      <c r="C791" s="3" t="s">
        <v>13</v>
      </c>
      <c r="D791" s="3" t="s">
        <v>78</v>
      </c>
      <c r="E791" s="3" t="s">
        <v>21</v>
      </c>
      <c r="F791" s="3" t="s">
        <v>36</v>
      </c>
      <c r="G791" s="0" t="n">
        <v>423</v>
      </c>
      <c r="H791" s="0" t="n">
        <v>0</v>
      </c>
      <c r="I791" s="0" t="n">
        <v>45</v>
      </c>
      <c r="J791" s="0" t="n">
        <v>32</v>
      </c>
      <c r="K791" s="0" t="n">
        <v>5</v>
      </c>
      <c r="L791" s="3" t="s">
        <v>17</v>
      </c>
    </row>
    <row r="792" customFormat="false" ht="15" hidden="false" customHeight="false" outlineLevel="0" collapsed="false">
      <c r="A792" s="0" t="s">
        <v>914</v>
      </c>
      <c r="B792" s="2" t="n">
        <v>45765</v>
      </c>
      <c r="C792" s="3" t="s">
        <v>27</v>
      </c>
      <c r="D792" s="3" t="s">
        <v>31</v>
      </c>
      <c r="E792" s="3" t="s">
        <v>21</v>
      </c>
      <c r="F792" s="3" t="s">
        <v>22</v>
      </c>
      <c r="G792" s="0" t="n">
        <v>315</v>
      </c>
      <c r="H792" s="0" t="n">
        <v>0</v>
      </c>
      <c r="I792" s="0" t="n">
        <v>30</v>
      </c>
      <c r="J792" s="0" t="n">
        <v>48</v>
      </c>
      <c r="K792" s="0" t="n">
        <v>4.1</v>
      </c>
      <c r="L792" s="3" t="s">
        <v>17</v>
      </c>
    </row>
    <row r="793" customFormat="false" ht="15" hidden="false" customHeight="false" outlineLevel="0" collapsed="false">
      <c r="A793" s="0" t="s">
        <v>915</v>
      </c>
      <c r="B793" s="2" t="n">
        <v>45997</v>
      </c>
      <c r="C793" s="3" t="s">
        <v>40</v>
      </c>
      <c r="D793" s="3" t="s">
        <v>14</v>
      </c>
      <c r="E793" s="3" t="s">
        <v>15</v>
      </c>
      <c r="F793" s="3" t="s">
        <v>22</v>
      </c>
      <c r="G793" s="0" t="n">
        <v>360</v>
      </c>
      <c r="H793" s="0" t="n">
        <v>70</v>
      </c>
      <c r="I793" s="0" t="n">
        <v>40</v>
      </c>
      <c r="J793" s="0" t="n">
        <v>42</v>
      </c>
      <c r="K793" s="0" t="n">
        <v>4.1</v>
      </c>
      <c r="L793" s="3" t="s">
        <v>17</v>
      </c>
    </row>
    <row r="794" customFormat="false" ht="15" hidden="false" customHeight="false" outlineLevel="0" collapsed="false">
      <c r="A794" s="0" t="s">
        <v>916</v>
      </c>
      <c r="B794" s="2" t="n">
        <v>45841</v>
      </c>
      <c r="C794" s="3" t="s">
        <v>24</v>
      </c>
      <c r="D794" s="3" t="s">
        <v>49</v>
      </c>
      <c r="E794" s="3" t="s">
        <v>21</v>
      </c>
      <c r="F794" s="3" t="s">
        <v>34</v>
      </c>
      <c r="G794" s="0" t="n">
        <v>377</v>
      </c>
      <c r="H794" s="0" t="n">
        <v>0</v>
      </c>
      <c r="I794" s="0" t="n">
        <v>45</v>
      </c>
      <c r="J794" s="0" t="n">
        <v>49</v>
      </c>
      <c r="K794" s="0" t="n">
        <v>3.9</v>
      </c>
      <c r="L794" s="3" t="s">
        <v>17</v>
      </c>
    </row>
    <row r="795" customFormat="false" ht="15" hidden="false" customHeight="false" outlineLevel="0" collapsed="false">
      <c r="A795" s="0" t="s">
        <v>917</v>
      </c>
      <c r="B795" s="2" t="n">
        <v>45893</v>
      </c>
      <c r="C795" s="3" t="s">
        <v>13</v>
      </c>
      <c r="D795" s="3" t="s">
        <v>25</v>
      </c>
      <c r="E795" s="3" t="s">
        <v>21</v>
      </c>
      <c r="F795" s="3" t="s">
        <v>22</v>
      </c>
      <c r="G795" s="0" t="n">
        <v>474</v>
      </c>
      <c r="H795" s="0" t="n">
        <v>0</v>
      </c>
      <c r="I795" s="0" t="n">
        <v>20</v>
      </c>
      <c r="J795" s="0" t="n">
        <v>38</v>
      </c>
      <c r="K795" s="0" t="n">
        <v>4.5</v>
      </c>
      <c r="L795" s="3" t="s">
        <v>17</v>
      </c>
    </row>
    <row r="796" customFormat="false" ht="15" hidden="false" customHeight="false" outlineLevel="0" collapsed="false">
      <c r="A796" s="0" t="s">
        <v>918</v>
      </c>
      <c r="B796" s="2" t="n">
        <v>46018</v>
      </c>
      <c r="C796" s="3" t="s">
        <v>24</v>
      </c>
      <c r="D796" s="3" t="s">
        <v>56</v>
      </c>
      <c r="E796" s="3" t="s">
        <v>15</v>
      </c>
      <c r="F796" s="3" t="s">
        <v>34</v>
      </c>
      <c r="G796" s="0" t="n">
        <v>385</v>
      </c>
      <c r="H796" s="0" t="n">
        <v>57</v>
      </c>
      <c r="I796" s="0" t="n">
        <v>45</v>
      </c>
      <c r="J796" s="0" t="n">
        <v>39</v>
      </c>
      <c r="K796" s="0" t="n">
        <v>3.9</v>
      </c>
      <c r="L796" s="3" t="s">
        <v>17</v>
      </c>
    </row>
    <row r="797" customFormat="false" ht="15" hidden="false" customHeight="false" outlineLevel="0" collapsed="false">
      <c r="A797" s="0" t="s">
        <v>919</v>
      </c>
      <c r="B797" s="2" t="n">
        <v>45806</v>
      </c>
      <c r="C797" s="3" t="s">
        <v>40</v>
      </c>
      <c r="D797" s="3" t="s">
        <v>49</v>
      </c>
      <c r="E797" s="3" t="s">
        <v>15</v>
      </c>
      <c r="F797" s="3" t="s">
        <v>16</v>
      </c>
      <c r="G797" s="0" t="n">
        <v>657</v>
      </c>
      <c r="H797" s="0" t="n">
        <v>151</v>
      </c>
      <c r="I797" s="0" t="n">
        <v>0</v>
      </c>
      <c r="J797" s="0" t="n">
        <v>36</v>
      </c>
      <c r="K797" s="0" t="n">
        <v>4.3</v>
      </c>
      <c r="L797" s="3" t="s">
        <v>17</v>
      </c>
    </row>
    <row r="798" customFormat="false" ht="15" hidden="false" customHeight="false" outlineLevel="0" collapsed="false">
      <c r="A798" s="0" t="s">
        <v>920</v>
      </c>
      <c r="B798" s="2" t="n">
        <v>45963</v>
      </c>
      <c r="C798" s="3" t="s">
        <v>45</v>
      </c>
      <c r="D798" s="3" t="s">
        <v>78</v>
      </c>
      <c r="E798" s="3" t="s">
        <v>21</v>
      </c>
      <c r="F798" s="3" t="s">
        <v>16</v>
      </c>
      <c r="G798" s="0" t="n">
        <v>342</v>
      </c>
      <c r="H798" s="0" t="n">
        <v>0</v>
      </c>
      <c r="I798" s="0" t="n">
        <v>40</v>
      </c>
      <c r="J798" s="0" t="n">
        <v>23</v>
      </c>
      <c r="K798" s="0" t="n">
        <v>4.6</v>
      </c>
      <c r="L798" s="3" t="s">
        <v>17</v>
      </c>
    </row>
    <row r="799" customFormat="false" ht="15" hidden="false" customHeight="false" outlineLevel="0" collapsed="false">
      <c r="A799" s="0" t="s">
        <v>921</v>
      </c>
      <c r="B799" s="2" t="n">
        <v>45789</v>
      </c>
      <c r="C799" s="3" t="s">
        <v>30</v>
      </c>
      <c r="D799" s="3" t="s">
        <v>31</v>
      </c>
      <c r="E799" s="3" t="s">
        <v>21</v>
      </c>
      <c r="F799" s="3" t="s">
        <v>36</v>
      </c>
      <c r="G799" s="0" t="n">
        <v>486</v>
      </c>
      <c r="H799" s="0" t="n">
        <v>0</v>
      </c>
      <c r="I799" s="0" t="n">
        <v>45</v>
      </c>
      <c r="J799" s="0" t="n">
        <v>27</v>
      </c>
      <c r="K799" s="0" t="n">
        <v>4.6</v>
      </c>
      <c r="L799" s="3" t="s">
        <v>17</v>
      </c>
    </row>
    <row r="800" customFormat="false" ht="15" hidden="false" customHeight="false" outlineLevel="0" collapsed="false">
      <c r="A800" s="0" t="s">
        <v>922</v>
      </c>
      <c r="B800" s="2" t="n">
        <v>45959</v>
      </c>
      <c r="C800" s="3" t="s">
        <v>40</v>
      </c>
      <c r="D800" s="3" t="s">
        <v>25</v>
      </c>
      <c r="E800" s="3" t="s">
        <v>15</v>
      </c>
      <c r="F800" s="3" t="s">
        <v>36</v>
      </c>
      <c r="G800" s="0" t="n">
        <v>487</v>
      </c>
      <c r="H800" s="0" t="n">
        <v>101</v>
      </c>
      <c r="I800" s="0" t="n">
        <v>45</v>
      </c>
      <c r="J800" s="0" t="n">
        <v>33</v>
      </c>
      <c r="K800" s="0" t="n">
        <v>4.5</v>
      </c>
      <c r="L800" s="3" t="s">
        <v>17</v>
      </c>
    </row>
    <row r="801" customFormat="false" ht="15" hidden="false" customHeight="false" outlineLevel="0" collapsed="false">
      <c r="A801" s="0" t="s">
        <v>923</v>
      </c>
      <c r="B801" s="2" t="n">
        <v>45892</v>
      </c>
      <c r="C801" s="3" t="s">
        <v>24</v>
      </c>
      <c r="D801" s="3" t="s">
        <v>28</v>
      </c>
      <c r="E801" s="3" t="s">
        <v>21</v>
      </c>
      <c r="F801" s="3" t="s">
        <v>36</v>
      </c>
      <c r="G801" s="0" t="n">
        <v>438</v>
      </c>
      <c r="H801" s="0" t="n">
        <v>0</v>
      </c>
      <c r="I801" s="0" t="n">
        <v>30</v>
      </c>
      <c r="J801" s="0" t="n">
        <v>18</v>
      </c>
      <c r="K801" s="0" t="n">
        <v>4.9</v>
      </c>
      <c r="L801" s="3" t="s">
        <v>17</v>
      </c>
    </row>
    <row r="802" customFormat="false" ht="15" hidden="false" customHeight="false" outlineLevel="0" collapsed="false">
      <c r="A802" s="0" t="s">
        <v>924</v>
      </c>
      <c r="B802" s="2" t="n">
        <v>45750</v>
      </c>
      <c r="C802" s="3" t="s">
        <v>19</v>
      </c>
      <c r="D802" s="3" t="s">
        <v>25</v>
      </c>
      <c r="E802" s="3" t="s">
        <v>15</v>
      </c>
      <c r="F802" s="3" t="s">
        <v>22</v>
      </c>
      <c r="G802" s="0" t="n">
        <v>342</v>
      </c>
      <c r="H802" s="0" t="n">
        <v>0</v>
      </c>
      <c r="I802" s="0" t="n">
        <v>40</v>
      </c>
      <c r="J802" s="0" t="n">
        <v>21</v>
      </c>
      <c r="K802" s="0" t="n">
        <v>4.7</v>
      </c>
      <c r="L802" s="3" t="s">
        <v>17</v>
      </c>
    </row>
    <row r="803" customFormat="false" ht="15" hidden="false" customHeight="false" outlineLevel="0" collapsed="false">
      <c r="A803" s="0" t="s">
        <v>925</v>
      </c>
      <c r="B803" s="2" t="n">
        <v>45826</v>
      </c>
      <c r="C803" s="3" t="s">
        <v>926</v>
      </c>
      <c r="D803" s="3" t="s">
        <v>25</v>
      </c>
      <c r="E803" s="3" t="s">
        <v>21</v>
      </c>
      <c r="F803" s="3" t="s">
        <v>22</v>
      </c>
      <c r="G803" s="0" t="n">
        <v>419</v>
      </c>
      <c r="H803" s="0" t="n">
        <v>0</v>
      </c>
      <c r="I803" s="0" t="n">
        <v>20</v>
      </c>
      <c r="J803" s="0" t="n">
        <v>44</v>
      </c>
      <c r="K803" s="0" t="n">
        <v>4.8</v>
      </c>
      <c r="L803" s="3" t="s">
        <v>17</v>
      </c>
    </row>
    <row r="804" customFormat="false" ht="15" hidden="false" customHeight="false" outlineLevel="0" collapsed="false">
      <c r="A804" s="0" t="s">
        <v>927</v>
      </c>
      <c r="B804" s="2" t="n">
        <v>45789</v>
      </c>
      <c r="C804" s="3" t="s">
        <v>27</v>
      </c>
      <c r="D804" s="3" t="s">
        <v>31</v>
      </c>
      <c r="E804" s="3" t="s">
        <v>21</v>
      </c>
      <c r="F804" s="3" t="s">
        <v>36</v>
      </c>
      <c r="G804" s="0" t="n">
        <v>304</v>
      </c>
      <c r="H804" s="0" t="n">
        <v>72</v>
      </c>
      <c r="I804" s="0" t="n">
        <v>30</v>
      </c>
      <c r="J804" s="0" t="n">
        <v>45</v>
      </c>
      <c r="K804" s="0" t="n">
        <v>4.2</v>
      </c>
      <c r="L804" s="3" t="s">
        <v>17</v>
      </c>
    </row>
    <row r="805" customFormat="false" ht="15" hidden="false" customHeight="false" outlineLevel="0" collapsed="false">
      <c r="A805" s="0" t="s">
        <v>928</v>
      </c>
      <c r="B805" s="2" t="n">
        <v>45692</v>
      </c>
      <c r="C805" s="3" t="s">
        <v>24</v>
      </c>
      <c r="D805" s="3" t="s">
        <v>31</v>
      </c>
      <c r="E805" s="3" t="s">
        <v>21</v>
      </c>
      <c r="F805" s="3" t="s">
        <v>34</v>
      </c>
      <c r="G805" s="0" t="n">
        <v>573</v>
      </c>
      <c r="H805" s="0" t="n">
        <v>0</v>
      </c>
      <c r="I805" s="0" t="n">
        <v>0</v>
      </c>
      <c r="L805" s="3" t="s">
        <v>68</v>
      </c>
    </row>
    <row r="806" customFormat="false" ht="15" hidden="false" customHeight="false" outlineLevel="0" collapsed="false">
      <c r="A806" s="0" t="s">
        <v>929</v>
      </c>
      <c r="B806" s="2" t="n">
        <v>45671</v>
      </c>
      <c r="C806" s="3" t="s">
        <v>24</v>
      </c>
      <c r="D806" s="3" t="s">
        <v>20</v>
      </c>
      <c r="E806" s="3" t="s">
        <v>21</v>
      </c>
      <c r="F806" s="3" t="s">
        <v>34</v>
      </c>
      <c r="G806" s="0" t="n">
        <v>491</v>
      </c>
      <c r="H806" s="0" t="n">
        <v>58</v>
      </c>
      <c r="I806" s="0" t="n">
        <v>20</v>
      </c>
      <c r="J806" s="0" t="n">
        <v>39</v>
      </c>
      <c r="K806" s="0" t="n">
        <v>4.2</v>
      </c>
      <c r="L806" s="3" t="s">
        <v>17</v>
      </c>
    </row>
    <row r="807" customFormat="false" ht="15" hidden="false" customHeight="false" outlineLevel="0" collapsed="false">
      <c r="A807" s="0" t="s">
        <v>930</v>
      </c>
      <c r="B807" s="2" t="n">
        <v>45800</v>
      </c>
      <c r="C807" s="3" t="s">
        <v>40</v>
      </c>
      <c r="D807" s="3" t="s">
        <v>20</v>
      </c>
      <c r="E807" s="3" t="s">
        <v>21</v>
      </c>
      <c r="F807" s="3" t="s">
        <v>16</v>
      </c>
      <c r="G807" s="0" t="n">
        <v>378</v>
      </c>
      <c r="H807" s="0" t="n">
        <v>0</v>
      </c>
      <c r="I807" s="0" t="n">
        <v>20</v>
      </c>
      <c r="J807" s="0" t="n">
        <v>24</v>
      </c>
      <c r="K807" s="0" t="n">
        <v>5</v>
      </c>
      <c r="L807" s="3" t="s">
        <v>17</v>
      </c>
    </row>
    <row r="808" customFormat="false" ht="15" hidden="false" customHeight="false" outlineLevel="0" collapsed="false">
      <c r="A808" s="0" t="s">
        <v>931</v>
      </c>
      <c r="B808" s="2" t="n">
        <v>45666</v>
      </c>
      <c r="C808" s="3" t="s">
        <v>13</v>
      </c>
      <c r="D808" s="3" t="s">
        <v>20</v>
      </c>
      <c r="E808" s="3" t="s">
        <v>21</v>
      </c>
      <c r="F808" s="3" t="s">
        <v>36</v>
      </c>
      <c r="G808" s="0" t="n">
        <v>713</v>
      </c>
      <c r="H808" s="0" t="n">
        <v>0</v>
      </c>
      <c r="I808" s="0" t="n">
        <v>0</v>
      </c>
      <c r="J808" s="0" t="n">
        <v>35</v>
      </c>
      <c r="K808" s="0" t="n">
        <v>3.9</v>
      </c>
      <c r="L808" s="3" t="s">
        <v>17</v>
      </c>
    </row>
    <row r="809" customFormat="false" ht="15" hidden="false" customHeight="false" outlineLevel="0" collapsed="false">
      <c r="A809" s="0" t="s">
        <v>932</v>
      </c>
      <c r="B809" s="2" t="n">
        <v>45729</v>
      </c>
      <c r="C809" s="3" t="s">
        <v>40</v>
      </c>
      <c r="D809" s="3" t="s">
        <v>28</v>
      </c>
      <c r="E809" s="3" t="s">
        <v>15</v>
      </c>
      <c r="F809" s="3" t="s">
        <v>22</v>
      </c>
      <c r="G809" s="0" t="n">
        <v>332</v>
      </c>
      <c r="H809" s="0" t="n">
        <v>52</v>
      </c>
      <c r="I809" s="0" t="n">
        <v>40</v>
      </c>
      <c r="J809" s="0" t="n">
        <v>47</v>
      </c>
      <c r="K809" s="0" t="n">
        <v>4.7</v>
      </c>
      <c r="L809" s="3" t="s">
        <v>17</v>
      </c>
    </row>
    <row r="810" customFormat="false" ht="15" hidden="false" customHeight="false" outlineLevel="0" collapsed="false">
      <c r="A810" s="0" t="s">
        <v>933</v>
      </c>
      <c r="B810" s="2" t="n">
        <v>45935</v>
      </c>
      <c r="C810" s="3" t="s">
        <v>40</v>
      </c>
      <c r="D810" s="3" t="s">
        <v>56</v>
      </c>
      <c r="E810" s="3" t="s">
        <v>15</v>
      </c>
      <c r="F810" s="3" t="s">
        <v>16</v>
      </c>
      <c r="G810" s="0" t="n">
        <v>331</v>
      </c>
      <c r="H810" s="0" t="n">
        <v>60</v>
      </c>
      <c r="I810" s="0" t="n">
        <v>30</v>
      </c>
      <c r="J810" s="0" t="n">
        <v>37</v>
      </c>
      <c r="K810" s="0" t="n">
        <v>3.9</v>
      </c>
      <c r="L810" s="3" t="s">
        <v>17</v>
      </c>
    </row>
    <row r="811" customFormat="false" ht="15" hidden="false" customHeight="false" outlineLevel="0" collapsed="false">
      <c r="A811" s="0" t="s">
        <v>934</v>
      </c>
      <c r="B811" s="2" t="n">
        <v>45929</v>
      </c>
      <c r="C811" s="3" t="s">
        <v>13</v>
      </c>
      <c r="D811" s="3" t="s">
        <v>25</v>
      </c>
      <c r="E811" s="3" t="s">
        <v>15</v>
      </c>
      <c r="F811" s="3" t="s">
        <v>22</v>
      </c>
      <c r="G811" s="0" t="n">
        <v>298</v>
      </c>
      <c r="H811" s="0" t="n">
        <v>61</v>
      </c>
      <c r="I811" s="0" t="n">
        <v>20</v>
      </c>
      <c r="J811" s="0" t="n">
        <v>21</v>
      </c>
      <c r="K811" s="0" t="n">
        <v>4.9</v>
      </c>
      <c r="L811" s="3" t="s">
        <v>17</v>
      </c>
    </row>
    <row r="812" customFormat="false" ht="15" hidden="false" customHeight="false" outlineLevel="0" collapsed="false">
      <c r="A812" s="0" t="s">
        <v>935</v>
      </c>
      <c r="B812" s="2" t="n">
        <v>45939</v>
      </c>
      <c r="C812" s="3" t="s">
        <v>51</v>
      </c>
      <c r="D812" s="3" t="s">
        <v>31</v>
      </c>
      <c r="E812" s="3" t="s">
        <v>21</v>
      </c>
      <c r="F812" s="3" t="s">
        <v>22</v>
      </c>
      <c r="G812" s="0" t="n">
        <v>381</v>
      </c>
      <c r="H812" s="0" t="n">
        <v>0</v>
      </c>
      <c r="I812" s="0" t="n">
        <v>20</v>
      </c>
      <c r="J812" s="0" t="n">
        <v>32</v>
      </c>
      <c r="K812" s="0" t="n">
        <v>4.2</v>
      </c>
      <c r="L812" s="3" t="s">
        <v>17</v>
      </c>
    </row>
    <row r="813" customFormat="false" ht="15" hidden="false" customHeight="false" outlineLevel="0" collapsed="false">
      <c r="A813" s="0" t="s">
        <v>936</v>
      </c>
      <c r="B813" s="2" t="n">
        <v>45789</v>
      </c>
      <c r="C813" s="3" t="s">
        <v>13</v>
      </c>
      <c r="D813" s="3" t="s">
        <v>25</v>
      </c>
      <c r="E813" s="3" t="s">
        <v>58</v>
      </c>
      <c r="F813" s="3" t="s">
        <v>34</v>
      </c>
      <c r="G813" s="0" t="n">
        <v>366</v>
      </c>
      <c r="H813" s="0" t="n">
        <v>44</v>
      </c>
      <c r="I813" s="0" t="n">
        <v>40</v>
      </c>
      <c r="J813" s="0" t="n">
        <v>42</v>
      </c>
      <c r="K813" s="0" t="n">
        <v>4.3</v>
      </c>
      <c r="L813" s="3" t="s">
        <v>17</v>
      </c>
    </row>
    <row r="814" customFormat="false" ht="15" hidden="false" customHeight="false" outlineLevel="0" collapsed="false">
      <c r="A814" s="0" t="s">
        <v>937</v>
      </c>
      <c r="B814" s="2" t="n">
        <v>45988</v>
      </c>
      <c r="C814" s="3" t="s">
        <v>27</v>
      </c>
      <c r="D814" s="3" t="s">
        <v>25</v>
      </c>
      <c r="E814" s="3" t="s">
        <v>21</v>
      </c>
      <c r="F814" s="3" t="s">
        <v>16</v>
      </c>
      <c r="G814" s="0" t="n">
        <v>364</v>
      </c>
      <c r="H814" s="0" t="n">
        <v>0</v>
      </c>
      <c r="I814" s="0" t="n">
        <v>30</v>
      </c>
      <c r="J814" s="0" t="n">
        <v>44</v>
      </c>
      <c r="K814" s="0" t="n">
        <v>3.9</v>
      </c>
      <c r="L814" s="3" t="s">
        <v>17</v>
      </c>
    </row>
    <row r="815" customFormat="false" ht="15" hidden="false" customHeight="false" outlineLevel="0" collapsed="false">
      <c r="A815" s="0" t="s">
        <v>938</v>
      </c>
      <c r="B815" s="2" t="n">
        <v>45890</v>
      </c>
      <c r="C815" s="3" t="s">
        <v>27</v>
      </c>
      <c r="D815" s="3" t="s">
        <v>31</v>
      </c>
      <c r="E815" s="3" t="s">
        <v>15</v>
      </c>
      <c r="F815" s="3" t="s">
        <v>22</v>
      </c>
      <c r="G815" s="0" t="n">
        <v>466</v>
      </c>
      <c r="H815" s="0" t="n">
        <v>77</v>
      </c>
      <c r="I815" s="0" t="n">
        <v>45</v>
      </c>
      <c r="J815" s="0" t="n">
        <v>32</v>
      </c>
      <c r="K815" s="0" t="n">
        <v>4</v>
      </c>
      <c r="L815" s="3" t="s">
        <v>17</v>
      </c>
    </row>
    <row r="816" customFormat="false" ht="15" hidden="false" customHeight="false" outlineLevel="0" collapsed="false">
      <c r="A816" s="0" t="s">
        <v>939</v>
      </c>
      <c r="B816" s="2" t="n">
        <v>45712</v>
      </c>
      <c r="C816" s="3" t="s">
        <v>27</v>
      </c>
      <c r="D816" s="3" t="s">
        <v>31</v>
      </c>
      <c r="E816" s="3" t="s">
        <v>15</v>
      </c>
      <c r="F816" s="3" t="s">
        <v>54</v>
      </c>
      <c r="G816" s="0" t="n">
        <v>375</v>
      </c>
      <c r="H816" s="0" t="n">
        <v>0</v>
      </c>
      <c r="I816" s="0" t="n">
        <v>30</v>
      </c>
      <c r="J816" s="0" t="n">
        <v>59</v>
      </c>
      <c r="K816" s="0" t="n">
        <v>3.5</v>
      </c>
      <c r="L816" s="3" t="s">
        <v>17</v>
      </c>
    </row>
    <row r="817" customFormat="false" ht="15" hidden="false" customHeight="false" outlineLevel="0" collapsed="false">
      <c r="A817" s="0" t="s">
        <v>940</v>
      </c>
      <c r="B817" s="2" t="n">
        <v>45720</v>
      </c>
      <c r="C817" s="3" t="s">
        <v>24</v>
      </c>
      <c r="D817" s="3" t="s">
        <v>31</v>
      </c>
      <c r="E817" s="3" t="s">
        <v>21</v>
      </c>
      <c r="F817" s="3" t="s">
        <v>36</v>
      </c>
      <c r="G817" s="0" t="n">
        <v>305</v>
      </c>
      <c r="H817" s="0" t="n">
        <v>0</v>
      </c>
      <c r="I817" s="0" t="n">
        <v>30</v>
      </c>
      <c r="J817" s="0" t="n">
        <v>27</v>
      </c>
      <c r="K817" s="0" t="n">
        <v>5</v>
      </c>
      <c r="L817" s="3" t="s">
        <v>17</v>
      </c>
    </row>
    <row r="818" customFormat="false" ht="15" hidden="false" customHeight="false" outlineLevel="0" collapsed="false">
      <c r="A818" s="0" t="s">
        <v>941</v>
      </c>
      <c r="B818" s="2" t="n">
        <v>45924</v>
      </c>
      <c r="C818" s="3" t="s">
        <v>27</v>
      </c>
      <c r="D818" s="3" t="s">
        <v>28</v>
      </c>
      <c r="E818" s="3" t="s">
        <v>21</v>
      </c>
      <c r="F818" s="3" t="s">
        <v>16</v>
      </c>
      <c r="G818" s="0" t="n">
        <v>427</v>
      </c>
      <c r="H818" s="0" t="n">
        <v>0</v>
      </c>
      <c r="I818" s="0" t="n">
        <v>20</v>
      </c>
      <c r="J818" s="0" t="n">
        <v>40</v>
      </c>
      <c r="K818" s="0" t="n">
        <v>4.4</v>
      </c>
      <c r="L818" s="3" t="s">
        <v>17</v>
      </c>
    </row>
    <row r="819" customFormat="false" ht="15" hidden="false" customHeight="false" outlineLevel="0" collapsed="false">
      <c r="A819" s="0" t="s">
        <v>942</v>
      </c>
      <c r="B819" s="2" t="n">
        <v>45732</v>
      </c>
      <c r="C819" s="3" t="s">
        <v>27</v>
      </c>
      <c r="D819" s="3" t="s">
        <v>20</v>
      </c>
      <c r="E819" s="3" t="s">
        <v>15</v>
      </c>
      <c r="F819" s="3" t="s">
        <v>54</v>
      </c>
      <c r="G819" s="0" t="n">
        <v>495</v>
      </c>
      <c r="H819" s="0" t="n">
        <v>117</v>
      </c>
      <c r="I819" s="0" t="n">
        <v>40</v>
      </c>
      <c r="J819" s="0" t="n">
        <v>35</v>
      </c>
      <c r="K819" s="0" t="n">
        <v>3.6</v>
      </c>
      <c r="L819" s="3" t="s">
        <v>17</v>
      </c>
    </row>
    <row r="820" customFormat="false" ht="15" hidden="false" customHeight="false" outlineLevel="0" collapsed="false">
      <c r="A820" s="0" t="s">
        <v>943</v>
      </c>
      <c r="B820" s="2" t="n">
        <v>45859</v>
      </c>
      <c r="C820" s="3" t="s">
        <v>27</v>
      </c>
      <c r="D820" s="3" t="s">
        <v>49</v>
      </c>
      <c r="E820" s="3" t="s">
        <v>15</v>
      </c>
      <c r="F820" s="3" t="s">
        <v>16</v>
      </c>
      <c r="G820" s="0" t="n">
        <v>581</v>
      </c>
      <c r="H820" s="0" t="n">
        <v>0</v>
      </c>
      <c r="I820" s="0" t="n">
        <v>0</v>
      </c>
      <c r="J820" s="0" t="n">
        <v>35</v>
      </c>
      <c r="K820" s="0" t="n">
        <v>4.8</v>
      </c>
      <c r="L820" s="3" t="s">
        <v>17</v>
      </c>
    </row>
    <row r="821" customFormat="false" ht="15" hidden="false" customHeight="false" outlineLevel="0" collapsed="false">
      <c r="A821" s="0" t="s">
        <v>944</v>
      </c>
      <c r="B821" s="2" t="n">
        <v>46020</v>
      </c>
      <c r="C821" s="3" t="s">
        <v>45</v>
      </c>
      <c r="D821" s="3" t="s">
        <v>14</v>
      </c>
      <c r="E821" s="3" t="s">
        <v>15</v>
      </c>
      <c r="F821" s="3" t="s">
        <v>36</v>
      </c>
      <c r="G821" s="0" t="n">
        <v>256</v>
      </c>
      <c r="H821" s="0" t="n">
        <v>0</v>
      </c>
      <c r="I821" s="0" t="n">
        <v>45</v>
      </c>
      <c r="J821" s="0" t="n">
        <v>27</v>
      </c>
      <c r="K821" s="0" t="n">
        <v>4</v>
      </c>
      <c r="L821" s="3" t="s">
        <v>17</v>
      </c>
    </row>
    <row r="822" customFormat="false" ht="15" hidden="false" customHeight="false" outlineLevel="0" collapsed="false">
      <c r="A822" s="0" t="s">
        <v>945</v>
      </c>
      <c r="B822" s="2" t="n">
        <v>45660</v>
      </c>
      <c r="C822" s="3" t="s">
        <v>19</v>
      </c>
      <c r="D822" s="3" t="s">
        <v>20</v>
      </c>
      <c r="E822" s="3" t="s">
        <v>21</v>
      </c>
      <c r="F822" s="3" t="s">
        <v>22</v>
      </c>
      <c r="G822" s="0" t="n">
        <v>374</v>
      </c>
      <c r="H822" s="0" t="n">
        <v>0</v>
      </c>
      <c r="I822" s="0" t="n">
        <v>30</v>
      </c>
      <c r="J822" s="0" t="n">
        <v>32</v>
      </c>
      <c r="K822" s="0" t="n">
        <v>4.7</v>
      </c>
      <c r="L822" s="3" t="s">
        <v>17</v>
      </c>
    </row>
    <row r="823" customFormat="false" ht="15" hidden="false" customHeight="false" outlineLevel="0" collapsed="false">
      <c r="A823" s="0" t="s">
        <v>946</v>
      </c>
      <c r="B823" s="2" t="n">
        <v>45665</v>
      </c>
      <c r="C823" s="3" t="s">
        <v>40</v>
      </c>
      <c r="D823" s="3" t="s">
        <v>31</v>
      </c>
      <c r="E823" s="3" t="s">
        <v>15</v>
      </c>
      <c r="F823" s="3" t="s">
        <v>22</v>
      </c>
      <c r="G823" s="0" t="n">
        <v>312</v>
      </c>
      <c r="H823" s="0" t="n">
        <v>66</v>
      </c>
      <c r="I823" s="0" t="n">
        <v>45</v>
      </c>
      <c r="J823" s="0" t="n">
        <v>47</v>
      </c>
      <c r="K823" s="0" t="n">
        <v>4.3</v>
      </c>
      <c r="L823" s="3" t="s">
        <v>17</v>
      </c>
    </row>
    <row r="824" customFormat="false" ht="15" hidden="false" customHeight="false" outlineLevel="0" collapsed="false">
      <c r="A824" s="0" t="s">
        <v>947</v>
      </c>
      <c r="B824" s="2" t="n">
        <v>46020</v>
      </c>
      <c r="C824" s="3" t="s">
        <v>24</v>
      </c>
      <c r="D824" s="3" t="s">
        <v>20</v>
      </c>
      <c r="E824" s="3" t="s">
        <v>15</v>
      </c>
      <c r="F824" s="3" t="s">
        <v>22</v>
      </c>
      <c r="G824" s="0" t="n">
        <v>691</v>
      </c>
      <c r="H824" s="0" t="n">
        <v>0</v>
      </c>
      <c r="I824" s="0" t="n">
        <v>0</v>
      </c>
      <c r="J824" s="0" t="n">
        <v>33</v>
      </c>
      <c r="K824" s="0" t="n">
        <v>4.6</v>
      </c>
      <c r="L824" s="3" t="s">
        <v>17</v>
      </c>
    </row>
    <row r="825" customFormat="false" ht="15" hidden="false" customHeight="false" outlineLevel="0" collapsed="false">
      <c r="A825" s="0" t="s">
        <v>948</v>
      </c>
      <c r="B825" s="2" t="n">
        <v>45887</v>
      </c>
      <c r="C825" s="3" t="s">
        <v>40</v>
      </c>
      <c r="D825" s="3" t="s">
        <v>31</v>
      </c>
      <c r="E825" s="3" t="s">
        <v>21</v>
      </c>
      <c r="F825" s="3" t="s">
        <v>22</v>
      </c>
      <c r="G825" s="0" t="n">
        <v>547</v>
      </c>
      <c r="H825" s="0" t="n">
        <v>120</v>
      </c>
      <c r="I825" s="0" t="n">
        <v>0</v>
      </c>
      <c r="J825" s="0" t="n">
        <v>31</v>
      </c>
      <c r="K825" s="0" t="n">
        <v>5</v>
      </c>
      <c r="L825" s="3" t="s">
        <v>17</v>
      </c>
    </row>
    <row r="826" customFormat="false" ht="15" hidden="false" customHeight="false" outlineLevel="0" collapsed="false">
      <c r="A826" s="0" t="s">
        <v>949</v>
      </c>
      <c r="B826" s="2" t="n">
        <v>45713</v>
      </c>
      <c r="C826" s="3" t="s">
        <v>24</v>
      </c>
      <c r="D826" s="3" t="s">
        <v>56</v>
      </c>
      <c r="E826" s="3" t="s">
        <v>15</v>
      </c>
      <c r="F826" s="3" t="s">
        <v>16</v>
      </c>
      <c r="G826" s="0" t="n">
        <v>441</v>
      </c>
      <c r="H826" s="0" t="n">
        <v>0</v>
      </c>
      <c r="I826" s="0" t="n">
        <v>30</v>
      </c>
      <c r="J826" s="0" t="n">
        <v>39</v>
      </c>
      <c r="K826" s="0" t="n">
        <v>3.8</v>
      </c>
      <c r="L826" s="3" t="s">
        <v>17</v>
      </c>
    </row>
    <row r="827" customFormat="false" ht="15" hidden="false" customHeight="false" outlineLevel="0" collapsed="false">
      <c r="A827" s="0" t="s">
        <v>950</v>
      </c>
      <c r="B827" s="2" t="n">
        <v>45990</v>
      </c>
      <c r="C827" s="3" t="s">
        <v>24</v>
      </c>
      <c r="D827" s="3" t="s">
        <v>56</v>
      </c>
      <c r="E827" s="3" t="s">
        <v>21</v>
      </c>
      <c r="F827" s="3" t="s">
        <v>22</v>
      </c>
      <c r="G827" s="0" t="n">
        <v>459</v>
      </c>
      <c r="H827" s="0" t="n">
        <v>0</v>
      </c>
      <c r="I827" s="0" t="n">
        <v>30</v>
      </c>
      <c r="J827" s="0" t="n">
        <v>40</v>
      </c>
      <c r="K827" s="0" t="n">
        <v>4.5</v>
      </c>
      <c r="L827" s="3" t="s">
        <v>17</v>
      </c>
    </row>
    <row r="828" customFormat="false" ht="15" hidden="false" customHeight="false" outlineLevel="0" collapsed="false">
      <c r="A828" s="0" t="s">
        <v>951</v>
      </c>
      <c r="B828" s="2" t="n">
        <v>45985</v>
      </c>
      <c r="C828" s="3" t="s">
        <v>40</v>
      </c>
      <c r="D828" s="3" t="s">
        <v>56</v>
      </c>
      <c r="E828" s="3" t="s">
        <v>15</v>
      </c>
      <c r="F828" s="3" t="s">
        <v>34</v>
      </c>
      <c r="G828" s="0" t="n">
        <v>364</v>
      </c>
      <c r="H828" s="0" t="n">
        <v>46</v>
      </c>
      <c r="I828" s="0" t="n">
        <v>30</v>
      </c>
      <c r="J828" s="0" t="n">
        <v>40</v>
      </c>
      <c r="K828" s="0" t="n">
        <v>4.8</v>
      </c>
      <c r="L828" s="3" t="s">
        <v>17</v>
      </c>
    </row>
    <row r="829" customFormat="false" ht="15" hidden="false" customHeight="false" outlineLevel="0" collapsed="false">
      <c r="A829" s="0" t="s">
        <v>952</v>
      </c>
      <c r="B829" s="2" t="n">
        <v>45870</v>
      </c>
      <c r="C829" s="3" t="s">
        <v>30</v>
      </c>
      <c r="D829" s="3" t="s">
        <v>25</v>
      </c>
      <c r="E829" s="3" t="s">
        <v>21</v>
      </c>
      <c r="F829" s="3" t="s">
        <v>22</v>
      </c>
      <c r="G829" s="0" t="n">
        <v>668</v>
      </c>
      <c r="H829" s="0" t="n">
        <v>0</v>
      </c>
      <c r="I829" s="0" t="n">
        <v>0</v>
      </c>
      <c r="J829" s="0" t="n">
        <v>33</v>
      </c>
      <c r="K829" s="0" t="n">
        <v>4</v>
      </c>
      <c r="L829" s="3" t="s">
        <v>17</v>
      </c>
    </row>
    <row r="830" customFormat="false" ht="15" hidden="false" customHeight="false" outlineLevel="0" collapsed="false">
      <c r="A830" s="0" t="s">
        <v>953</v>
      </c>
      <c r="B830" s="2" t="n">
        <v>45900</v>
      </c>
      <c r="C830" s="3" t="s">
        <v>27</v>
      </c>
      <c r="D830" s="3" t="s">
        <v>28</v>
      </c>
      <c r="E830" s="3" t="s">
        <v>21</v>
      </c>
      <c r="F830" s="3" t="s">
        <v>22</v>
      </c>
      <c r="G830" s="0" t="n">
        <v>349</v>
      </c>
      <c r="H830" s="0" t="n">
        <v>0</v>
      </c>
      <c r="I830" s="0" t="n">
        <v>40</v>
      </c>
      <c r="J830" s="0" t="n">
        <v>41</v>
      </c>
      <c r="K830" s="0" t="n">
        <v>3.8</v>
      </c>
      <c r="L830" s="3" t="s">
        <v>17</v>
      </c>
    </row>
    <row r="831" customFormat="false" ht="15" hidden="false" customHeight="false" outlineLevel="0" collapsed="false">
      <c r="A831" s="0" t="s">
        <v>954</v>
      </c>
      <c r="B831" s="0" t="s">
        <v>955</v>
      </c>
      <c r="C831" s="0" t="s">
        <v>51</v>
      </c>
      <c r="D831" s="0" t="s">
        <v>14</v>
      </c>
      <c r="E831" s="0" t="s">
        <v>15</v>
      </c>
      <c r="F831" s="0" t="s">
        <v>54</v>
      </c>
      <c r="G831" s="0" t="n">
        <v>243</v>
      </c>
      <c r="H831" s="0" t="n">
        <v>0</v>
      </c>
      <c r="I831" s="0" t="n">
        <v>20</v>
      </c>
      <c r="J831" s="0" t="n">
        <v>36</v>
      </c>
      <c r="K831" s="0" t="n">
        <v>4.1</v>
      </c>
      <c r="L831" s="0" t="s">
        <v>17</v>
      </c>
    </row>
    <row r="832" customFormat="false" ht="15" hidden="false" customHeight="false" outlineLevel="0" collapsed="false">
      <c r="A832" s="0" t="s">
        <v>956</v>
      </c>
      <c r="B832" s="2" t="n">
        <v>45680</v>
      </c>
      <c r="C832" s="3" t="s">
        <v>40</v>
      </c>
      <c r="D832" s="3" t="s">
        <v>28</v>
      </c>
      <c r="E832" s="3" t="s">
        <v>15</v>
      </c>
      <c r="F832" s="3" t="s">
        <v>34</v>
      </c>
      <c r="G832" s="0" t="n">
        <v>312</v>
      </c>
      <c r="H832" s="0" t="n">
        <v>64</v>
      </c>
      <c r="I832" s="0" t="n">
        <v>20</v>
      </c>
      <c r="J832" s="0" t="n">
        <v>37</v>
      </c>
      <c r="K832" s="0" t="n">
        <v>4.4</v>
      </c>
      <c r="L832" s="3" t="s">
        <v>17</v>
      </c>
    </row>
    <row r="833" customFormat="false" ht="15" hidden="false" customHeight="false" outlineLevel="0" collapsed="false">
      <c r="A833" s="0" t="s">
        <v>956</v>
      </c>
      <c r="B833" s="2" t="n">
        <v>45680</v>
      </c>
      <c r="C833" s="3" t="s">
        <v>40</v>
      </c>
      <c r="D833" s="3" t="s">
        <v>28</v>
      </c>
      <c r="E833" s="3" t="s">
        <v>15</v>
      </c>
      <c r="F833" s="3" t="s">
        <v>34</v>
      </c>
      <c r="G833" s="0" t="n">
        <v>312</v>
      </c>
      <c r="H833" s="0" t="n">
        <v>64</v>
      </c>
      <c r="I833" s="0" t="n">
        <v>20</v>
      </c>
      <c r="J833" s="0" t="n">
        <v>37</v>
      </c>
      <c r="K833" s="0" t="n">
        <v>4.4</v>
      </c>
      <c r="L833" s="3" t="s">
        <v>17</v>
      </c>
    </row>
    <row r="834" customFormat="false" ht="15" hidden="false" customHeight="false" outlineLevel="0" collapsed="false">
      <c r="A834" s="0" t="s">
        <v>957</v>
      </c>
      <c r="B834" s="2" t="n">
        <v>45891</v>
      </c>
      <c r="C834" s="3" t="s">
        <v>40</v>
      </c>
      <c r="D834" s="3" t="s">
        <v>20</v>
      </c>
      <c r="E834" s="3" t="s">
        <v>21</v>
      </c>
      <c r="F834" s="3" t="s">
        <v>54</v>
      </c>
      <c r="G834" s="0" t="n">
        <v>552</v>
      </c>
      <c r="H834" s="0" t="n">
        <v>0</v>
      </c>
      <c r="I834" s="0" t="n">
        <v>0</v>
      </c>
      <c r="J834" s="0" t="n">
        <v>45</v>
      </c>
      <c r="K834" s="0" t="n">
        <v>3.3</v>
      </c>
      <c r="L834" s="3" t="s">
        <v>17</v>
      </c>
    </row>
    <row r="835" customFormat="false" ht="15" hidden="false" customHeight="false" outlineLevel="0" collapsed="false">
      <c r="A835" s="0" t="s">
        <v>958</v>
      </c>
      <c r="B835" s="0" t="s">
        <v>669</v>
      </c>
      <c r="C835" s="0" t="s">
        <v>27</v>
      </c>
      <c r="D835" s="0" t="s">
        <v>20</v>
      </c>
      <c r="E835" s="0" t="s">
        <v>21</v>
      </c>
      <c r="F835" s="0" t="s">
        <v>16</v>
      </c>
      <c r="G835" s="0" t="n">
        <v>671</v>
      </c>
      <c r="H835" s="0" t="n">
        <v>0</v>
      </c>
      <c r="I835" s="0" t="n">
        <v>0</v>
      </c>
      <c r="J835" s="0" t="n">
        <v>58</v>
      </c>
      <c r="K835" s="0" t="n">
        <v>4</v>
      </c>
      <c r="L835" s="0" t="s">
        <v>17</v>
      </c>
    </row>
    <row r="836" customFormat="false" ht="15" hidden="false" customHeight="false" outlineLevel="0" collapsed="false">
      <c r="A836" s="0" t="s">
        <v>959</v>
      </c>
      <c r="B836" s="2" t="n">
        <v>45914</v>
      </c>
      <c r="C836" s="3" t="s">
        <v>40</v>
      </c>
      <c r="D836" s="3" t="s">
        <v>31</v>
      </c>
      <c r="E836" s="3" t="s">
        <v>15</v>
      </c>
      <c r="F836" s="3" t="s">
        <v>22</v>
      </c>
      <c r="G836" s="0" t="n">
        <v>460</v>
      </c>
      <c r="H836" s="0" t="n">
        <v>49</v>
      </c>
      <c r="I836" s="0" t="n">
        <v>20</v>
      </c>
      <c r="J836" s="0" t="n">
        <v>39</v>
      </c>
      <c r="K836" s="0" t="n">
        <v>3.5</v>
      </c>
      <c r="L836" s="3" t="s">
        <v>17</v>
      </c>
    </row>
    <row r="837" customFormat="false" ht="15" hidden="false" customHeight="false" outlineLevel="0" collapsed="false">
      <c r="A837" s="0" t="s">
        <v>960</v>
      </c>
      <c r="B837" s="2" t="n">
        <v>45971</v>
      </c>
      <c r="C837" s="3" t="s">
        <v>24</v>
      </c>
      <c r="D837" s="3" t="s">
        <v>28</v>
      </c>
      <c r="E837" s="3" t="s">
        <v>15</v>
      </c>
      <c r="F837" s="3" t="s">
        <v>34</v>
      </c>
      <c r="G837" s="0" t="n">
        <v>477</v>
      </c>
      <c r="H837" s="0" t="n">
        <v>0</v>
      </c>
      <c r="I837" s="0" t="n">
        <v>30</v>
      </c>
      <c r="J837" s="0" t="n">
        <v>36</v>
      </c>
      <c r="K837" s="0" t="n">
        <v>4.9</v>
      </c>
      <c r="L837" s="3" t="s">
        <v>17</v>
      </c>
    </row>
    <row r="838" customFormat="false" ht="15" hidden="false" customHeight="false" outlineLevel="0" collapsed="false">
      <c r="A838" s="0" t="s">
        <v>961</v>
      </c>
      <c r="B838" s="2" t="n">
        <v>45666</v>
      </c>
      <c r="C838" s="3" t="s">
        <v>19</v>
      </c>
      <c r="D838" s="3" t="s">
        <v>20</v>
      </c>
      <c r="E838" s="3" t="s">
        <v>15</v>
      </c>
      <c r="F838" s="3" t="s">
        <v>16</v>
      </c>
      <c r="G838" s="0" t="n">
        <v>670</v>
      </c>
      <c r="H838" s="0" t="n">
        <v>0</v>
      </c>
      <c r="I838" s="0" t="n">
        <v>0</v>
      </c>
      <c r="J838" s="0" t="n">
        <v>30</v>
      </c>
      <c r="L838" s="3" t="s">
        <v>17</v>
      </c>
    </row>
    <row r="839" customFormat="false" ht="15" hidden="false" customHeight="false" outlineLevel="0" collapsed="false">
      <c r="A839" s="0" t="s">
        <v>962</v>
      </c>
      <c r="B839" s="2" t="n">
        <v>45891</v>
      </c>
      <c r="C839" s="3" t="s">
        <v>24</v>
      </c>
      <c r="D839" s="3" t="s">
        <v>25</v>
      </c>
      <c r="E839" s="3" t="s">
        <v>21</v>
      </c>
      <c r="F839" s="3" t="s">
        <v>22</v>
      </c>
      <c r="G839" s="0" t="n">
        <v>488</v>
      </c>
      <c r="H839" s="0" t="n">
        <v>0</v>
      </c>
      <c r="I839" s="0" t="n">
        <v>20</v>
      </c>
      <c r="J839" s="0" t="n">
        <v>31</v>
      </c>
      <c r="K839" s="0" t="n">
        <v>5</v>
      </c>
      <c r="L839" s="3" t="s">
        <v>17</v>
      </c>
    </row>
    <row r="840" customFormat="false" ht="15" hidden="false" customHeight="false" outlineLevel="0" collapsed="false">
      <c r="A840" s="0" t="s">
        <v>963</v>
      </c>
      <c r="B840" s="2" t="n">
        <v>45755</v>
      </c>
      <c r="C840" s="3" t="s">
        <v>964</v>
      </c>
      <c r="D840" s="3" t="s">
        <v>25</v>
      </c>
      <c r="E840" s="3" t="s">
        <v>21</v>
      </c>
      <c r="F840" s="3" t="s">
        <v>36</v>
      </c>
      <c r="G840" s="0" t="n">
        <v>454</v>
      </c>
      <c r="H840" s="0" t="n">
        <v>0</v>
      </c>
      <c r="I840" s="0" t="n">
        <v>20</v>
      </c>
      <c r="J840" s="0" t="n">
        <v>43</v>
      </c>
      <c r="K840" s="0" t="n">
        <v>4.4</v>
      </c>
      <c r="L840" s="3" t="s">
        <v>17</v>
      </c>
    </row>
    <row r="841" customFormat="false" ht="15" hidden="false" customHeight="false" outlineLevel="0" collapsed="false">
      <c r="A841" s="0" t="s">
        <v>965</v>
      </c>
      <c r="B841" s="0" t="s">
        <v>265</v>
      </c>
      <c r="C841" s="0" t="s">
        <v>27</v>
      </c>
      <c r="D841" s="0" t="s">
        <v>49</v>
      </c>
      <c r="E841" s="0" t="s">
        <v>21</v>
      </c>
      <c r="F841" s="0" t="s">
        <v>34</v>
      </c>
      <c r="G841" s="0" t="n">
        <v>452</v>
      </c>
      <c r="H841" s="0" t="n">
        <v>54</v>
      </c>
      <c r="I841" s="0" t="n">
        <v>20</v>
      </c>
      <c r="J841" s="0" t="n">
        <v>45</v>
      </c>
      <c r="K841" s="0" t="n">
        <v>3.9</v>
      </c>
      <c r="L841" s="0" t="s">
        <v>17</v>
      </c>
    </row>
    <row r="842" customFormat="false" ht="15" hidden="false" customHeight="false" outlineLevel="0" collapsed="false">
      <c r="A842" s="0" t="s">
        <v>966</v>
      </c>
      <c r="B842" s="0" t="s">
        <v>967</v>
      </c>
      <c r="C842" s="0" t="s">
        <v>27</v>
      </c>
      <c r="D842" s="0" t="s">
        <v>20</v>
      </c>
      <c r="E842" s="0" t="s">
        <v>15</v>
      </c>
      <c r="F842" s="0" t="s">
        <v>36</v>
      </c>
      <c r="G842" s="0" t="n">
        <v>665</v>
      </c>
      <c r="H842" s="0" t="n">
        <v>106</v>
      </c>
      <c r="I842" s="0" t="n">
        <v>0</v>
      </c>
      <c r="J842" s="0" t="n">
        <v>39</v>
      </c>
      <c r="K842" s="0" t="n">
        <v>3.8</v>
      </c>
      <c r="L842" s="0" t="s">
        <v>17</v>
      </c>
    </row>
    <row r="843" customFormat="false" ht="15" hidden="false" customHeight="false" outlineLevel="0" collapsed="false">
      <c r="A843" s="0" t="s">
        <v>968</v>
      </c>
      <c r="B843" s="2" t="n">
        <v>45896</v>
      </c>
      <c r="C843" s="3" t="s">
        <v>27</v>
      </c>
      <c r="D843" s="3" t="s">
        <v>56</v>
      </c>
      <c r="E843" s="3" t="s">
        <v>21</v>
      </c>
      <c r="F843" s="3" t="s">
        <v>16</v>
      </c>
      <c r="G843" s="0" t="n">
        <v>380</v>
      </c>
      <c r="H843" s="0" t="n">
        <v>0</v>
      </c>
      <c r="I843" s="0" t="n">
        <v>20</v>
      </c>
      <c r="J843" s="0" t="n">
        <v>48</v>
      </c>
      <c r="K843" s="0" t="n">
        <v>4.1</v>
      </c>
      <c r="L843" s="3" t="s">
        <v>17</v>
      </c>
    </row>
    <row r="844" customFormat="false" ht="15" hidden="false" customHeight="false" outlineLevel="0" collapsed="false">
      <c r="A844" s="0" t="s">
        <v>969</v>
      </c>
      <c r="B844" s="2" t="n">
        <v>45876</v>
      </c>
      <c r="C844" s="3" t="s">
        <v>24</v>
      </c>
      <c r="D844" s="3" t="s">
        <v>20</v>
      </c>
      <c r="E844" s="3" t="s">
        <v>21</v>
      </c>
      <c r="F844" s="3" t="s">
        <v>34</v>
      </c>
      <c r="G844" s="0" t="n">
        <v>778</v>
      </c>
      <c r="H844" s="0" t="n">
        <v>0</v>
      </c>
      <c r="I844" s="0" t="n">
        <v>0</v>
      </c>
      <c r="J844" s="0" t="n">
        <v>36</v>
      </c>
      <c r="K844" s="0" t="n">
        <v>4.2</v>
      </c>
      <c r="L844" s="3" t="s">
        <v>17</v>
      </c>
    </row>
    <row r="845" customFormat="false" ht="15" hidden="false" customHeight="false" outlineLevel="0" collapsed="false">
      <c r="A845" s="0" t="s">
        <v>970</v>
      </c>
      <c r="B845" s="2" t="n">
        <v>45819</v>
      </c>
      <c r="C845" s="3" t="s">
        <v>761</v>
      </c>
      <c r="D845" s="3" t="s">
        <v>56</v>
      </c>
      <c r="E845" s="3" t="s">
        <v>15</v>
      </c>
      <c r="F845" s="3" t="s">
        <v>22</v>
      </c>
      <c r="G845" s="0" t="n">
        <v>465</v>
      </c>
      <c r="H845" s="0" t="n">
        <v>69</v>
      </c>
      <c r="I845" s="0" t="n">
        <v>40</v>
      </c>
      <c r="J845" s="0" t="n">
        <v>24</v>
      </c>
      <c r="K845" s="0" t="n">
        <v>5</v>
      </c>
      <c r="L845" s="3" t="s">
        <v>17</v>
      </c>
    </row>
    <row r="846" customFormat="false" ht="15" hidden="false" customHeight="false" outlineLevel="0" collapsed="false">
      <c r="A846" s="0" t="s">
        <v>971</v>
      </c>
      <c r="B846" s="2" t="n">
        <v>45919</v>
      </c>
      <c r="C846" s="3" t="s">
        <v>40</v>
      </c>
      <c r="D846" s="3" t="s">
        <v>56</v>
      </c>
      <c r="E846" s="3" t="s">
        <v>15</v>
      </c>
      <c r="F846" s="3" t="s">
        <v>54</v>
      </c>
      <c r="G846" s="0" t="n">
        <v>413</v>
      </c>
      <c r="H846" s="0" t="n">
        <v>83</v>
      </c>
      <c r="I846" s="0" t="n">
        <v>20</v>
      </c>
      <c r="J846" s="0" t="n">
        <v>40</v>
      </c>
      <c r="K846" s="0" t="n">
        <v>3.7</v>
      </c>
      <c r="L846" s="3" t="s">
        <v>17</v>
      </c>
    </row>
    <row r="847" customFormat="false" ht="15" hidden="false" customHeight="false" outlineLevel="0" collapsed="false">
      <c r="A847" s="0" t="s">
        <v>972</v>
      </c>
      <c r="B847" s="2" t="n">
        <v>45935</v>
      </c>
      <c r="C847" s="3" t="s">
        <v>27</v>
      </c>
      <c r="D847" s="3" t="s">
        <v>25</v>
      </c>
      <c r="E847" s="3" t="s">
        <v>21</v>
      </c>
      <c r="F847" s="3" t="s">
        <v>22</v>
      </c>
      <c r="G847" s="0" t="n">
        <v>504</v>
      </c>
      <c r="H847" s="0" t="n">
        <v>0</v>
      </c>
      <c r="I847" s="0" t="n">
        <v>0</v>
      </c>
      <c r="J847" s="0" t="n">
        <v>44</v>
      </c>
      <c r="K847" s="0" t="n">
        <v>5</v>
      </c>
      <c r="L847" s="3" t="s">
        <v>17</v>
      </c>
    </row>
    <row r="848" customFormat="false" ht="15" hidden="false" customHeight="false" outlineLevel="0" collapsed="false">
      <c r="A848" s="0" t="s">
        <v>973</v>
      </c>
      <c r="B848" s="2" t="n">
        <v>45881</v>
      </c>
      <c r="C848" s="3" t="s">
        <v>13</v>
      </c>
      <c r="D848" s="3" t="s">
        <v>56</v>
      </c>
      <c r="E848" s="3" t="s">
        <v>21</v>
      </c>
      <c r="F848" s="3" t="s">
        <v>22</v>
      </c>
      <c r="G848" s="0" t="n">
        <v>477</v>
      </c>
      <c r="H848" s="0" t="n">
        <v>0</v>
      </c>
      <c r="I848" s="0" t="n">
        <v>30</v>
      </c>
      <c r="J848" s="0" t="n">
        <v>40</v>
      </c>
      <c r="K848" s="0" t="n">
        <v>4.8</v>
      </c>
      <c r="L848" s="3" t="s">
        <v>17</v>
      </c>
    </row>
    <row r="849" customFormat="false" ht="15" hidden="false" customHeight="false" outlineLevel="0" collapsed="false">
      <c r="A849" s="0" t="s">
        <v>974</v>
      </c>
      <c r="B849" s="2" t="n">
        <v>45946</v>
      </c>
      <c r="C849" s="3" t="s">
        <v>45</v>
      </c>
      <c r="D849" s="3" t="s">
        <v>28</v>
      </c>
      <c r="E849" s="3" t="s">
        <v>21</v>
      </c>
      <c r="F849" s="3" t="s">
        <v>22</v>
      </c>
      <c r="G849" s="0" t="n">
        <v>409</v>
      </c>
      <c r="H849" s="0" t="n">
        <v>0</v>
      </c>
      <c r="I849" s="0" t="n">
        <v>20</v>
      </c>
      <c r="J849" s="0" t="n">
        <v>36</v>
      </c>
      <c r="K849" s="0" t="n">
        <v>4.1</v>
      </c>
      <c r="L849" s="3" t="s">
        <v>17</v>
      </c>
    </row>
    <row r="850" customFormat="false" ht="15" hidden="false" customHeight="false" outlineLevel="0" collapsed="false">
      <c r="A850" s="0" t="s">
        <v>975</v>
      </c>
      <c r="B850" s="0" t="s">
        <v>976</v>
      </c>
      <c r="C850" s="0" t="s">
        <v>24</v>
      </c>
      <c r="D850" s="0" t="s">
        <v>31</v>
      </c>
      <c r="E850" s="0" t="s">
        <v>21</v>
      </c>
      <c r="F850" s="0" t="s">
        <v>34</v>
      </c>
      <c r="G850" s="0" t="n">
        <v>379</v>
      </c>
      <c r="H850" s="0" t="n">
        <v>0</v>
      </c>
      <c r="I850" s="0" t="n">
        <v>30</v>
      </c>
      <c r="J850" s="0" t="n">
        <v>35</v>
      </c>
      <c r="K850" s="0" t="n">
        <v>5</v>
      </c>
      <c r="L850" s="0" t="s">
        <v>17</v>
      </c>
    </row>
    <row r="851" customFormat="false" ht="15" hidden="false" customHeight="false" outlineLevel="0" collapsed="false">
      <c r="A851" s="0" t="s">
        <v>977</v>
      </c>
      <c r="B851" s="2" t="n">
        <v>45828</v>
      </c>
      <c r="C851" s="3" t="s">
        <v>27</v>
      </c>
      <c r="D851" s="3" t="s">
        <v>14</v>
      </c>
      <c r="E851" s="3" t="s">
        <v>21</v>
      </c>
      <c r="F851" s="3" t="s">
        <v>54</v>
      </c>
      <c r="G851" s="0" t="n">
        <v>206</v>
      </c>
      <c r="H851" s="0" t="n">
        <v>23</v>
      </c>
      <c r="I851" s="0" t="n">
        <v>40</v>
      </c>
      <c r="J851" s="0" t="n">
        <v>39</v>
      </c>
      <c r="K851" s="0" t="n">
        <v>3.8</v>
      </c>
      <c r="L851" s="3" t="s">
        <v>17</v>
      </c>
    </row>
    <row r="852" customFormat="false" ht="15" hidden="false" customHeight="false" outlineLevel="0" collapsed="false">
      <c r="A852" s="0" t="s">
        <v>978</v>
      </c>
      <c r="B852" s="2" t="n">
        <v>45862</v>
      </c>
      <c r="C852" s="3" t="s">
        <v>40</v>
      </c>
      <c r="D852" s="3" t="s">
        <v>25</v>
      </c>
      <c r="E852" s="3" t="s">
        <v>15</v>
      </c>
      <c r="F852" s="3" t="s">
        <v>54</v>
      </c>
      <c r="G852" s="0" t="n">
        <v>321</v>
      </c>
      <c r="H852" s="0" t="n">
        <v>62</v>
      </c>
      <c r="I852" s="0" t="n">
        <v>20</v>
      </c>
      <c r="L852" s="3" t="s">
        <v>68</v>
      </c>
    </row>
    <row r="853" customFormat="false" ht="15" hidden="false" customHeight="false" outlineLevel="0" collapsed="false">
      <c r="A853" s="0" t="s">
        <v>979</v>
      </c>
      <c r="B853" s="2" t="n">
        <v>45663</v>
      </c>
      <c r="C853" s="3" t="s">
        <v>40</v>
      </c>
      <c r="D853" s="3" t="s">
        <v>28</v>
      </c>
      <c r="E853" s="3" t="s">
        <v>15</v>
      </c>
      <c r="F853" s="3" t="s">
        <v>36</v>
      </c>
      <c r="G853" s="0" t="n">
        <v>413</v>
      </c>
      <c r="H853" s="0" t="n">
        <v>72</v>
      </c>
      <c r="I853" s="0" t="n">
        <v>45</v>
      </c>
      <c r="J853" s="0" t="n">
        <v>41</v>
      </c>
      <c r="K853" s="0" t="n">
        <v>3.5</v>
      </c>
      <c r="L853" s="3" t="s">
        <v>17</v>
      </c>
    </row>
    <row r="854" customFormat="false" ht="15" hidden="false" customHeight="false" outlineLevel="0" collapsed="false">
      <c r="A854" s="0" t="s">
        <v>980</v>
      </c>
      <c r="B854" s="2" t="n">
        <v>45958</v>
      </c>
      <c r="C854" s="3" t="s">
        <v>40</v>
      </c>
      <c r="D854" s="3" t="s">
        <v>20</v>
      </c>
      <c r="E854" s="3" t="s">
        <v>15</v>
      </c>
      <c r="F854" s="3" t="s">
        <v>54</v>
      </c>
      <c r="G854" s="0" t="n">
        <v>469</v>
      </c>
      <c r="H854" s="0" t="n">
        <v>0</v>
      </c>
      <c r="I854" s="0" t="n">
        <v>45</v>
      </c>
      <c r="J854" s="0" t="n">
        <v>41</v>
      </c>
      <c r="K854" s="0" t="n">
        <v>5</v>
      </c>
      <c r="L854" s="3" t="s">
        <v>17</v>
      </c>
    </row>
    <row r="855" customFormat="false" ht="15" hidden="false" customHeight="false" outlineLevel="0" collapsed="false">
      <c r="A855" s="0" t="s">
        <v>981</v>
      </c>
      <c r="B855" s="2" t="n">
        <v>45864</v>
      </c>
      <c r="C855" s="3" t="s">
        <v>13</v>
      </c>
      <c r="D855" s="3" t="s">
        <v>20</v>
      </c>
      <c r="E855" s="3" t="s">
        <v>21</v>
      </c>
      <c r="F855" s="3" t="s">
        <v>36</v>
      </c>
      <c r="G855" s="0" t="n">
        <v>744</v>
      </c>
      <c r="H855" s="0" t="n">
        <v>0</v>
      </c>
      <c r="I855" s="0" t="n">
        <v>0</v>
      </c>
      <c r="J855" s="0" t="n">
        <v>35</v>
      </c>
      <c r="K855" s="0" t="n">
        <v>3.5</v>
      </c>
      <c r="L855" s="3" t="s">
        <v>17</v>
      </c>
    </row>
    <row r="856" customFormat="false" ht="15" hidden="false" customHeight="false" outlineLevel="0" collapsed="false">
      <c r="A856" s="0" t="s">
        <v>982</v>
      </c>
      <c r="B856" s="2" t="n">
        <v>45823</v>
      </c>
      <c r="C856" s="3" t="s">
        <v>24</v>
      </c>
      <c r="D856" s="3" t="s">
        <v>20</v>
      </c>
      <c r="E856" s="3" t="s">
        <v>21</v>
      </c>
      <c r="F856" s="3" t="s">
        <v>22</v>
      </c>
      <c r="G856" s="0" t="n">
        <v>528</v>
      </c>
      <c r="H856" s="0" t="n">
        <v>0</v>
      </c>
      <c r="I856" s="0" t="n">
        <v>0</v>
      </c>
      <c r="J856" s="0" t="n">
        <v>35</v>
      </c>
      <c r="K856" s="0" t="n">
        <v>3.6</v>
      </c>
      <c r="L856" s="3" t="s">
        <v>17</v>
      </c>
    </row>
    <row r="857" customFormat="false" ht="15" hidden="false" customHeight="false" outlineLevel="0" collapsed="false">
      <c r="A857" s="0" t="s">
        <v>983</v>
      </c>
      <c r="B857" s="2" t="n">
        <v>45699</v>
      </c>
      <c r="C857" s="3" t="s">
        <v>13</v>
      </c>
      <c r="D857" s="3" t="s">
        <v>78</v>
      </c>
      <c r="E857" s="3" t="s">
        <v>15</v>
      </c>
      <c r="F857" s="3" t="s">
        <v>34</v>
      </c>
      <c r="G857" s="0" t="n">
        <v>484</v>
      </c>
      <c r="H857" s="0" t="n">
        <v>0</v>
      </c>
      <c r="I857" s="0" t="n">
        <v>30</v>
      </c>
      <c r="J857" s="0" t="n">
        <v>40</v>
      </c>
      <c r="K857" s="0" t="n">
        <v>3.8</v>
      </c>
      <c r="L857" s="3" t="s">
        <v>17</v>
      </c>
    </row>
    <row r="858" customFormat="false" ht="15" hidden="false" customHeight="false" outlineLevel="0" collapsed="false">
      <c r="A858" s="0" t="s">
        <v>984</v>
      </c>
      <c r="B858" s="2" t="n">
        <v>45988</v>
      </c>
      <c r="C858" s="3" t="s">
        <v>40</v>
      </c>
      <c r="D858" s="3" t="s">
        <v>56</v>
      </c>
      <c r="E858" s="3" t="s">
        <v>15</v>
      </c>
      <c r="F858" s="3" t="s">
        <v>22</v>
      </c>
      <c r="G858" s="0" t="n">
        <v>457</v>
      </c>
      <c r="H858" s="0" t="n">
        <v>72</v>
      </c>
      <c r="I858" s="0" t="n">
        <v>45</v>
      </c>
      <c r="J858" s="0" t="n">
        <v>33</v>
      </c>
      <c r="K858" s="0" t="n">
        <v>5</v>
      </c>
      <c r="L858" s="3" t="s">
        <v>17</v>
      </c>
    </row>
    <row r="859" customFormat="false" ht="15" hidden="false" customHeight="false" outlineLevel="0" collapsed="false">
      <c r="A859" s="0" t="s">
        <v>985</v>
      </c>
      <c r="B859" s="2" t="n">
        <v>45819</v>
      </c>
      <c r="C859" s="3" t="s">
        <v>45</v>
      </c>
      <c r="D859" s="3" t="s">
        <v>28</v>
      </c>
      <c r="E859" s="3" t="s">
        <v>21</v>
      </c>
      <c r="F859" s="3" t="s">
        <v>22</v>
      </c>
      <c r="G859" s="0" t="n">
        <v>393</v>
      </c>
      <c r="H859" s="0" t="n">
        <v>62</v>
      </c>
      <c r="I859" s="0" t="n">
        <v>20</v>
      </c>
      <c r="J859" s="0" t="n">
        <v>47</v>
      </c>
      <c r="K859" s="0" t="n">
        <v>4.5</v>
      </c>
      <c r="L859" s="3" t="s">
        <v>17</v>
      </c>
    </row>
    <row r="860" customFormat="false" ht="15" hidden="false" customHeight="false" outlineLevel="0" collapsed="false">
      <c r="A860" s="0" t="s">
        <v>986</v>
      </c>
      <c r="B860" s="2" t="n">
        <v>45920</v>
      </c>
      <c r="C860" s="3" t="s">
        <v>30</v>
      </c>
      <c r="D860" s="3" t="s">
        <v>28</v>
      </c>
      <c r="E860" s="3" t="s">
        <v>21</v>
      </c>
      <c r="F860" s="3" t="s">
        <v>22</v>
      </c>
      <c r="G860" s="0" t="n">
        <v>513</v>
      </c>
      <c r="H860" s="0" t="n">
        <v>0</v>
      </c>
      <c r="I860" s="0" t="n">
        <v>0</v>
      </c>
      <c r="J860" s="0" t="n">
        <v>36</v>
      </c>
      <c r="K860" s="0" t="n">
        <v>4.3</v>
      </c>
      <c r="L860" s="3" t="s">
        <v>17</v>
      </c>
    </row>
    <row r="861" customFormat="false" ht="15" hidden="false" customHeight="false" outlineLevel="0" collapsed="false">
      <c r="A861" s="0" t="s">
        <v>987</v>
      </c>
      <c r="B861" s="2" t="n">
        <v>45722</v>
      </c>
      <c r="C861" s="3" t="s">
        <v>40</v>
      </c>
      <c r="D861" s="3" t="s">
        <v>25</v>
      </c>
      <c r="E861" s="3" t="s">
        <v>21</v>
      </c>
      <c r="G861" s="0" t="n">
        <v>500</v>
      </c>
      <c r="H861" s="0" t="n">
        <v>115</v>
      </c>
      <c r="I861" s="0" t="n">
        <v>0</v>
      </c>
      <c r="J861" s="0" t="n">
        <v>30</v>
      </c>
      <c r="K861" s="0" t="n">
        <v>4.9</v>
      </c>
      <c r="L861" s="3" t="s">
        <v>17</v>
      </c>
    </row>
    <row r="862" customFormat="false" ht="15" hidden="false" customHeight="false" outlineLevel="0" collapsed="false">
      <c r="A862" s="0" t="s">
        <v>988</v>
      </c>
      <c r="B862" s="2" t="n">
        <v>46011</v>
      </c>
      <c r="C862" s="3" t="s">
        <v>40</v>
      </c>
      <c r="D862" s="3" t="s">
        <v>25</v>
      </c>
      <c r="E862" s="3" t="s">
        <v>15</v>
      </c>
      <c r="F862" s="3" t="s">
        <v>54</v>
      </c>
      <c r="G862" s="0" t="n">
        <v>539</v>
      </c>
      <c r="H862" s="0" t="n">
        <v>0</v>
      </c>
      <c r="I862" s="0" t="n">
        <v>0</v>
      </c>
      <c r="J862" s="0" t="n">
        <v>39</v>
      </c>
      <c r="K862" s="0" t="n">
        <v>4.1</v>
      </c>
      <c r="L862" s="3" t="s">
        <v>17</v>
      </c>
    </row>
    <row r="863" customFormat="false" ht="15" hidden="false" customHeight="false" outlineLevel="0" collapsed="false">
      <c r="A863" s="0" t="s">
        <v>989</v>
      </c>
      <c r="B863" s="2" t="n">
        <v>45734</v>
      </c>
      <c r="C863" s="3" t="s">
        <v>185</v>
      </c>
      <c r="D863" s="3" t="s">
        <v>56</v>
      </c>
      <c r="E863" s="3" t="s">
        <v>21</v>
      </c>
      <c r="F863" s="3" t="s">
        <v>54</v>
      </c>
      <c r="G863" s="0" t="n">
        <v>290</v>
      </c>
      <c r="H863" s="0" t="n">
        <v>0</v>
      </c>
      <c r="I863" s="0" t="n">
        <v>20</v>
      </c>
      <c r="J863" s="0" t="n">
        <v>43</v>
      </c>
      <c r="K863" s="0" t="n">
        <v>4.3</v>
      </c>
      <c r="L863" s="3" t="s">
        <v>17</v>
      </c>
    </row>
    <row r="864" customFormat="false" ht="15" hidden="false" customHeight="false" outlineLevel="0" collapsed="false">
      <c r="A864" s="0" t="s">
        <v>990</v>
      </c>
      <c r="B864" s="2" t="n">
        <v>45743</v>
      </c>
      <c r="C864" s="3" t="s">
        <v>45</v>
      </c>
      <c r="D864" s="3" t="s">
        <v>25</v>
      </c>
      <c r="E864" s="3" t="s">
        <v>21</v>
      </c>
      <c r="F864" s="3" t="s">
        <v>22</v>
      </c>
      <c r="G864" s="0" t="n">
        <v>533</v>
      </c>
      <c r="H864" s="0" t="n">
        <v>0</v>
      </c>
      <c r="I864" s="0" t="n">
        <v>0</v>
      </c>
      <c r="J864" s="0" t="n">
        <v>28</v>
      </c>
      <c r="K864" s="0" t="n">
        <v>5</v>
      </c>
      <c r="L864" s="3" t="s">
        <v>17</v>
      </c>
    </row>
    <row r="865" customFormat="false" ht="15" hidden="false" customHeight="false" outlineLevel="0" collapsed="false">
      <c r="A865" s="0" t="s">
        <v>991</v>
      </c>
      <c r="B865" s="2" t="n">
        <v>45978</v>
      </c>
      <c r="C865" s="3" t="s">
        <v>24</v>
      </c>
      <c r="D865" s="3" t="s">
        <v>25</v>
      </c>
      <c r="E865" s="3" t="s">
        <v>21</v>
      </c>
      <c r="F865" s="3" t="s">
        <v>36</v>
      </c>
      <c r="G865" s="0" t="n">
        <v>513</v>
      </c>
      <c r="H865" s="0" t="n">
        <v>0</v>
      </c>
      <c r="I865" s="0" t="n">
        <v>0</v>
      </c>
      <c r="J865" s="0" t="n">
        <v>26</v>
      </c>
      <c r="K865" s="0" t="n">
        <v>4.4</v>
      </c>
      <c r="L865" s="3" t="s">
        <v>17</v>
      </c>
    </row>
    <row r="866" customFormat="false" ht="15" hidden="false" customHeight="false" outlineLevel="0" collapsed="false">
      <c r="A866" s="0" t="s">
        <v>991</v>
      </c>
      <c r="B866" s="2" t="n">
        <v>45978</v>
      </c>
      <c r="C866" s="3" t="s">
        <v>24</v>
      </c>
      <c r="D866" s="3" t="s">
        <v>25</v>
      </c>
      <c r="E866" s="3" t="s">
        <v>21</v>
      </c>
      <c r="F866" s="3" t="s">
        <v>36</v>
      </c>
      <c r="G866" s="0" t="n">
        <v>513</v>
      </c>
      <c r="H866" s="0" t="n">
        <v>0</v>
      </c>
      <c r="I866" s="0" t="n">
        <v>0</v>
      </c>
      <c r="J866" s="0" t="n">
        <v>26</v>
      </c>
      <c r="K866" s="0" t="n">
        <v>4.4</v>
      </c>
      <c r="L866" s="3" t="s">
        <v>17</v>
      </c>
    </row>
    <row r="867" customFormat="false" ht="15" hidden="false" customHeight="false" outlineLevel="0" collapsed="false">
      <c r="A867" s="0" t="s">
        <v>992</v>
      </c>
      <c r="B867" s="2" t="n">
        <v>45995</v>
      </c>
      <c r="C867" s="3" t="s">
        <v>27</v>
      </c>
      <c r="D867" s="3" t="s">
        <v>56</v>
      </c>
      <c r="E867" s="3" t="s">
        <v>21</v>
      </c>
      <c r="F867" s="3" t="s">
        <v>22</v>
      </c>
      <c r="G867" s="0" t="n">
        <v>344</v>
      </c>
      <c r="H867" s="0" t="n">
        <v>0</v>
      </c>
      <c r="I867" s="0" t="n">
        <v>40</v>
      </c>
      <c r="J867" s="0" t="n">
        <v>35</v>
      </c>
      <c r="K867" s="0" t="n">
        <v>3.9</v>
      </c>
      <c r="L867" s="3" t="s">
        <v>17</v>
      </c>
    </row>
    <row r="868" customFormat="false" ht="15" hidden="false" customHeight="false" outlineLevel="0" collapsed="false">
      <c r="A868" s="0" t="s">
        <v>993</v>
      </c>
      <c r="B868" s="2" t="n">
        <v>45748</v>
      </c>
      <c r="C868" s="3" t="s">
        <v>27</v>
      </c>
      <c r="D868" s="3" t="s">
        <v>20</v>
      </c>
      <c r="E868" s="3" t="s">
        <v>21</v>
      </c>
      <c r="F868" s="3" t="s">
        <v>22</v>
      </c>
      <c r="G868" s="0" t="n">
        <v>465</v>
      </c>
      <c r="H868" s="0" t="n">
        <v>0</v>
      </c>
      <c r="I868" s="0" t="n">
        <v>45</v>
      </c>
      <c r="J868" s="0" t="n">
        <v>46</v>
      </c>
      <c r="K868" s="0" t="n">
        <v>4.2</v>
      </c>
      <c r="L868" s="3" t="s">
        <v>17</v>
      </c>
    </row>
    <row r="869" customFormat="false" ht="15" hidden="false" customHeight="false" outlineLevel="0" collapsed="false">
      <c r="A869" s="0" t="s">
        <v>994</v>
      </c>
      <c r="B869" s="2" t="n">
        <v>45846</v>
      </c>
      <c r="C869" s="3" t="s">
        <v>761</v>
      </c>
      <c r="D869" s="3" t="s">
        <v>25</v>
      </c>
      <c r="E869" s="3" t="s">
        <v>21</v>
      </c>
      <c r="F869" s="3" t="s">
        <v>22</v>
      </c>
      <c r="G869" s="0" t="n">
        <v>458</v>
      </c>
      <c r="H869" s="0" t="n">
        <v>90</v>
      </c>
      <c r="I869" s="0" t="n">
        <v>30</v>
      </c>
      <c r="J869" s="0" t="n">
        <v>19</v>
      </c>
      <c r="K869" s="0" t="n">
        <v>5</v>
      </c>
      <c r="L869" s="3" t="s">
        <v>17</v>
      </c>
    </row>
    <row r="870" customFormat="false" ht="15" hidden="false" customHeight="false" outlineLevel="0" collapsed="false">
      <c r="A870" s="0" t="s">
        <v>995</v>
      </c>
      <c r="B870" s="0" t="s">
        <v>996</v>
      </c>
      <c r="C870" s="0" t="s">
        <v>27</v>
      </c>
      <c r="D870" s="0" t="s">
        <v>14</v>
      </c>
      <c r="E870" s="0" t="s">
        <v>21</v>
      </c>
      <c r="F870" s="0" t="s">
        <v>22</v>
      </c>
      <c r="G870" s="0" t="n">
        <v>311</v>
      </c>
      <c r="H870" s="0" t="n">
        <v>0</v>
      </c>
      <c r="I870" s="0" t="n">
        <v>30</v>
      </c>
      <c r="J870" s="0" t="n">
        <v>32</v>
      </c>
      <c r="K870" s="0" t="n">
        <v>4.4</v>
      </c>
      <c r="L870" s="0" t="s">
        <v>17</v>
      </c>
    </row>
    <row r="871" customFormat="false" ht="15" hidden="false" customHeight="false" outlineLevel="0" collapsed="false">
      <c r="A871" s="0" t="s">
        <v>997</v>
      </c>
      <c r="B871" s="2" t="n">
        <v>45984</v>
      </c>
      <c r="C871" s="3" t="s">
        <v>27</v>
      </c>
      <c r="D871" s="3" t="s">
        <v>56</v>
      </c>
      <c r="E871" s="3" t="s">
        <v>21</v>
      </c>
      <c r="F871" s="3" t="s">
        <v>22</v>
      </c>
      <c r="G871" s="0" t="n">
        <v>349</v>
      </c>
      <c r="H871" s="0" t="n">
        <v>0</v>
      </c>
      <c r="I871" s="0" t="n">
        <v>20</v>
      </c>
      <c r="L871" s="3" t="s">
        <v>68</v>
      </c>
    </row>
    <row r="872" customFormat="false" ht="15" hidden="false" customHeight="false" outlineLevel="0" collapsed="false">
      <c r="A872" s="0" t="s">
        <v>998</v>
      </c>
      <c r="B872" s="2" t="n">
        <v>45813</v>
      </c>
      <c r="C872" s="3" t="s">
        <v>19</v>
      </c>
      <c r="D872" s="3" t="s">
        <v>28</v>
      </c>
      <c r="E872" s="3" t="s">
        <v>21</v>
      </c>
      <c r="F872" s="3" t="s">
        <v>22</v>
      </c>
      <c r="G872" s="0" t="n">
        <v>470</v>
      </c>
      <c r="H872" s="0" t="n">
        <v>0</v>
      </c>
      <c r="I872" s="0" t="n">
        <v>45</v>
      </c>
      <c r="J872" s="0" t="n">
        <v>26</v>
      </c>
      <c r="K872" s="0" t="n">
        <v>4.4</v>
      </c>
      <c r="L872" s="3" t="s">
        <v>17</v>
      </c>
    </row>
    <row r="873" customFormat="false" ht="15" hidden="false" customHeight="false" outlineLevel="0" collapsed="false">
      <c r="A873" s="0" t="s">
        <v>999</v>
      </c>
      <c r="B873" s="2" t="n">
        <v>45863</v>
      </c>
      <c r="C873" s="3" t="s">
        <v>40</v>
      </c>
      <c r="D873" s="3" t="s">
        <v>31</v>
      </c>
      <c r="E873" s="3" t="s">
        <v>21</v>
      </c>
      <c r="F873" s="3" t="s">
        <v>22</v>
      </c>
      <c r="G873" s="0" t="n">
        <v>552</v>
      </c>
      <c r="H873" s="0" t="n">
        <v>0</v>
      </c>
      <c r="I873" s="0" t="n">
        <v>0</v>
      </c>
      <c r="J873" s="0" t="n">
        <v>33</v>
      </c>
      <c r="K873" s="0" t="n">
        <v>4.4</v>
      </c>
      <c r="L873" s="3" t="s">
        <v>17</v>
      </c>
    </row>
    <row r="874" customFormat="false" ht="15" hidden="false" customHeight="false" outlineLevel="0" collapsed="false">
      <c r="A874" s="0" t="s">
        <v>1000</v>
      </c>
      <c r="B874" s="2" t="n">
        <v>45940</v>
      </c>
      <c r="C874" s="3" t="s">
        <v>30</v>
      </c>
      <c r="D874" s="3" t="s">
        <v>56</v>
      </c>
      <c r="E874" s="3" t="s">
        <v>58</v>
      </c>
      <c r="F874" s="3" t="s">
        <v>22</v>
      </c>
      <c r="G874" s="0" t="n">
        <v>409</v>
      </c>
      <c r="H874" s="0" t="n">
        <v>69</v>
      </c>
      <c r="I874" s="0" t="n">
        <v>40</v>
      </c>
      <c r="J874" s="0" t="n">
        <v>28</v>
      </c>
      <c r="L874" s="3" t="s">
        <v>17</v>
      </c>
    </row>
    <row r="875" customFormat="false" ht="15" hidden="false" customHeight="false" outlineLevel="0" collapsed="false">
      <c r="A875" s="0" t="s">
        <v>1001</v>
      </c>
      <c r="B875" s="2" t="n">
        <v>45937</v>
      </c>
      <c r="C875" s="3" t="s">
        <v>40</v>
      </c>
      <c r="D875" s="3" t="s">
        <v>31</v>
      </c>
      <c r="E875" s="3" t="s">
        <v>15</v>
      </c>
      <c r="F875" s="3" t="s">
        <v>54</v>
      </c>
      <c r="G875" s="0" t="n">
        <v>518</v>
      </c>
      <c r="H875" s="0" t="n">
        <v>85</v>
      </c>
      <c r="I875" s="0" t="n">
        <v>0</v>
      </c>
      <c r="J875" s="0" t="n">
        <v>28</v>
      </c>
      <c r="K875" s="0" t="n">
        <v>4.6</v>
      </c>
      <c r="L875" s="3" t="s">
        <v>17</v>
      </c>
    </row>
    <row r="876" customFormat="false" ht="15" hidden="false" customHeight="false" outlineLevel="0" collapsed="false">
      <c r="A876" s="0" t="s">
        <v>1002</v>
      </c>
      <c r="B876" s="2" t="n">
        <v>45954</v>
      </c>
      <c r="C876" s="3" t="s">
        <v>27</v>
      </c>
      <c r="D876" s="3" t="s">
        <v>28</v>
      </c>
      <c r="E876" s="3" t="s">
        <v>15</v>
      </c>
      <c r="F876" s="3" t="s">
        <v>22</v>
      </c>
      <c r="G876" s="0" t="n">
        <v>493</v>
      </c>
      <c r="H876" s="0" t="n">
        <v>0</v>
      </c>
      <c r="I876" s="0" t="n">
        <v>20</v>
      </c>
      <c r="J876" s="0" t="n">
        <v>45</v>
      </c>
      <c r="K876" s="0" t="n">
        <v>4.8</v>
      </c>
      <c r="L876" s="3" t="s">
        <v>17</v>
      </c>
    </row>
    <row r="877" customFormat="false" ht="15" hidden="false" customHeight="false" outlineLevel="0" collapsed="false">
      <c r="A877" s="0" t="s">
        <v>1003</v>
      </c>
      <c r="B877" s="2" t="n">
        <v>45882</v>
      </c>
      <c r="C877" s="3" t="s">
        <v>307</v>
      </c>
      <c r="D877" s="3" t="s">
        <v>25</v>
      </c>
      <c r="E877" s="3" t="s">
        <v>21</v>
      </c>
      <c r="F877" s="3" t="s">
        <v>22</v>
      </c>
      <c r="G877" s="0" t="n">
        <v>475</v>
      </c>
      <c r="H877" s="0" t="n">
        <v>59</v>
      </c>
      <c r="I877" s="0" t="n">
        <v>45</v>
      </c>
      <c r="J877" s="0" t="n">
        <v>24</v>
      </c>
      <c r="K877" s="0" t="n">
        <v>4.7</v>
      </c>
      <c r="L877" s="3" t="s">
        <v>17</v>
      </c>
    </row>
    <row r="878" customFormat="false" ht="15" hidden="false" customHeight="false" outlineLevel="0" collapsed="false">
      <c r="A878" s="0" t="s">
        <v>1004</v>
      </c>
      <c r="B878" s="2" t="n">
        <v>45703</v>
      </c>
      <c r="C878" s="3" t="s">
        <v>13</v>
      </c>
      <c r="D878" s="3" t="s">
        <v>49</v>
      </c>
      <c r="E878" s="3" t="s">
        <v>21</v>
      </c>
      <c r="F878" s="3" t="s">
        <v>16</v>
      </c>
      <c r="G878" s="0" t="n">
        <v>516</v>
      </c>
      <c r="H878" s="0" t="n">
        <v>0</v>
      </c>
      <c r="I878" s="0" t="n">
        <v>0</v>
      </c>
      <c r="L878" s="3" t="s">
        <v>68</v>
      </c>
    </row>
    <row r="879" customFormat="false" ht="15" hidden="false" customHeight="false" outlineLevel="0" collapsed="false">
      <c r="A879" s="0" t="s">
        <v>1005</v>
      </c>
      <c r="B879" s="2" t="n">
        <v>45992</v>
      </c>
      <c r="C879" s="3" t="s">
        <v>13</v>
      </c>
      <c r="D879" s="3" t="s">
        <v>25</v>
      </c>
      <c r="E879" s="3" t="s">
        <v>21</v>
      </c>
      <c r="F879" s="3" t="s">
        <v>22</v>
      </c>
      <c r="G879" s="0" t="n">
        <v>385</v>
      </c>
      <c r="H879" s="0" t="n">
        <v>0</v>
      </c>
      <c r="I879" s="0" t="n">
        <v>20</v>
      </c>
      <c r="J879" s="0" t="n">
        <v>35</v>
      </c>
      <c r="K879" s="0" t="n">
        <v>4.5</v>
      </c>
      <c r="L879" s="3" t="s">
        <v>17</v>
      </c>
    </row>
    <row r="880" customFormat="false" ht="15" hidden="false" customHeight="false" outlineLevel="0" collapsed="false">
      <c r="A880" s="0" t="s">
        <v>1006</v>
      </c>
      <c r="B880" s="2" t="n">
        <v>45980</v>
      </c>
      <c r="C880" s="3" t="s">
        <v>24</v>
      </c>
      <c r="D880" s="3" t="s">
        <v>20</v>
      </c>
      <c r="E880" s="3" t="s">
        <v>21</v>
      </c>
      <c r="F880" s="3" t="s">
        <v>16</v>
      </c>
      <c r="G880" s="0" t="n">
        <v>523</v>
      </c>
      <c r="H880" s="0" t="n">
        <v>0</v>
      </c>
      <c r="I880" s="0" t="n">
        <v>0</v>
      </c>
      <c r="J880" s="0" t="n">
        <v>34</v>
      </c>
      <c r="K880" s="0" t="n">
        <v>4.8</v>
      </c>
      <c r="L880" s="3" t="s">
        <v>17</v>
      </c>
    </row>
    <row r="881" customFormat="false" ht="15" hidden="false" customHeight="false" outlineLevel="0" collapsed="false">
      <c r="A881" s="0" t="s">
        <v>1007</v>
      </c>
      <c r="B881" s="2" t="n">
        <v>45959</v>
      </c>
      <c r="C881" s="3" t="s">
        <v>27</v>
      </c>
      <c r="D881" s="3" t="s">
        <v>25</v>
      </c>
      <c r="E881" s="3" t="s">
        <v>21</v>
      </c>
      <c r="F881" s="3" t="s">
        <v>22</v>
      </c>
      <c r="G881" s="0" t="n">
        <v>346</v>
      </c>
      <c r="H881" s="0" t="n">
        <v>0</v>
      </c>
      <c r="I881" s="0" t="n">
        <v>20</v>
      </c>
      <c r="J881" s="0" t="n">
        <v>37</v>
      </c>
      <c r="K881" s="0" t="n">
        <v>4.6</v>
      </c>
      <c r="L881" s="3" t="s">
        <v>17</v>
      </c>
    </row>
    <row r="882" customFormat="false" ht="15" hidden="false" customHeight="false" outlineLevel="0" collapsed="false">
      <c r="A882" s="0" t="s">
        <v>1008</v>
      </c>
      <c r="B882" s="0" t="s">
        <v>1009</v>
      </c>
      <c r="C882" s="0" t="s">
        <v>24</v>
      </c>
      <c r="D882" s="0" t="s">
        <v>20</v>
      </c>
      <c r="E882" s="0" t="s">
        <v>21</v>
      </c>
      <c r="F882" s="0" t="s">
        <v>34</v>
      </c>
      <c r="G882" s="0" t="n">
        <v>534</v>
      </c>
      <c r="H882" s="0" t="n">
        <v>0</v>
      </c>
      <c r="I882" s="0" t="n">
        <v>0</v>
      </c>
      <c r="J882" s="0" t="n">
        <v>22</v>
      </c>
      <c r="K882" s="0" t="n">
        <v>5</v>
      </c>
      <c r="L882" s="0" t="s">
        <v>17</v>
      </c>
    </row>
    <row r="883" customFormat="false" ht="15" hidden="false" customHeight="false" outlineLevel="0" collapsed="false">
      <c r="A883" s="0" t="s">
        <v>1010</v>
      </c>
      <c r="B883" s="0" t="s">
        <v>1011</v>
      </c>
      <c r="C883" s="0" t="s">
        <v>27</v>
      </c>
      <c r="D883" s="0" t="s">
        <v>56</v>
      </c>
      <c r="E883" s="0" t="s">
        <v>15</v>
      </c>
      <c r="F883" s="0" t="s">
        <v>16</v>
      </c>
      <c r="G883" s="0" t="n">
        <v>386</v>
      </c>
      <c r="H883" s="0" t="n">
        <v>0</v>
      </c>
      <c r="I883" s="0" t="n">
        <v>40</v>
      </c>
      <c r="J883" s="0" t="n">
        <v>45</v>
      </c>
      <c r="K883" s="0" t="n">
        <v>3.3</v>
      </c>
      <c r="L883" s="0" t="s">
        <v>17</v>
      </c>
    </row>
    <row r="884" customFormat="false" ht="15" hidden="false" customHeight="false" outlineLevel="0" collapsed="false">
      <c r="A884" s="0" t="s">
        <v>1012</v>
      </c>
      <c r="B884" s="2" t="n">
        <v>45941</v>
      </c>
      <c r="C884" s="3" t="s">
        <v>27</v>
      </c>
      <c r="D884" s="3" t="s">
        <v>56</v>
      </c>
      <c r="E884" s="3" t="s">
        <v>15</v>
      </c>
      <c r="F884" s="3" t="s">
        <v>36</v>
      </c>
      <c r="G884" s="0" t="n">
        <v>414</v>
      </c>
      <c r="H884" s="0" t="n">
        <v>66</v>
      </c>
      <c r="I884" s="0" t="n">
        <v>20</v>
      </c>
      <c r="J884" s="0" t="n">
        <v>43</v>
      </c>
      <c r="K884" s="0" t="n">
        <v>2.8</v>
      </c>
      <c r="L884" s="3" t="s">
        <v>17</v>
      </c>
    </row>
    <row r="885" customFormat="false" ht="15" hidden="false" customHeight="false" outlineLevel="0" collapsed="false">
      <c r="A885" s="0" t="s">
        <v>1013</v>
      </c>
      <c r="B885" s="2" t="n">
        <v>45668</v>
      </c>
      <c r="C885" s="3" t="s">
        <v>24</v>
      </c>
      <c r="D885" s="3" t="s">
        <v>25</v>
      </c>
      <c r="E885" s="3" t="s">
        <v>58</v>
      </c>
      <c r="F885" s="3" t="s">
        <v>16</v>
      </c>
      <c r="G885" s="0" t="n">
        <v>491</v>
      </c>
      <c r="H885" s="0" t="n">
        <v>0</v>
      </c>
      <c r="I885" s="0" t="n">
        <v>30</v>
      </c>
      <c r="J885" s="0" t="n">
        <v>32</v>
      </c>
      <c r="K885" s="0" t="n">
        <v>5</v>
      </c>
      <c r="L885" s="3" t="s">
        <v>17</v>
      </c>
    </row>
    <row r="886" customFormat="false" ht="15" hidden="false" customHeight="false" outlineLevel="0" collapsed="false">
      <c r="A886" s="0" t="s">
        <v>1014</v>
      </c>
      <c r="B886" s="2" t="n">
        <v>46016</v>
      </c>
      <c r="C886" s="3" t="s">
        <v>24</v>
      </c>
      <c r="D886" s="3" t="s">
        <v>31</v>
      </c>
      <c r="E886" s="3" t="s">
        <v>15</v>
      </c>
      <c r="F886" s="3" t="s">
        <v>16</v>
      </c>
      <c r="G886" s="0" t="n">
        <v>700</v>
      </c>
      <c r="H886" s="0" t="n">
        <v>0</v>
      </c>
      <c r="I886" s="0" t="n">
        <v>0</v>
      </c>
      <c r="J886" s="0" t="n">
        <v>29</v>
      </c>
      <c r="K886" s="0" t="n">
        <v>4.6</v>
      </c>
      <c r="L886" s="3" t="s">
        <v>17</v>
      </c>
    </row>
    <row r="887" customFormat="false" ht="15" hidden="false" customHeight="false" outlineLevel="0" collapsed="false">
      <c r="A887" s="0" t="s">
        <v>1015</v>
      </c>
      <c r="B887" s="2" t="n">
        <v>45812</v>
      </c>
      <c r="C887" s="3" t="s">
        <v>24</v>
      </c>
      <c r="D887" s="3" t="s">
        <v>31</v>
      </c>
      <c r="E887" s="3" t="s">
        <v>21</v>
      </c>
      <c r="F887" s="3" t="s">
        <v>22</v>
      </c>
      <c r="G887" s="0" t="n">
        <v>673</v>
      </c>
      <c r="H887" s="0" t="n">
        <v>0</v>
      </c>
      <c r="I887" s="0" t="n">
        <v>0</v>
      </c>
      <c r="J887" s="0" t="n">
        <v>36</v>
      </c>
      <c r="K887" s="0" t="n">
        <v>4.2</v>
      </c>
      <c r="L887" s="3" t="s">
        <v>17</v>
      </c>
    </row>
    <row r="888" customFormat="false" ht="15" hidden="false" customHeight="false" outlineLevel="0" collapsed="false">
      <c r="A888" s="0" t="s">
        <v>1016</v>
      </c>
      <c r="B888" s="2" t="n">
        <v>45933</v>
      </c>
      <c r="C888" s="3" t="s">
        <v>24</v>
      </c>
      <c r="D888" s="3" t="s">
        <v>78</v>
      </c>
      <c r="E888" s="3" t="s">
        <v>21</v>
      </c>
      <c r="F888" s="3" t="s">
        <v>22</v>
      </c>
      <c r="G888" s="0" t="n">
        <v>404</v>
      </c>
      <c r="H888" s="0" t="n">
        <v>0</v>
      </c>
      <c r="I888" s="0" t="n">
        <v>45</v>
      </c>
      <c r="L888" s="3" t="s">
        <v>68</v>
      </c>
    </row>
    <row r="889" customFormat="false" ht="15" hidden="false" customHeight="false" outlineLevel="0" collapsed="false">
      <c r="A889" s="0" t="s">
        <v>1017</v>
      </c>
      <c r="B889" s="2" t="n">
        <v>45987</v>
      </c>
      <c r="C889" s="3" t="s">
        <v>40</v>
      </c>
      <c r="D889" s="3" t="s">
        <v>56</v>
      </c>
      <c r="E889" s="3" t="s">
        <v>21</v>
      </c>
      <c r="F889" s="3" t="s">
        <v>16</v>
      </c>
      <c r="G889" s="0" t="n">
        <v>467</v>
      </c>
      <c r="H889" s="0" t="n">
        <v>0</v>
      </c>
      <c r="I889" s="0" t="n">
        <v>20</v>
      </c>
      <c r="J889" s="0" t="n">
        <v>39</v>
      </c>
      <c r="K889" s="0" t="n">
        <v>5</v>
      </c>
      <c r="L889" s="3" t="s">
        <v>17</v>
      </c>
    </row>
    <row r="890" customFormat="false" ht="15" hidden="false" customHeight="false" outlineLevel="0" collapsed="false">
      <c r="A890" s="0" t="s">
        <v>1018</v>
      </c>
      <c r="B890" s="2" t="n">
        <v>45818</v>
      </c>
      <c r="C890" s="3" t="s">
        <v>45</v>
      </c>
      <c r="D890" s="3" t="s">
        <v>31</v>
      </c>
      <c r="E890" s="3" t="s">
        <v>15</v>
      </c>
      <c r="F890" s="3" t="s">
        <v>22</v>
      </c>
      <c r="G890" s="0" t="n">
        <v>593</v>
      </c>
      <c r="H890" s="0" t="n">
        <v>86</v>
      </c>
      <c r="I890" s="0" t="n">
        <v>0</v>
      </c>
      <c r="J890" s="0" t="n">
        <v>41</v>
      </c>
      <c r="K890" s="0" t="n">
        <v>4.8</v>
      </c>
      <c r="L890" s="3" t="s">
        <v>17</v>
      </c>
    </row>
    <row r="891" customFormat="false" ht="15" hidden="false" customHeight="false" outlineLevel="0" collapsed="false">
      <c r="A891" s="0" t="s">
        <v>1019</v>
      </c>
      <c r="B891" s="2" t="n">
        <v>45790</v>
      </c>
      <c r="C891" s="3" t="s">
        <v>27</v>
      </c>
      <c r="D891" s="3" t="s">
        <v>78</v>
      </c>
      <c r="E891" s="3" t="s">
        <v>21</v>
      </c>
      <c r="F891" s="3" t="s">
        <v>22</v>
      </c>
      <c r="G891" s="0" t="n">
        <v>377</v>
      </c>
      <c r="H891" s="0" t="n">
        <v>75</v>
      </c>
      <c r="I891" s="0" t="n">
        <v>20</v>
      </c>
      <c r="J891" s="0" t="n">
        <v>47</v>
      </c>
      <c r="K891" s="0" t="n">
        <v>4.5</v>
      </c>
      <c r="L891" s="3" t="s">
        <v>17</v>
      </c>
    </row>
    <row r="892" customFormat="false" ht="15" hidden="false" customHeight="false" outlineLevel="0" collapsed="false">
      <c r="A892" s="0" t="s">
        <v>1020</v>
      </c>
      <c r="B892" s="2" t="n">
        <v>45895</v>
      </c>
      <c r="C892" s="3" t="s">
        <v>40</v>
      </c>
      <c r="D892" s="3" t="s">
        <v>31</v>
      </c>
      <c r="E892" s="3" t="s">
        <v>15</v>
      </c>
      <c r="F892" s="3" t="s">
        <v>36</v>
      </c>
      <c r="G892" s="0" t="n">
        <v>544</v>
      </c>
      <c r="H892" s="0" t="n">
        <v>0</v>
      </c>
      <c r="I892" s="0" t="n">
        <v>0</v>
      </c>
      <c r="J892" s="0" t="n">
        <v>37</v>
      </c>
      <c r="K892" s="0" t="n">
        <v>3.8</v>
      </c>
      <c r="L892" s="3" t="s">
        <v>17</v>
      </c>
    </row>
    <row r="893" customFormat="false" ht="15" hidden="false" customHeight="false" outlineLevel="0" collapsed="false">
      <c r="A893" s="0" t="s">
        <v>1021</v>
      </c>
      <c r="B893" s="2" t="n">
        <v>45886</v>
      </c>
      <c r="C893" s="3" t="s">
        <v>13</v>
      </c>
      <c r="D893" s="3" t="s">
        <v>56</v>
      </c>
      <c r="E893" s="3" t="s">
        <v>21</v>
      </c>
      <c r="F893" s="3" t="s">
        <v>22</v>
      </c>
      <c r="G893" s="0" t="n">
        <v>492</v>
      </c>
      <c r="H893" s="0" t="n">
        <v>0</v>
      </c>
      <c r="I893" s="0" t="n">
        <v>45</v>
      </c>
      <c r="L893" s="3" t="s">
        <v>68</v>
      </c>
    </row>
    <row r="894" customFormat="false" ht="15" hidden="false" customHeight="false" outlineLevel="0" collapsed="false">
      <c r="A894" s="0" t="s">
        <v>1022</v>
      </c>
      <c r="B894" s="2" t="n">
        <v>45824</v>
      </c>
      <c r="C894" s="3" t="s">
        <v>45</v>
      </c>
      <c r="D894" s="3" t="s">
        <v>28</v>
      </c>
      <c r="E894" s="3" t="s">
        <v>15</v>
      </c>
      <c r="F894" s="3" t="s">
        <v>22</v>
      </c>
      <c r="G894" s="0" t="n">
        <v>356</v>
      </c>
      <c r="H894" s="0" t="n">
        <v>63</v>
      </c>
      <c r="I894" s="0" t="n">
        <v>45</v>
      </c>
      <c r="J894" s="0" t="n">
        <v>30</v>
      </c>
      <c r="K894" s="0" t="n">
        <v>3.2</v>
      </c>
      <c r="L894" s="3" t="s">
        <v>17</v>
      </c>
    </row>
    <row r="895" customFormat="false" ht="15" hidden="false" customHeight="false" outlineLevel="0" collapsed="false">
      <c r="A895" s="0" t="s">
        <v>1023</v>
      </c>
      <c r="B895" s="2" t="n">
        <v>45893</v>
      </c>
      <c r="C895" s="3" t="s">
        <v>24</v>
      </c>
      <c r="D895" s="3" t="s">
        <v>49</v>
      </c>
      <c r="E895" s="3" t="s">
        <v>21</v>
      </c>
      <c r="F895" s="3" t="s">
        <v>34</v>
      </c>
      <c r="G895" s="0" t="n">
        <v>571</v>
      </c>
      <c r="H895" s="0" t="n">
        <v>72</v>
      </c>
      <c r="I895" s="0" t="n">
        <v>0</v>
      </c>
      <c r="J895" s="0" t="n">
        <v>36</v>
      </c>
      <c r="K895" s="0" t="n">
        <v>4.6</v>
      </c>
      <c r="L895" s="3" t="s">
        <v>17</v>
      </c>
    </row>
    <row r="896" customFormat="false" ht="15" hidden="false" customHeight="false" outlineLevel="0" collapsed="false">
      <c r="A896" s="0" t="s">
        <v>1024</v>
      </c>
      <c r="B896" s="2" t="n">
        <v>46003</v>
      </c>
      <c r="C896" s="3" t="s">
        <v>40</v>
      </c>
      <c r="D896" s="3" t="s">
        <v>28</v>
      </c>
      <c r="E896" s="3" t="s">
        <v>21</v>
      </c>
      <c r="F896" s="3" t="s">
        <v>22</v>
      </c>
      <c r="G896" s="0" t="n">
        <v>571</v>
      </c>
      <c r="H896" s="0" t="n">
        <v>0</v>
      </c>
      <c r="I896" s="0" t="n">
        <v>0</v>
      </c>
      <c r="J896" s="0" t="n">
        <v>47</v>
      </c>
      <c r="K896" s="0" t="n">
        <v>4.5</v>
      </c>
      <c r="L896" s="3" t="s">
        <v>17</v>
      </c>
    </row>
    <row r="897" customFormat="false" ht="15" hidden="false" customHeight="false" outlineLevel="0" collapsed="false">
      <c r="A897" s="0" t="s">
        <v>1025</v>
      </c>
      <c r="B897" s="2" t="n">
        <v>45845</v>
      </c>
      <c r="C897" s="3" t="s">
        <v>40</v>
      </c>
      <c r="D897" s="3" t="s">
        <v>56</v>
      </c>
      <c r="E897" s="3" t="s">
        <v>15</v>
      </c>
      <c r="F897" s="3" t="s">
        <v>36</v>
      </c>
      <c r="G897" s="0" t="n">
        <v>527</v>
      </c>
      <c r="H897" s="0" t="n">
        <v>0</v>
      </c>
      <c r="I897" s="0" t="n">
        <v>0</v>
      </c>
      <c r="J897" s="0" t="n">
        <v>32</v>
      </c>
      <c r="K897" s="0" t="n">
        <v>4.9</v>
      </c>
      <c r="L897" s="3" t="s">
        <v>17</v>
      </c>
    </row>
    <row r="898" customFormat="false" ht="15" hidden="false" customHeight="false" outlineLevel="0" collapsed="false">
      <c r="A898" s="0" t="s">
        <v>1026</v>
      </c>
      <c r="B898" s="2" t="n">
        <v>45742</v>
      </c>
      <c r="C898" s="3" t="s">
        <v>40</v>
      </c>
      <c r="D898" s="3" t="s">
        <v>78</v>
      </c>
      <c r="E898" s="3" t="s">
        <v>15</v>
      </c>
      <c r="F898" s="3" t="s">
        <v>54</v>
      </c>
      <c r="G898" s="0" t="n">
        <v>387</v>
      </c>
      <c r="H898" s="0" t="n">
        <v>0</v>
      </c>
      <c r="I898" s="0" t="n">
        <v>40</v>
      </c>
      <c r="J898" s="0" t="n">
        <v>38</v>
      </c>
      <c r="K898" s="0" t="n">
        <v>4.5</v>
      </c>
      <c r="L898" s="3" t="s">
        <v>17</v>
      </c>
    </row>
    <row r="899" customFormat="false" ht="15" hidden="false" customHeight="false" outlineLevel="0" collapsed="false">
      <c r="A899" s="0" t="s">
        <v>1027</v>
      </c>
      <c r="B899" s="2" t="n">
        <v>45812</v>
      </c>
      <c r="C899" s="3" t="s">
        <v>30</v>
      </c>
      <c r="D899" s="3" t="s">
        <v>31</v>
      </c>
      <c r="E899" s="3" t="s">
        <v>21</v>
      </c>
      <c r="F899" s="3" t="s">
        <v>54</v>
      </c>
      <c r="G899" s="0" t="n">
        <v>470</v>
      </c>
      <c r="H899" s="0" t="n">
        <v>84</v>
      </c>
      <c r="I899" s="0" t="n">
        <v>20</v>
      </c>
      <c r="J899" s="0" t="n">
        <v>39</v>
      </c>
      <c r="K899" s="0" t="n">
        <v>4.1</v>
      </c>
      <c r="L899" s="3" t="s">
        <v>17</v>
      </c>
    </row>
    <row r="900" customFormat="false" ht="15" hidden="false" customHeight="false" outlineLevel="0" collapsed="false">
      <c r="A900" s="0" t="s">
        <v>1028</v>
      </c>
      <c r="B900" s="2" t="n">
        <v>45818</v>
      </c>
      <c r="C900" s="3" t="s">
        <v>19</v>
      </c>
      <c r="D900" s="3" t="s">
        <v>78</v>
      </c>
      <c r="E900" s="3" t="s">
        <v>15</v>
      </c>
      <c r="F900" s="3" t="s">
        <v>16</v>
      </c>
      <c r="G900" s="0" t="n">
        <v>396</v>
      </c>
      <c r="H900" s="0" t="n">
        <v>0</v>
      </c>
      <c r="I900" s="0" t="n">
        <v>20</v>
      </c>
      <c r="J900" s="0" t="n">
        <v>30</v>
      </c>
      <c r="K900" s="0" t="n">
        <v>4.1</v>
      </c>
      <c r="L900" s="3" t="s">
        <v>17</v>
      </c>
    </row>
    <row r="901" customFormat="false" ht="15" hidden="false" customHeight="false" outlineLevel="0" collapsed="false">
      <c r="A901" s="0" t="s">
        <v>1029</v>
      </c>
      <c r="B901" s="2" t="n">
        <v>45715</v>
      </c>
      <c r="C901" s="3" t="s">
        <v>40</v>
      </c>
      <c r="D901" s="3" t="s">
        <v>14</v>
      </c>
      <c r="E901" s="3" t="s">
        <v>15</v>
      </c>
      <c r="F901" s="3" t="s">
        <v>22</v>
      </c>
      <c r="G901" s="0" t="n">
        <v>279</v>
      </c>
      <c r="H901" s="0" t="n">
        <v>0</v>
      </c>
      <c r="I901" s="0" t="n">
        <v>30</v>
      </c>
      <c r="J901" s="0" t="n">
        <v>35</v>
      </c>
      <c r="K901" s="0" t="n">
        <v>3.9</v>
      </c>
      <c r="L901" s="3" t="s">
        <v>17</v>
      </c>
    </row>
    <row r="902" customFormat="false" ht="15" hidden="false" customHeight="false" outlineLevel="0" collapsed="false">
      <c r="A902" s="0" t="s">
        <v>1030</v>
      </c>
      <c r="B902" s="2" t="n">
        <v>45728</v>
      </c>
      <c r="C902" s="3" t="s">
        <v>13</v>
      </c>
      <c r="D902" s="3" t="s">
        <v>49</v>
      </c>
      <c r="E902" s="3" t="s">
        <v>21</v>
      </c>
      <c r="F902" s="3" t="s">
        <v>34</v>
      </c>
      <c r="G902" s="0" t="n">
        <v>385</v>
      </c>
      <c r="H902" s="0" t="n">
        <v>0</v>
      </c>
      <c r="I902" s="0" t="n">
        <v>40</v>
      </c>
      <c r="J902" s="0" t="n">
        <v>21</v>
      </c>
      <c r="K902" s="0" t="n">
        <v>4.5</v>
      </c>
      <c r="L902" s="3" t="s">
        <v>17</v>
      </c>
    </row>
    <row r="903" customFormat="false" ht="15" hidden="false" customHeight="false" outlineLevel="0" collapsed="false">
      <c r="A903" s="0" t="s">
        <v>1031</v>
      </c>
      <c r="B903" s="2" t="n">
        <v>45921</v>
      </c>
      <c r="C903" s="3" t="s">
        <v>40</v>
      </c>
      <c r="D903" s="3" t="s">
        <v>25</v>
      </c>
      <c r="E903" s="3" t="s">
        <v>21</v>
      </c>
      <c r="F903" s="3" t="s">
        <v>34</v>
      </c>
      <c r="G903" s="0" t="n">
        <v>417</v>
      </c>
      <c r="H903" s="0" t="n">
        <v>0</v>
      </c>
      <c r="I903" s="0" t="n">
        <v>30</v>
      </c>
      <c r="J903" s="0" t="n">
        <v>22</v>
      </c>
      <c r="L903" s="3" t="s">
        <v>17</v>
      </c>
    </row>
    <row r="904" customFormat="false" ht="15" hidden="false" customHeight="false" outlineLevel="0" collapsed="false">
      <c r="A904" s="0" t="s">
        <v>1032</v>
      </c>
      <c r="B904" s="2" t="n">
        <v>45798</v>
      </c>
      <c r="C904" s="3" t="s">
        <v>27</v>
      </c>
      <c r="D904" s="3" t="s">
        <v>31</v>
      </c>
      <c r="E904" s="3" t="s">
        <v>21</v>
      </c>
      <c r="F904" s="3" t="s">
        <v>34</v>
      </c>
      <c r="G904" s="0" t="n">
        <v>360</v>
      </c>
      <c r="H904" s="0" t="n">
        <v>0</v>
      </c>
      <c r="I904" s="0" t="n">
        <v>45</v>
      </c>
      <c r="J904" s="0" t="n">
        <v>57</v>
      </c>
      <c r="L904" s="3" t="s">
        <v>17</v>
      </c>
    </row>
    <row r="905" customFormat="false" ht="15" hidden="false" customHeight="false" outlineLevel="0" collapsed="false">
      <c r="A905" s="0" t="s">
        <v>1033</v>
      </c>
      <c r="B905" s="2" t="n">
        <v>46008</v>
      </c>
      <c r="C905" s="3" t="s">
        <v>926</v>
      </c>
      <c r="D905" s="3" t="s">
        <v>28</v>
      </c>
      <c r="E905" s="3" t="s">
        <v>21</v>
      </c>
      <c r="F905" s="3" t="s">
        <v>22</v>
      </c>
      <c r="G905" s="0" t="n">
        <v>529</v>
      </c>
      <c r="H905" s="0" t="n">
        <v>0</v>
      </c>
      <c r="I905" s="0" t="n">
        <v>0</v>
      </c>
      <c r="J905" s="0" t="n">
        <v>35</v>
      </c>
      <c r="K905" s="0" t="n">
        <v>3.6</v>
      </c>
      <c r="L905" s="3" t="s">
        <v>17</v>
      </c>
    </row>
    <row r="906" customFormat="false" ht="15" hidden="false" customHeight="false" outlineLevel="0" collapsed="false">
      <c r="A906" s="0" t="s">
        <v>1034</v>
      </c>
      <c r="B906" s="0" t="s">
        <v>1035</v>
      </c>
      <c r="C906" s="0" t="s">
        <v>24</v>
      </c>
      <c r="D906" s="0" t="s">
        <v>56</v>
      </c>
      <c r="E906" s="0" t="s">
        <v>21</v>
      </c>
      <c r="F906" s="0" t="s">
        <v>22</v>
      </c>
      <c r="G906" s="0" t="n">
        <v>289</v>
      </c>
      <c r="H906" s="0" t="n">
        <v>0</v>
      </c>
      <c r="I906" s="0" t="n">
        <v>45</v>
      </c>
      <c r="J906" s="0" t="n">
        <v>32</v>
      </c>
      <c r="K906" s="0" t="n">
        <v>4.3</v>
      </c>
      <c r="L906" s="0" t="s">
        <v>17</v>
      </c>
    </row>
    <row r="907" customFormat="false" ht="15" hidden="false" customHeight="false" outlineLevel="0" collapsed="false">
      <c r="A907" s="0" t="s">
        <v>1036</v>
      </c>
      <c r="B907" s="2" t="n">
        <v>45701</v>
      </c>
      <c r="C907" s="3" t="s">
        <v>40</v>
      </c>
      <c r="D907" s="3" t="s">
        <v>56</v>
      </c>
      <c r="E907" s="3" t="s">
        <v>21</v>
      </c>
      <c r="F907" s="3" t="s">
        <v>22</v>
      </c>
      <c r="G907" s="0" t="n">
        <v>330</v>
      </c>
      <c r="H907" s="0" t="n">
        <v>0</v>
      </c>
      <c r="I907" s="0" t="n">
        <v>45</v>
      </c>
      <c r="J907" s="0" t="n">
        <v>40</v>
      </c>
      <c r="K907" s="0" t="n">
        <v>3.2</v>
      </c>
      <c r="L907" s="3" t="s">
        <v>17</v>
      </c>
    </row>
    <row r="908" customFormat="false" ht="15" hidden="false" customHeight="false" outlineLevel="0" collapsed="false">
      <c r="A908" s="0" t="s">
        <v>1037</v>
      </c>
      <c r="B908" s="2" t="n">
        <v>45944</v>
      </c>
      <c r="C908" s="3" t="s">
        <v>27</v>
      </c>
      <c r="D908" s="3" t="s">
        <v>49</v>
      </c>
      <c r="E908" s="3" t="s">
        <v>21</v>
      </c>
      <c r="F908" s="3" t="s">
        <v>22</v>
      </c>
      <c r="G908" s="0" t="n">
        <v>361</v>
      </c>
      <c r="H908" s="0" t="n">
        <v>0</v>
      </c>
      <c r="I908" s="0" t="n">
        <v>30</v>
      </c>
      <c r="L908" s="3" t="s">
        <v>68</v>
      </c>
    </row>
    <row r="909" customFormat="false" ht="15" hidden="false" customHeight="false" outlineLevel="0" collapsed="false">
      <c r="A909" s="0" t="s">
        <v>1038</v>
      </c>
      <c r="B909" s="2" t="n">
        <v>45985</v>
      </c>
      <c r="C909" s="3" t="s">
        <v>19</v>
      </c>
      <c r="D909" s="3" t="s">
        <v>20</v>
      </c>
      <c r="E909" s="3" t="s">
        <v>21</v>
      </c>
      <c r="F909" s="3" t="s">
        <v>22</v>
      </c>
      <c r="G909" s="0" t="n">
        <v>598</v>
      </c>
      <c r="H909" s="0" t="n">
        <v>0</v>
      </c>
      <c r="I909" s="0" t="n">
        <v>0</v>
      </c>
      <c r="J909" s="0" t="n">
        <v>26</v>
      </c>
      <c r="K909" s="0" t="n">
        <v>4.5</v>
      </c>
      <c r="L909" s="3" t="s">
        <v>17</v>
      </c>
    </row>
    <row r="910" customFormat="false" ht="15" hidden="false" customHeight="false" outlineLevel="0" collapsed="false">
      <c r="A910" s="0" t="s">
        <v>1039</v>
      </c>
      <c r="B910" s="2" t="n">
        <v>45774</v>
      </c>
      <c r="C910" s="3" t="s">
        <v>24</v>
      </c>
      <c r="D910" s="3" t="s">
        <v>25</v>
      </c>
      <c r="E910" s="3" t="s">
        <v>15</v>
      </c>
      <c r="F910" s="3" t="s">
        <v>54</v>
      </c>
      <c r="G910" s="0" t="n">
        <v>488</v>
      </c>
      <c r="H910" s="0" t="n">
        <v>79</v>
      </c>
      <c r="I910" s="0" t="n">
        <v>30</v>
      </c>
      <c r="J910" s="0" t="n">
        <v>29</v>
      </c>
      <c r="K910" s="0" t="n">
        <v>4.2</v>
      </c>
      <c r="L910" s="3" t="s">
        <v>17</v>
      </c>
    </row>
    <row r="911" customFormat="false" ht="15" hidden="false" customHeight="false" outlineLevel="0" collapsed="false">
      <c r="A911" s="0" t="s">
        <v>1040</v>
      </c>
      <c r="B911" s="2" t="n">
        <v>45744</v>
      </c>
      <c r="C911" s="3" t="s">
        <v>40</v>
      </c>
      <c r="D911" s="3" t="s">
        <v>56</v>
      </c>
      <c r="E911" s="3" t="s">
        <v>99</v>
      </c>
      <c r="F911" s="3" t="s">
        <v>22</v>
      </c>
      <c r="G911" s="0" t="n">
        <v>432</v>
      </c>
      <c r="H911" s="0" t="n">
        <v>0</v>
      </c>
      <c r="I911" s="0" t="n">
        <v>20</v>
      </c>
      <c r="J911" s="0" t="n">
        <v>28</v>
      </c>
      <c r="K911" s="0" t="n">
        <v>4</v>
      </c>
      <c r="L911" s="3" t="s">
        <v>17</v>
      </c>
    </row>
    <row r="912" customFormat="false" ht="15" hidden="false" customHeight="false" outlineLevel="0" collapsed="false">
      <c r="A912" s="0" t="s">
        <v>1041</v>
      </c>
      <c r="B912" s="2" t="n">
        <v>45737</v>
      </c>
      <c r="C912" s="3" t="s">
        <v>40</v>
      </c>
      <c r="D912" s="3" t="s">
        <v>31</v>
      </c>
      <c r="E912" s="3" t="s">
        <v>21</v>
      </c>
      <c r="F912" s="3" t="s">
        <v>34</v>
      </c>
      <c r="G912" s="0" t="n">
        <v>560</v>
      </c>
      <c r="H912" s="0" t="n">
        <v>73</v>
      </c>
      <c r="I912" s="0" t="n">
        <v>0</v>
      </c>
      <c r="J912" s="0" t="n">
        <v>23</v>
      </c>
      <c r="K912" s="0" t="n">
        <v>4.6</v>
      </c>
      <c r="L912" s="3" t="s">
        <v>17</v>
      </c>
    </row>
    <row r="913" customFormat="false" ht="15" hidden="false" customHeight="false" outlineLevel="0" collapsed="false">
      <c r="A913" s="0" t="s">
        <v>1042</v>
      </c>
      <c r="B913" s="2" t="n">
        <v>45865</v>
      </c>
      <c r="C913" s="3" t="s">
        <v>800</v>
      </c>
      <c r="D913" s="3" t="s">
        <v>31</v>
      </c>
      <c r="E913" s="3" t="s">
        <v>15</v>
      </c>
      <c r="F913" s="3" t="s">
        <v>54</v>
      </c>
      <c r="G913" s="0" t="n">
        <v>682</v>
      </c>
      <c r="H913" s="0" t="n">
        <v>124</v>
      </c>
      <c r="I913" s="0" t="n">
        <v>0</v>
      </c>
      <c r="J913" s="0" t="n">
        <v>31</v>
      </c>
      <c r="K913" s="0" t="n">
        <v>4.1</v>
      </c>
      <c r="L913" s="3" t="s">
        <v>17</v>
      </c>
    </row>
    <row r="914" customFormat="false" ht="15" hidden="false" customHeight="false" outlineLevel="0" collapsed="false">
      <c r="A914" s="0" t="s">
        <v>1043</v>
      </c>
      <c r="B914" s="2" t="n">
        <v>45846</v>
      </c>
      <c r="C914" s="3" t="s">
        <v>355</v>
      </c>
      <c r="D914" s="3" t="s">
        <v>31</v>
      </c>
      <c r="E914" s="3" t="s">
        <v>21</v>
      </c>
      <c r="F914" s="3" t="s">
        <v>22</v>
      </c>
      <c r="G914" s="0" t="n">
        <v>417</v>
      </c>
      <c r="H914" s="0" t="n">
        <v>0</v>
      </c>
      <c r="I914" s="0" t="n">
        <v>45</v>
      </c>
      <c r="J914" s="0" t="n">
        <v>49</v>
      </c>
      <c r="K914" s="0" t="n">
        <v>3.9</v>
      </c>
      <c r="L914" s="3" t="s">
        <v>17</v>
      </c>
    </row>
    <row r="915" customFormat="false" ht="15" hidden="false" customHeight="false" outlineLevel="0" collapsed="false">
      <c r="A915" s="0" t="s">
        <v>1044</v>
      </c>
      <c r="B915" s="2" t="n">
        <v>45767</v>
      </c>
      <c r="C915" s="3" t="s">
        <v>30</v>
      </c>
      <c r="D915" s="3" t="s">
        <v>14</v>
      </c>
      <c r="E915" s="3" t="s">
        <v>15</v>
      </c>
      <c r="F915" s="3" t="s">
        <v>16</v>
      </c>
      <c r="G915" s="0" t="n">
        <v>200</v>
      </c>
      <c r="H915" s="0" t="n">
        <v>47</v>
      </c>
      <c r="I915" s="0" t="n">
        <v>45</v>
      </c>
      <c r="J915" s="0" t="n">
        <v>24</v>
      </c>
      <c r="K915" s="0" t="n">
        <v>5</v>
      </c>
      <c r="L915" s="3" t="s">
        <v>17</v>
      </c>
    </row>
    <row r="916" customFormat="false" ht="15" hidden="false" customHeight="false" outlineLevel="0" collapsed="false">
      <c r="A916" s="0" t="s">
        <v>1045</v>
      </c>
      <c r="B916" s="2" t="n">
        <v>45677</v>
      </c>
      <c r="C916" s="3" t="s">
        <v>13</v>
      </c>
      <c r="D916" s="3" t="s">
        <v>28</v>
      </c>
      <c r="E916" s="3" t="s">
        <v>21</v>
      </c>
      <c r="F916" s="3" t="s">
        <v>36</v>
      </c>
      <c r="G916" s="0" t="n">
        <v>413</v>
      </c>
      <c r="H916" s="0" t="n">
        <v>0</v>
      </c>
      <c r="I916" s="0" t="n">
        <v>20</v>
      </c>
      <c r="J916" s="0" t="n">
        <v>37</v>
      </c>
      <c r="K916" s="0" t="n">
        <v>4.3</v>
      </c>
      <c r="L916" s="3" t="s">
        <v>17</v>
      </c>
    </row>
    <row r="917" customFormat="false" ht="15" hidden="false" customHeight="false" outlineLevel="0" collapsed="false">
      <c r="A917" s="0" t="s">
        <v>1046</v>
      </c>
      <c r="B917" s="2" t="n">
        <v>45850</v>
      </c>
      <c r="C917" s="3" t="s">
        <v>45</v>
      </c>
      <c r="D917" s="3" t="s">
        <v>20</v>
      </c>
      <c r="E917" s="3" t="s">
        <v>15</v>
      </c>
      <c r="F917" s="3" t="s">
        <v>22</v>
      </c>
      <c r="G917" s="0" t="n">
        <v>476</v>
      </c>
      <c r="H917" s="0" t="n">
        <v>85</v>
      </c>
      <c r="I917" s="0" t="n">
        <v>20</v>
      </c>
      <c r="J917" s="0" t="n">
        <v>37</v>
      </c>
      <c r="K917" s="0" t="n">
        <v>4.5</v>
      </c>
      <c r="L917" s="3" t="s">
        <v>17</v>
      </c>
    </row>
    <row r="918" customFormat="false" ht="15" hidden="false" customHeight="false" outlineLevel="0" collapsed="false">
      <c r="A918" s="0" t="s">
        <v>1047</v>
      </c>
      <c r="B918" s="2" t="n">
        <v>46010</v>
      </c>
      <c r="C918" s="3" t="s">
        <v>30</v>
      </c>
      <c r="D918" s="3" t="s">
        <v>56</v>
      </c>
      <c r="E918" s="3" t="s">
        <v>21</v>
      </c>
      <c r="F918" s="3" t="s">
        <v>16</v>
      </c>
      <c r="G918" s="0" t="n">
        <v>408</v>
      </c>
      <c r="H918" s="0" t="n">
        <v>0</v>
      </c>
      <c r="I918" s="0" t="n">
        <v>40</v>
      </c>
      <c r="J918" s="0" t="n">
        <v>31</v>
      </c>
      <c r="K918" s="0" t="n">
        <v>4.1</v>
      </c>
      <c r="L918" s="3" t="s">
        <v>17</v>
      </c>
    </row>
    <row r="919" customFormat="false" ht="15" hidden="false" customHeight="false" outlineLevel="0" collapsed="false">
      <c r="A919" s="0" t="s">
        <v>1048</v>
      </c>
      <c r="B919" s="2" t="n">
        <v>45910</v>
      </c>
      <c r="C919" s="3" t="s">
        <v>24</v>
      </c>
      <c r="D919" s="3" t="s">
        <v>28</v>
      </c>
      <c r="E919" s="3" t="s">
        <v>21</v>
      </c>
      <c r="F919" s="3" t="s">
        <v>36</v>
      </c>
      <c r="G919" s="0" t="n">
        <v>440</v>
      </c>
      <c r="H919" s="0" t="n">
        <v>51</v>
      </c>
      <c r="I919" s="0" t="n">
        <v>40</v>
      </c>
      <c r="L919" s="3" t="s">
        <v>68</v>
      </c>
    </row>
    <row r="920" customFormat="false" ht="15" hidden="false" customHeight="false" outlineLevel="0" collapsed="false">
      <c r="A920" s="0" t="s">
        <v>1049</v>
      </c>
      <c r="B920" s="2" t="n">
        <v>45856</v>
      </c>
      <c r="C920" s="3" t="s">
        <v>27</v>
      </c>
      <c r="D920" s="3" t="s">
        <v>14</v>
      </c>
      <c r="E920" s="3" t="s">
        <v>21</v>
      </c>
      <c r="F920" s="3" t="s">
        <v>36</v>
      </c>
      <c r="G920" s="0" t="n">
        <v>254</v>
      </c>
      <c r="H920" s="0" t="n">
        <v>0</v>
      </c>
      <c r="I920" s="0" t="n">
        <v>40</v>
      </c>
      <c r="J920" s="0" t="n">
        <v>43</v>
      </c>
      <c r="K920" s="0" t="n">
        <v>4.1</v>
      </c>
      <c r="L920" s="3" t="s">
        <v>17</v>
      </c>
    </row>
    <row r="921" customFormat="false" ht="15" hidden="false" customHeight="false" outlineLevel="0" collapsed="false">
      <c r="A921" s="0" t="s">
        <v>1050</v>
      </c>
      <c r="B921" s="2" t="n">
        <v>45706</v>
      </c>
      <c r="C921" s="3" t="s">
        <v>24</v>
      </c>
      <c r="D921" s="3" t="s">
        <v>14</v>
      </c>
      <c r="E921" s="3" t="s">
        <v>15</v>
      </c>
      <c r="F921" s="3" t="s">
        <v>36</v>
      </c>
      <c r="G921" s="0" t="n">
        <v>248</v>
      </c>
      <c r="H921" s="0" t="n">
        <v>0</v>
      </c>
      <c r="I921" s="0" t="n">
        <v>30</v>
      </c>
      <c r="J921" s="0" t="n">
        <v>33</v>
      </c>
      <c r="L921" s="3" t="s">
        <v>17</v>
      </c>
    </row>
    <row r="922" customFormat="false" ht="15" hidden="false" customHeight="false" outlineLevel="0" collapsed="false">
      <c r="A922" s="0" t="s">
        <v>1051</v>
      </c>
      <c r="B922" s="2" t="n">
        <v>45764</v>
      </c>
      <c r="C922" s="3" t="s">
        <v>24</v>
      </c>
      <c r="D922" s="3" t="s">
        <v>20</v>
      </c>
      <c r="E922" s="3" t="s">
        <v>15</v>
      </c>
      <c r="F922" s="3" t="s">
        <v>54</v>
      </c>
      <c r="G922" s="0" t="n">
        <v>737</v>
      </c>
      <c r="H922" s="0" t="n">
        <v>87</v>
      </c>
      <c r="I922" s="0" t="n">
        <v>0</v>
      </c>
      <c r="J922" s="0" t="n">
        <v>44</v>
      </c>
      <c r="K922" s="0" t="n">
        <v>3.9</v>
      </c>
      <c r="L922" s="3" t="s">
        <v>17</v>
      </c>
    </row>
    <row r="923" customFormat="false" ht="15" hidden="false" customHeight="false" outlineLevel="0" collapsed="false">
      <c r="A923" s="0" t="s">
        <v>1052</v>
      </c>
      <c r="B923" s="2" t="n">
        <v>45780</v>
      </c>
      <c r="C923" s="3" t="s">
        <v>51</v>
      </c>
      <c r="D923" s="3" t="s">
        <v>14</v>
      </c>
      <c r="E923" s="3" t="s">
        <v>21</v>
      </c>
      <c r="F923" s="3" t="s">
        <v>22</v>
      </c>
      <c r="G923" s="0" t="n">
        <v>228</v>
      </c>
      <c r="H923" s="0" t="n">
        <v>0</v>
      </c>
      <c r="I923" s="0" t="n">
        <v>30</v>
      </c>
      <c r="J923" s="0" t="n">
        <v>48</v>
      </c>
      <c r="K923" s="0" t="n">
        <v>4.1</v>
      </c>
      <c r="L923" s="3" t="s">
        <v>17</v>
      </c>
    </row>
    <row r="924" customFormat="false" ht="15" hidden="false" customHeight="false" outlineLevel="0" collapsed="false">
      <c r="A924" s="0" t="s">
        <v>1053</v>
      </c>
      <c r="B924" s="2" t="n">
        <v>45948</v>
      </c>
      <c r="C924" s="3" t="s">
        <v>13</v>
      </c>
      <c r="D924" s="3" t="s">
        <v>56</v>
      </c>
      <c r="E924" s="3" t="s">
        <v>15</v>
      </c>
      <c r="F924" s="3" t="s">
        <v>36</v>
      </c>
      <c r="G924" s="0" t="n">
        <v>316</v>
      </c>
      <c r="H924" s="0" t="n">
        <v>33</v>
      </c>
      <c r="I924" s="0" t="n">
        <v>30</v>
      </c>
      <c r="J924" s="0" t="n">
        <v>43</v>
      </c>
      <c r="K924" s="0" t="n">
        <v>3.7</v>
      </c>
      <c r="L924" s="3" t="s">
        <v>17</v>
      </c>
    </row>
    <row r="925" customFormat="false" ht="15" hidden="false" customHeight="false" outlineLevel="0" collapsed="false">
      <c r="A925" s="0" t="s">
        <v>1054</v>
      </c>
      <c r="B925" s="2" t="n">
        <v>45984</v>
      </c>
      <c r="C925" s="3" t="s">
        <v>19</v>
      </c>
      <c r="D925" s="3" t="s">
        <v>56</v>
      </c>
      <c r="E925" s="3" t="s">
        <v>21</v>
      </c>
      <c r="F925" s="3" t="s">
        <v>34</v>
      </c>
      <c r="G925" s="0" t="n">
        <v>301</v>
      </c>
      <c r="H925" s="0" t="n">
        <v>0</v>
      </c>
      <c r="I925" s="0" t="n">
        <v>30</v>
      </c>
      <c r="J925" s="0" t="n">
        <v>13</v>
      </c>
      <c r="K925" s="0" t="n">
        <v>3.4</v>
      </c>
      <c r="L925" s="3" t="s">
        <v>17</v>
      </c>
    </row>
    <row r="926" customFormat="false" ht="15" hidden="false" customHeight="false" outlineLevel="0" collapsed="false">
      <c r="A926" s="0" t="s">
        <v>1055</v>
      </c>
      <c r="B926" s="2" t="n">
        <v>45992</v>
      </c>
      <c r="C926" s="3" t="s">
        <v>27</v>
      </c>
      <c r="D926" s="3" t="s">
        <v>14</v>
      </c>
      <c r="E926" s="3" t="s">
        <v>15</v>
      </c>
      <c r="F926" s="3" t="s">
        <v>34</v>
      </c>
      <c r="G926" s="0" t="n">
        <v>291</v>
      </c>
      <c r="H926" s="0" t="n">
        <v>0</v>
      </c>
      <c r="I926" s="0" t="n">
        <v>45</v>
      </c>
      <c r="J926" s="0" t="n">
        <v>39</v>
      </c>
      <c r="K926" s="0" t="n">
        <v>3.8</v>
      </c>
      <c r="L926" s="3" t="s">
        <v>17</v>
      </c>
    </row>
    <row r="927" customFormat="false" ht="15" hidden="false" customHeight="false" outlineLevel="0" collapsed="false">
      <c r="A927" s="0" t="s">
        <v>1055</v>
      </c>
      <c r="B927" s="2" t="n">
        <v>45992</v>
      </c>
      <c r="C927" s="3" t="s">
        <v>27</v>
      </c>
      <c r="D927" s="3" t="s">
        <v>14</v>
      </c>
      <c r="E927" s="3" t="s">
        <v>15</v>
      </c>
      <c r="F927" s="3" t="s">
        <v>34</v>
      </c>
      <c r="G927" s="0" t="n">
        <v>291</v>
      </c>
      <c r="H927" s="0" t="n">
        <v>0</v>
      </c>
      <c r="I927" s="0" t="n">
        <v>45</v>
      </c>
      <c r="J927" s="0" t="n">
        <v>39</v>
      </c>
      <c r="K927" s="0" t="n">
        <v>3.8</v>
      </c>
      <c r="L927" s="3" t="s">
        <v>17</v>
      </c>
    </row>
    <row r="928" customFormat="false" ht="15" hidden="false" customHeight="false" outlineLevel="0" collapsed="false">
      <c r="A928" s="0" t="s">
        <v>1056</v>
      </c>
      <c r="B928" s="2" t="n">
        <v>46018</v>
      </c>
      <c r="C928" s="3" t="s">
        <v>164</v>
      </c>
      <c r="D928" s="3" t="s">
        <v>56</v>
      </c>
      <c r="E928" s="3" t="s">
        <v>15</v>
      </c>
      <c r="F928" s="3" t="s">
        <v>36</v>
      </c>
      <c r="G928" s="0" t="n">
        <v>414</v>
      </c>
      <c r="H928" s="0" t="n">
        <v>0</v>
      </c>
      <c r="I928" s="0" t="n">
        <v>30</v>
      </c>
      <c r="J928" s="0" t="n">
        <v>42</v>
      </c>
      <c r="K928" s="0" t="n">
        <v>5</v>
      </c>
      <c r="L928" s="3" t="s">
        <v>17</v>
      </c>
    </row>
    <row r="929" customFormat="false" ht="15" hidden="false" customHeight="false" outlineLevel="0" collapsed="false">
      <c r="A929" s="0" t="s">
        <v>1057</v>
      </c>
      <c r="B929" s="2" t="n">
        <v>46017</v>
      </c>
      <c r="C929" s="3" t="s">
        <v>27</v>
      </c>
      <c r="D929" s="3" t="s">
        <v>56</v>
      </c>
      <c r="E929" s="3" t="s">
        <v>21</v>
      </c>
      <c r="F929" s="3" t="s">
        <v>36</v>
      </c>
      <c r="G929" s="0" t="n">
        <v>407</v>
      </c>
      <c r="H929" s="0" t="n">
        <v>45</v>
      </c>
      <c r="I929" s="0" t="n">
        <v>40</v>
      </c>
      <c r="J929" s="0" t="n">
        <v>45</v>
      </c>
      <c r="K929" s="0" t="n">
        <v>4.3</v>
      </c>
      <c r="L929" s="3" t="s">
        <v>17</v>
      </c>
    </row>
    <row r="930" customFormat="false" ht="15" hidden="false" customHeight="false" outlineLevel="0" collapsed="false">
      <c r="A930" s="0" t="s">
        <v>1058</v>
      </c>
      <c r="B930" s="2" t="n">
        <v>46008</v>
      </c>
      <c r="C930" s="3" t="s">
        <v>40</v>
      </c>
      <c r="D930" s="3" t="s">
        <v>25</v>
      </c>
      <c r="E930" s="3" t="s">
        <v>21</v>
      </c>
      <c r="F930" s="3" t="s">
        <v>54</v>
      </c>
      <c r="G930" s="0" t="n">
        <v>487</v>
      </c>
      <c r="H930" s="0" t="n">
        <v>0</v>
      </c>
      <c r="I930" s="0" t="n">
        <v>45</v>
      </c>
      <c r="J930" s="0" t="n">
        <v>26</v>
      </c>
      <c r="L930" s="3" t="s">
        <v>17</v>
      </c>
    </row>
    <row r="931" customFormat="false" ht="15" hidden="false" customHeight="false" outlineLevel="0" collapsed="false">
      <c r="A931" s="0" t="s">
        <v>1059</v>
      </c>
      <c r="B931" s="2" t="n">
        <v>45689</v>
      </c>
      <c r="C931" s="3" t="s">
        <v>24</v>
      </c>
      <c r="D931" s="3" t="s">
        <v>56</v>
      </c>
      <c r="E931" s="3" t="s">
        <v>15</v>
      </c>
      <c r="F931" s="3" t="s">
        <v>22</v>
      </c>
      <c r="G931" s="0" t="n">
        <v>335</v>
      </c>
      <c r="H931" s="0" t="n">
        <v>57</v>
      </c>
      <c r="I931" s="0" t="n">
        <v>20</v>
      </c>
      <c r="J931" s="0" t="n">
        <v>24</v>
      </c>
      <c r="K931" s="0" t="n">
        <v>4.4</v>
      </c>
      <c r="L931" s="3" t="s">
        <v>17</v>
      </c>
    </row>
    <row r="932" customFormat="false" ht="15" hidden="false" customHeight="false" outlineLevel="0" collapsed="false">
      <c r="A932" s="0" t="s">
        <v>1060</v>
      </c>
      <c r="B932" s="2" t="n">
        <v>45717</v>
      </c>
      <c r="C932" s="3" t="s">
        <v>27</v>
      </c>
      <c r="D932" s="3" t="s">
        <v>20</v>
      </c>
      <c r="E932" s="3" t="s">
        <v>21</v>
      </c>
      <c r="F932" s="3" t="s">
        <v>34</v>
      </c>
      <c r="G932" s="0" t="n">
        <v>707</v>
      </c>
      <c r="H932" s="0" t="n">
        <v>176</v>
      </c>
      <c r="I932" s="0" t="n">
        <v>0</v>
      </c>
      <c r="J932" s="0" t="n">
        <v>51</v>
      </c>
      <c r="K932" s="0" t="n">
        <v>2.7</v>
      </c>
      <c r="L932" s="3" t="s">
        <v>17</v>
      </c>
    </row>
    <row r="933" customFormat="false" ht="15" hidden="false" customHeight="false" outlineLevel="0" collapsed="false">
      <c r="A933" s="0" t="s">
        <v>1061</v>
      </c>
      <c r="B933" s="2" t="n">
        <v>45784</v>
      </c>
      <c r="C933" s="3" t="s">
        <v>40</v>
      </c>
      <c r="D933" s="3" t="s">
        <v>28</v>
      </c>
      <c r="E933" s="3" t="s">
        <v>15</v>
      </c>
      <c r="F933" s="3" t="s">
        <v>22</v>
      </c>
      <c r="G933" s="0" t="n">
        <v>518</v>
      </c>
      <c r="H933" s="0" t="n">
        <v>73</v>
      </c>
      <c r="I933" s="0" t="n">
        <v>0</v>
      </c>
      <c r="J933" s="0" t="n">
        <v>34</v>
      </c>
      <c r="K933" s="0" t="n">
        <v>3.7</v>
      </c>
      <c r="L933" s="3" t="s">
        <v>17</v>
      </c>
    </row>
    <row r="934" customFormat="false" ht="15" hidden="false" customHeight="false" outlineLevel="0" collapsed="false">
      <c r="A934" s="0" t="s">
        <v>1062</v>
      </c>
      <c r="B934" s="0" t="s">
        <v>1063</v>
      </c>
      <c r="C934" s="0" t="s">
        <v>51</v>
      </c>
      <c r="D934" s="0" t="s">
        <v>56</v>
      </c>
      <c r="E934" s="0" t="s">
        <v>21</v>
      </c>
      <c r="F934" s="0" t="s">
        <v>34</v>
      </c>
      <c r="G934" s="0" t="n">
        <v>320</v>
      </c>
      <c r="H934" s="0" t="n">
        <v>61</v>
      </c>
      <c r="I934" s="0" t="n">
        <v>45</v>
      </c>
      <c r="J934" s="0" t="n">
        <v>25</v>
      </c>
      <c r="K934" s="0" t="n">
        <v>4.7</v>
      </c>
      <c r="L934" s="0" t="s">
        <v>17</v>
      </c>
    </row>
    <row r="935" customFormat="false" ht="15" hidden="false" customHeight="false" outlineLevel="0" collapsed="false">
      <c r="A935" s="0" t="s">
        <v>1064</v>
      </c>
      <c r="B935" s="2" t="n">
        <v>45700</v>
      </c>
      <c r="C935" s="3" t="s">
        <v>40</v>
      </c>
      <c r="D935" s="3" t="s">
        <v>25</v>
      </c>
      <c r="E935" s="3" t="s">
        <v>21</v>
      </c>
      <c r="F935" s="3" t="s">
        <v>36</v>
      </c>
      <c r="G935" s="0" t="n">
        <v>472</v>
      </c>
      <c r="H935" s="0" t="n">
        <v>84</v>
      </c>
      <c r="I935" s="0" t="n">
        <v>20</v>
      </c>
      <c r="J935" s="0" t="n">
        <v>30</v>
      </c>
      <c r="K935" s="0" t="n">
        <v>4.5</v>
      </c>
      <c r="L935" s="3" t="s">
        <v>17</v>
      </c>
    </row>
    <row r="936" customFormat="false" ht="15" hidden="false" customHeight="false" outlineLevel="0" collapsed="false">
      <c r="A936" s="0" t="s">
        <v>1065</v>
      </c>
      <c r="B936" s="2" t="n">
        <v>45974</v>
      </c>
      <c r="C936" s="3" t="s">
        <v>40</v>
      </c>
      <c r="D936" s="3" t="s">
        <v>14</v>
      </c>
      <c r="E936" s="3" t="s">
        <v>21</v>
      </c>
      <c r="F936" s="3" t="s">
        <v>36</v>
      </c>
      <c r="G936" s="0" t="n">
        <v>414</v>
      </c>
      <c r="H936" s="0" t="n">
        <v>0</v>
      </c>
      <c r="I936" s="0" t="n">
        <v>40</v>
      </c>
      <c r="J936" s="0" t="n">
        <v>41</v>
      </c>
      <c r="K936" s="0" t="n">
        <v>4.1</v>
      </c>
      <c r="L936" s="3" t="s">
        <v>17</v>
      </c>
    </row>
    <row r="937" customFormat="false" ht="15" hidden="false" customHeight="false" outlineLevel="0" collapsed="false">
      <c r="A937" s="0" t="s">
        <v>1066</v>
      </c>
      <c r="B937" s="2" t="n">
        <v>45898</v>
      </c>
      <c r="C937" s="3" t="s">
        <v>30</v>
      </c>
      <c r="D937" s="3" t="s">
        <v>25</v>
      </c>
      <c r="E937" s="3" t="s">
        <v>21</v>
      </c>
      <c r="F937" s="3" t="s">
        <v>16</v>
      </c>
      <c r="H937" s="0" t="n">
        <v>39</v>
      </c>
      <c r="I937" s="0" t="n">
        <v>45</v>
      </c>
      <c r="J937" s="0" t="n">
        <v>25</v>
      </c>
      <c r="K937" s="0" t="n">
        <v>4.3</v>
      </c>
      <c r="L937" s="3" t="s">
        <v>17</v>
      </c>
    </row>
    <row r="938" customFormat="false" ht="15" hidden="false" customHeight="false" outlineLevel="0" collapsed="false">
      <c r="A938" s="0" t="s">
        <v>1067</v>
      </c>
      <c r="B938" s="2" t="n">
        <v>45872</v>
      </c>
      <c r="C938" s="3" t="s">
        <v>40</v>
      </c>
      <c r="D938" s="3" t="s">
        <v>49</v>
      </c>
      <c r="E938" s="3" t="s">
        <v>15</v>
      </c>
      <c r="F938" s="3" t="s">
        <v>16</v>
      </c>
      <c r="G938" s="0" t="n">
        <v>407</v>
      </c>
      <c r="H938" s="0" t="n">
        <v>0</v>
      </c>
      <c r="I938" s="0" t="n">
        <v>30</v>
      </c>
      <c r="J938" s="0" t="n">
        <v>40</v>
      </c>
      <c r="K938" s="0" t="n">
        <v>4.6</v>
      </c>
      <c r="L938" s="3" t="s">
        <v>17</v>
      </c>
    </row>
    <row r="939" customFormat="false" ht="15" hidden="false" customHeight="false" outlineLevel="0" collapsed="false">
      <c r="A939" s="0" t="s">
        <v>1068</v>
      </c>
      <c r="B939" s="2" t="n">
        <v>45729</v>
      </c>
      <c r="C939" s="3" t="s">
        <v>45</v>
      </c>
      <c r="D939" s="3" t="s">
        <v>25</v>
      </c>
      <c r="E939" s="3" t="s">
        <v>58</v>
      </c>
      <c r="F939" s="3" t="s">
        <v>22</v>
      </c>
      <c r="G939" s="0" t="n">
        <v>280</v>
      </c>
      <c r="H939" s="0" t="n">
        <v>0</v>
      </c>
      <c r="I939" s="0" t="n">
        <v>40</v>
      </c>
      <c r="J939" s="0" t="n">
        <v>23</v>
      </c>
      <c r="K939" s="0" t="n">
        <v>4.3</v>
      </c>
      <c r="L939" s="3" t="s">
        <v>17</v>
      </c>
    </row>
    <row r="940" customFormat="false" ht="15" hidden="false" customHeight="false" outlineLevel="0" collapsed="false">
      <c r="A940" s="0" t="s">
        <v>1069</v>
      </c>
      <c r="B940" s="0" t="s">
        <v>1070</v>
      </c>
      <c r="C940" s="0" t="s">
        <v>926</v>
      </c>
      <c r="D940" s="0" t="s">
        <v>20</v>
      </c>
      <c r="E940" s="0" t="s">
        <v>21</v>
      </c>
      <c r="F940" s="0" t="s">
        <v>22</v>
      </c>
      <c r="G940" s="0" t="n">
        <v>707</v>
      </c>
      <c r="H940" s="0" t="n">
        <v>0</v>
      </c>
      <c r="I940" s="0" t="n">
        <v>0</v>
      </c>
      <c r="J940" s="0" t="n">
        <v>21</v>
      </c>
      <c r="K940" s="0" t="n">
        <v>4.8</v>
      </c>
      <c r="L940" s="0" t="s">
        <v>17</v>
      </c>
    </row>
    <row r="941" customFormat="false" ht="15" hidden="false" customHeight="false" outlineLevel="0" collapsed="false">
      <c r="A941" s="0" t="s">
        <v>1071</v>
      </c>
      <c r="B941" s="2" t="n">
        <v>45726</v>
      </c>
      <c r="C941" s="3" t="s">
        <v>40</v>
      </c>
      <c r="D941" s="3" t="s">
        <v>20</v>
      </c>
      <c r="E941" s="3" t="s">
        <v>21</v>
      </c>
      <c r="F941" s="3" t="s">
        <v>22</v>
      </c>
      <c r="G941" s="0" t="n">
        <v>378</v>
      </c>
      <c r="H941" s="0" t="n">
        <v>0</v>
      </c>
      <c r="I941" s="0" t="n">
        <v>40</v>
      </c>
      <c r="J941" s="0" t="n">
        <v>48</v>
      </c>
      <c r="K941" s="0" t="n">
        <v>4</v>
      </c>
      <c r="L941" s="3" t="s">
        <v>17</v>
      </c>
    </row>
    <row r="942" customFormat="false" ht="15" hidden="false" customHeight="false" outlineLevel="0" collapsed="false">
      <c r="A942" s="0" t="s">
        <v>1072</v>
      </c>
      <c r="B942" s="2" t="n">
        <v>45976</v>
      </c>
      <c r="C942" s="3" t="s">
        <v>13</v>
      </c>
      <c r="D942" s="3" t="s">
        <v>14</v>
      </c>
      <c r="E942" s="3" t="s">
        <v>21</v>
      </c>
      <c r="F942" s="3" t="s">
        <v>54</v>
      </c>
      <c r="G942" s="0" t="n">
        <v>387</v>
      </c>
      <c r="H942" s="0" t="n">
        <v>0</v>
      </c>
      <c r="I942" s="0" t="n">
        <v>30</v>
      </c>
      <c r="L942" s="3" t="s">
        <v>68</v>
      </c>
    </row>
    <row r="943" customFormat="false" ht="15" hidden="false" customHeight="false" outlineLevel="0" collapsed="false">
      <c r="A943" s="0" t="s">
        <v>1073</v>
      </c>
      <c r="B943" s="2" t="n">
        <v>45886</v>
      </c>
      <c r="C943" s="3" t="s">
        <v>13</v>
      </c>
      <c r="D943" s="3" t="s">
        <v>31</v>
      </c>
      <c r="E943" s="3" t="s">
        <v>21</v>
      </c>
      <c r="F943" s="3" t="s">
        <v>22</v>
      </c>
      <c r="G943" s="0" t="n">
        <v>531</v>
      </c>
      <c r="H943" s="0" t="n">
        <v>80</v>
      </c>
      <c r="I943" s="0" t="n">
        <v>0</v>
      </c>
      <c r="J943" s="0" t="n">
        <v>31</v>
      </c>
      <c r="K943" s="0" t="n">
        <v>3.9</v>
      </c>
      <c r="L943" s="3" t="s">
        <v>17</v>
      </c>
    </row>
    <row r="944" customFormat="false" ht="15" hidden="false" customHeight="false" outlineLevel="0" collapsed="false">
      <c r="A944" s="0" t="s">
        <v>1074</v>
      </c>
      <c r="B944" s="2" t="n">
        <v>45938</v>
      </c>
      <c r="C944" s="3" t="s">
        <v>13</v>
      </c>
      <c r="D944" s="3" t="s">
        <v>49</v>
      </c>
      <c r="E944" s="3" t="s">
        <v>21</v>
      </c>
      <c r="F944" s="3" t="s">
        <v>54</v>
      </c>
      <c r="G944" s="0" t="n">
        <v>448</v>
      </c>
      <c r="H944" s="0" t="n">
        <v>0</v>
      </c>
      <c r="I944" s="0" t="n">
        <v>45</v>
      </c>
      <c r="J944" s="0" t="n">
        <v>29</v>
      </c>
      <c r="K944" s="0" t="n">
        <v>4.2</v>
      </c>
      <c r="L944" s="3" t="s">
        <v>17</v>
      </c>
    </row>
    <row r="945" customFormat="false" ht="15" hidden="false" customHeight="false" outlineLevel="0" collapsed="false">
      <c r="A945" s="0" t="s">
        <v>1075</v>
      </c>
      <c r="B945" s="2" t="n">
        <v>45781</v>
      </c>
      <c r="C945" s="3" t="s">
        <v>30</v>
      </c>
      <c r="D945" s="3" t="s">
        <v>20</v>
      </c>
      <c r="E945" s="3" t="s">
        <v>21</v>
      </c>
      <c r="F945" s="3" t="s">
        <v>22</v>
      </c>
      <c r="G945" s="0" t="n">
        <v>451</v>
      </c>
      <c r="H945" s="0" t="n">
        <v>0</v>
      </c>
      <c r="I945" s="0" t="n">
        <v>20</v>
      </c>
      <c r="J945" s="0" t="n">
        <v>41</v>
      </c>
      <c r="K945" s="0" t="n">
        <v>5</v>
      </c>
      <c r="L945" s="3" t="s">
        <v>17</v>
      </c>
    </row>
    <row r="946" customFormat="false" ht="15" hidden="false" customHeight="false" outlineLevel="0" collapsed="false">
      <c r="A946" s="0" t="s">
        <v>1076</v>
      </c>
      <c r="B946" s="2" t="n">
        <v>45810</v>
      </c>
      <c r="C946" s="3" t="s">
        <v>13</v>
      </c>
      <c r="D946" s="3" t="s">
        <v>20</v>
      </c>
      <c r="E946" s="3" t="s">
        <v>21</v>
      </c>
      <c r="F946" s="3" t="s">
        <v>36</v>
      </c>
      <c r="G946" s="0" t="n">
        <v>482</v>
      </c>
      <c r="H946" s="0" t="n">
        <v>0</v>
      </c>
      <c r="I946" s="0" t="n">
        <v>20</v>
      </c>
      <c r="J946" s="0" t="n">
        <v>37</v>
      </c>
      <c r="K946" s="0" t="n">
        <v>4.8</v>
      </c>
      <c r="L946" s="3" t="s">
        <v>17</v>
      </c>
    </row>
    <row r="947" customFormat="false" ht="15" hidden="false" customHeight="false" outlineLevel="0" collapsed="false">
      <c r="A947" s="0" t="s">
        <v>1077</v>
      </c>
      <c r="B947" s="2" t="n">
        <v>45822</v>
      </c>
      <c r="C947" s="3" t="s">
        <v>27</v>
      </c>
      <c r="D947" s="3" t="s">
        <v>56</v>
      </c>
      <c r="E947" s="3" t="s">
        <v>21</v>
      </c>
      <c r="F947" s="3" t="s">
        <v>34</v>
      </c>
      <c r="G947" s="0" t="n">
        <v>402</v>
      </c>
      <c r="H947" s="0" t="n">
        <v>0</v>
      </c>
      <c r="I947" s="0" t="n">
        <v>45</v>
      </c>
      <c r="J947" s="0" t="n">
        <v>50</v>
      </c>
      <c r="K947" s="0" t="n">
        <v>4.4</v>
      </c>
      <c r="L947" s="3" t="s">
        <v>17</v>
      </c>
    </row>
    <row r="948" customFormat="false" ht="15" hidden="false" customHeight="false" outlineLevel="0" collapsed="false">
      <c r="A948" s="0" t="s">
        <v>1078</v>
      </c>
      <c r="B948" s="2" t="n">
        <v>45946</v>
      </c>
      <c r="C948" s="3" t="s">
        <v>24</v>
      </c>
      <c r="D948" s="3" t="s">
        <v>31</v>
      </c>
      <c r="E948" s="3" t="s">
        <v>21</v>
      </c>
      <c r="F948" s="3" t="s">
        <v>36</v>
      </c>
      <c r="G948" s="0" t="n">
        <v>353</v>
      </c>
      <c r="H948" s="0" t="n">
        <v>0</v>
      </c>
      <c r="I948" s="0" t="n">
        <v>45</v>
      </c>
      <c r="J948" s="0" t="n">
        <v>32</v>
      </c>
      <c r="K948" s="0" t="n">
        <v>4</v>
      </c>
      <c r="L948" s="3" t="s">
        <v>17</v>
      </c>
    </row>
    <row r="949" customFormat="false" ht="15" hidden="false" customHeight="false" outlineLevel="0" collapsed="false">
      <c r="A949" s="0" t="s">
        <v>1079</v>
      </c>
      <c r="B949" s="0" t="s">
        <v>1080</v>
      </c>
      <c r="C949" s="0" t="s">
        <v>13</v>
      </c>
      <c r="D949" s="0" t="s">
        <v>56</v>
      </c>
      <c r="E949" s="0" t="s">
        <v>21</v>
      </c>
      <c r="F949" s="0" t="s">
        <v>34</v>
      </c>
      <c r="G949" s="0" t="n">
        <v>413</v>
      </c>
      <c r="H949" s="0" t="n">
        <v>0</v>
      </c>
      <c r="I949" s="0" t="n">
        <v>40</v>
      </c>
      <c r="J949" s="0" t="n">
        <v>33</v>
      </c>
      <c r="K949" s="0" t="n">
        <v>3.6</v>
      </c>
      <c r="L949" s="0" t="s">
        <v>17</v>
      </c>
    </row>
    <row r="950" customFormat="false" ht="15" hidden="false" customHeight="false" outlineLevel="0" collapsed="false">
      <c r="A950" s="0" t="s">
        <v>1081</v>
      </c>
      <c r="B950" s="2" t="n">
        <v>45746</v>
      </c>
      <c r="C950" s="3" t="s">
        <v>51</v>
      </c>
      <c r="D950" s="3" t="s">
        <v>25</v>
      </c>
      <c r="E950" s="3" t="s">
        <v>15</v>
      </c>
      <c r="F950" s="3" t="s">
        <v>36</v>
      </c>
      <c r="G950" s="0" t="n">
        <v>444</v>
      </c>
      <c r="H950" s="0" t="n">
        <v>70</v>
      </c>
      <c r="I950" s="0" t="n">
        <v>40</v>
      </c>
      <c r="J950" s="0" t="n">
        <v>38</v>
      </c>
      <c r="L950" s="3" t="s">
        <v>17</v>
      </c>
    </row>
    <row r="951" customFormat="false" ht="15" hidden="false" customHeight="false" outlineLevel="0" collapsed="false">
      <c r="A951" s="0" t="s">
        <v>1082</v>
      </c>
      <c r="B951" s="2" t="n">
        <v>46004</v>
      </c>
      <c r="C951" s="3" t="s">
        <v>27</v>
      </c>
      <c r="D951" s="3" t="s">
        <v>25</v>
      </c>
      <c r="E951" s="3" t="s">
        <v>21</v>
      </c>
      <c r="F951" s="3" t="s">
        <v>54</v>
      </c>
      <c r="G951" s="0" t="n">
        <v>616</v>
      </c>
      <c r="H951" s="0" t="n">
        <v>0</v>
      </c>
      <c r="I951" s="0" t="n">
        <v>0</v>
      </c>
      <c r="J951" s="0" t="n">
        <v>38</v>
      </c>
      <c r="K951" s="0" t="n">
        <v>4.7</v>
      </c>
      <c r="L951" s="3" t="s">
        <v>17</v>
      </c>
    </row>
    <row r="952" customFormat="false" ht="15" hidden="false" customHeight="false" outlineLevel="0" collapsed="false">
      <c r="A952" s="0" t="s">
        <v>1082</v>
      </c>
      <c r="B952" s="2" t="n">
        <v>46004</v>
      </c>
      <c r="C952" s="3" t="s">
        <v>27</v>
      </c>
      <c r="D952" s="3" t="s">
        <v>25</v>
      </c>
      <c r="E952" s="3" t="s">
        <v>21</v>
      </c>
      <c r="F952" s="3" t="s">
        <v>54</v>
      </c>
      <c r="G952" s="0" t="n">
        <v>616</v>
      </c>
      <c r="H952" s="0" t="n">
        <v>0</v>
      </c>
      <c r="I952" s="0" t="n">
        <v>0</v>
      </c>
      <c r="J952" s="0" t="n">
        <v>38</v>
      </c>
      <c r="K952" s="0" t="n">
        <v>4.7</v>
      </c>
      <c r="L952" s="3" t="s">
        <v>17</v>
      </c>
    </row>
    <row r="953" customFormat="false" ht="15" hidden="false" customHeight="false" outlineLevel="0" collapsed="false">
      <c r="A953" s="0" t="s">
        <v>1083</v>
      </c>
      <c r="B953" s="2" t="n">
        <v>45710</v>
      </c>
      <c r="C953" s="3" t="s">
        <v>13</v>
      </c>
      <c r="D953" s="3" t="s">
        <v>20</v>
      </c>
      <c r="E953" s="3" t="s">
        <v>15</v>
      </c>
      <c r="F953" s="3" t="s">
        <v>16</v>
      </c>
      <c r="G953" s="0" t="n">
        <v>523</v>
      </c>
      <c r="H953" s="0" t="n">
        <v>0</v>
      </c>
      <c r="I953" s="0" t="n">
        <v>0</v>
      </c>
      <c r="J953" s="0" t="n">
        <v>32</v>
      </c>
      <c r="K953" s="0" t="n">
        <v>4.4</v>
      </c>
      <c r="L953" s="3" t="s">
        <v>17</v>
      </c>
    </row>
    <row r="954" customFormat="false" ht="15" hidden="false" customHeight="false" outlineLevel="0" collapsed="false">
      <c r="A954" s="0" t="s">
        <v>1084</v>
      </c>
      <c r="B954" s="2" t="n">
        <v>45990</v>
      </c>
      <c r="C954" s="3" t="s">
        <v>27</v>
      </c>
      <c r="D954" s="3" t="s">
        <v>56</v>
      </c>
      <c r="E954" s="3" t="s">
        <v>21</v>
      </c>
      <c r="F954" s="3" t="s">
        <v>22</v>
      </c>
      <c r="G954" s="0" t="n">
        <v>513</v>
      </c>
      <c r="H954" s="0" t="n">
        <v>0</v>
      </c>
      <c r="I954" s="0" t="n">
        <v>0</v>
      </c>
      <c r="J954" s="0" t="n">
        <v>38</v>
      </c>
      <c r="K954" s="0" t="n">
        <v>4</v>
      </c>
      <c r="L954" s="3" t="s">
        <v>17</v>
      </c>
    </row>
    <row r="955" customFormat="false" ht="15" hidden="false" customHeight="false" outlineLevel="0" collapsed="false">
      <c r="A955" s="0" t="s">
        <v>1085</v>
      </c>
      <c r="B955" s="0" t="s">
        <v>367</v>
      </c>
      <c r="C955" s="0" t="s">
        <v>13</v>
      </c>
      <c r="D955" s="0" t="s">
        <v>31</v>
      </c>
      <c r="E955" s="0" t="s">
        <v>15</v>
      </c>
      <c r="F955" s="0" t="s">
        <v>22</v>
      </c>
      <c r="G955" s="0" t="n">
        <v>408</v>
      </c>
      <c r="H955" s="0" t="n">
        <v>0</v>
      </c>
      <c r="I955" s="0" t="n">
        <v>40</v>
      </c>
      <c r="L955" s="0" t="s">
        <v>68</v>
      </c>
    </row>
    <row r="956" customFormat="false" ht="15" hidden="false" customHeight="false" outlineLevel="0" collapsed="false">
      <c r="A956" s="0" t="s">
        <v>1086</v>
      </c>
      <c r="B956" s="2" t="n">
        <v>45769</v>
      </c>
      <c r="C956" s="3" t="s">
        <v>19</v>
      </c>
      <c r="D956" s="3" t="s">
        <v>31</v>
      </c>
      <c r="E956" s="3" t="s">
        <v>15</v>
      </c>
      <c r="F956" s="3" t="s">
        <v>36</v>
      </c>
      <c r="G956" s="0" t="n">
        <v>410</v>
      </c>
      <c r="H956" s="0" t="n">
        <v>0</v>
      </c>
      <c r="I956" s="0" t="n">
        <v>40</v>
      </c>
      <c r="J956" s="0" t="n">
        <v>19</v>
      </c>
      <c r="K956" s="0" t="n">
        <v>5</v>
      </c>
      <c r="L956" s="3" t="s">
        <v>17</v>
      </c>
    </row>
    <row r="957" customFormat="false" ht="15" hidden="false" customHeight="false" outlineLevel="0" collapsed="false">
      <c r="A957" s="0" t="s">
        <v>1087</v>
      </c>
      <c r="B957" s="2" t="n">
        <v>45974</v>
      </c>
      <c r="C957" s="3" t="s">
        <v>40</v>
      </c>
      <c r="D957" s="3" t="s">
        <v>31</v>
      </c>
      <c r="E957" s="3" t="s">
        <v>21</v>
      </c>
      <c r="F957" s="3" t="s">
        <v>16</v>
      </c>
      <c r="G957" s="0" t="n">
        <v>530</v>
      </c>
      <c r="H957" s="0" t="n">
        <v>0</v>
      </c>
      <c r="I957" s="0" t="n">
        <v>0</v>
      </c>
      <c r="J957" s="0" t="n">
        <v>42</v>
      </c>
      <c r="K957" s="0" t="n">
        <v>4.7</v>
      </c>
      <c r="L957" s="3" t="s">
        <v>17</v>
      </c>
    </row>
    <row r="958" customFormat="false" ht="15" hidden="false" customHeight="false" outlineLevel="0" collapsed="false">
      <c r="A958" s="0" t="s">
        <v>1088</v>
      </c>
      <c r="B958" s="2" t="n">
        <v>45734</v>
      </c>
      <c r="C958" s="3" t="s">
        <v>24</v>
      </c>
      <c r="D958" s="3" t="s">
        <v>31</v>
      </c>
      <c r="E958" s="3" t="s">
        <v>21</v>
      </c>
      <c r="F958" s="3" t="s">
        <v>16</v>
      </c>
      <c r="G958" s="0" t="n">
        <v>502</v>
      </c>
      <c r="H958" s="0" t="n">
        <v>57</v>
      </c>
      <c r="I958" s="0" t="n">
        <v>0</v>
      </c>
      <c r="J958" s="0" t="n">
        <v>38</v>
      </c>
      <c r="K958" s="0" t="n">
        <v>3.9</v>
      </c>
      <c r="L958" s="3" t="s">
        <v>17</v>
      </c>
    </row>
    <row r="959" customFormat="false" ht="15" hidden="false" customHeight="false" outlineLevel="0" collapsed="false">
      <c r="A959" s="0" t="s">
        <v>1089</v>
      </c>
      <c r="B959" s="2" t="n">
        <v>45826</v>
      </c>
      <c r="C959" s="3" t="s">
        <v>27</v>
      </c>
      <c r="D959" s="3" t="s">
        <v>20</v>
      </c>
      <c r="E959" s="3" t="s">
        <v>21</v>
      </c>
      <c r="F959" s="3" t="s">
        <v>34</v>
      </c>
      <c r="G959" s="0" t="n">
        <v>507</v>
      </c>
      <c r="H959" s="0" t="n">
        <v>80</v>
      </c>
      <c r="I959" s="0" t="n">
        <v>0</v>
      </c>
      <c r="J959" s="0" t="n">
        <v>41</v>
      </c>
      <c r="K959" s="0" t="n">
        <v>3.7</v>
      </c>
      <c r="L959" s="3" t="s">
        <v>17</v>
      </c>
    </row>
    <row r="960" customFormat="false" ht="15" hidden="false" customHeight="false" outlineLevel="0" collapsed="false">
      <c r="A960" s="0" t="s">
        <v>1090</v>
      </c>
      <c r="B960" s="2" t="n">
        <v>45839</v>
      </c>
      <c r="C960" s="3" t="s">
        <v>27</v>
      </c>
      <c r="D960" s="3" t="s">
        <v>31</v>
      </c>
      <c r="E960" s="3" t="s">
        <v>21</v>
      </c>
      <c r="F960" s="3" t="s">
        <v>22</v>
      </c>
      <c r="G960" s="0" t="n">
        <v>583</v>
      </c>
      <c r="H960" s="0" t="n">
        <v>0</v>
      </c>
      <c r="I960" s="0" t="n">
        <v>0</v>
      </c>
      <c r="J960" s="0" t="n">
        <v>45</v>
      </c>
      <c r="K960" s="0" t="n">
        <v>4.6</v>
      </c>
      <c r="L960" s="3" t="s">
        <v>17</v>
      </c>
    </row>
    <row r="961" customFormat="false" ht="15" hidden="false" customHeight="false" outlineLevel="0" collapsed="false">
      <c r="A961" s="0" t="s">
        <v>1091</v>
      </c>
      <c r="B961" s="2" t="n">
        <v>45761</v>
      </c>
      <c r="C961" s="3" t="s">
        <v>27</v>
      </c>
      <c r="D961" s="3" t="s">
        <v>14</v>
      </c>
      <c r="E961" s="3" t="s">
        <v>15</v>
      </c>
      <c r="F961" s="3" t="s">
        <v>36</v>
      </c>
      <c r="G961" s="0" t="n">
        <v>338</v>
      </c>
      <c r="H961" s="0" t="n">
        <v>41</v>
      </c>
      <c r="I961" s="0" t="n">
        <v>40</v>
      </c>
      <c r="J961" s="0" t="n">
        <v>39</v>
      </c>
      <c r="K961" s="0" t="n">
        <v>3.9</v>
      </c>
      <c r="L961" s="3" t="s">
        <v>17</v>
      </c>
    </row>
    <row r="962" customFormat="false" ht="15" hidden="false" customHeight="false" outlineLevel="0" collapsed="false">
      <c r="A962" s="0" t="s">
        <v>1092</v>
      </c>
      <c r="B962" s="0" t="s">
        <v>1093</v>
      </c>
      <c r="C962" s="0" t="s">
        <v>964</v>
      </c>
      <c r="D962" s="0" t="s">
        <v>25</v>
      </c>
      <c r="E962" s="0" t="s">
        <v>21</v>
      </c>
      <c r="F962" s="0" t="s">
        <v>36</v>
      </c>
      <c r="G962" s="0" t="n">
        <v>519</v>
      </c>
      <c r="H962" s="0" t="n">
        <v>0</v>
      </c>
      <c r="I962" s="0" t="n">
        <v>0</v>
      </c>
      <c r="J962" s="0" t="n">
        <v>33</v>
      </c>
      <c r="K962" s="0" t="n">
        <v>5</v>
      </c>
      <c r="L962" s="0" t="s">
        <v>17</v>
      </c>
    </row>
    <row r="963" customFormat="false" ht="15" hidden="false" customHeight="false" outlineLevel="0" collapsed="false">
      <c r="A963" s="0" t="s">
        <v>1094</v>
      </c>
      <c r="B963" s="2" t="n">
        <v>45976</v>
      </c>
      <c r="C963" s="3" t="s">
        <v>27</v>
      </c>
      <c r="D963" s="3" t="s">
        <v>31</v>
      </c>
      <c r="E963" s="3" t="s">
        <v>21</v>
      </c>
      <c r="F963" s="3" t="s">
        <v>36</v>
      </c>
      <c r="G963" s="0" t="n">
        <v>569</v>
      </c>
      <c r="H963" s="0" t="n">
        <v>0</v>
      </c>
      <c r="I963" s="0" t="n">
        <v>0</v>
      </c>
      <c r="L963" s="3" t="s">
        <v>68</v>
      </c>
    </row>
    <row r="964" customFormat="false" ht="15" hidden="false" customHeight="false" outlineLevel="0" collapsed="false">
      <c r="A964" s="0" t="s">
        <v>1095</v>
      </c>
      <c r="B964" s="0" t="s">
        <v>265</v>
      </c>
      <c r="C964" s="0" t="s">
        <v>27</v>
      </c>
      <c r="D964" s="0" t="s">
        <v>14</v>
      </c>
      <c r="E964" s="0" t="s">
        <v>21</v>
      </c>
      <c r="F964" s="0" t="s">
        <v>36</v>
      </c>
      <c r="G964" s="0" t="n">
        <v>176</v>
      </c>
      <c r="H964" s="0" t="n">
        <v>0</v>
      </c>
      <c r="I964" s="0" t="n">
        <v>45</v>
      </c>
      <c r="J964" s="0" t="n">
        <v>46</v>
      </c>
      <c r="K964" s="0" t="n">
        <v>3.8</v>
      </c>
      <c r="L964" s="0" t="s">
        <v>17</v>
      </c>
    </row>
    <row r="965" customFormat="false" ht="15" hidden="false" customHeight="false" outlineLevel="0" collapsed="false">
      <c r="A965" s="0" t="s">
        <v>1096</v>
      </c>
      <c r="B965" s="2" t="n">
        <v>45798</v>
      </c>
      <c r="C965" s="3" t="s">
        <v>27</v>
      </c>
      <c r="D965" s="3" t="s">
        <v>25</v>
      </c>
      <c r="E965" s="3" t="s">
        <v>21</v>
      </c>
      <c r="F965" s="3" t="s">
        <v>54</v>
      </c>
      <c r="G965" s="0" t="n">
        <v>391</v>
      </c>
      <c r="H965" s="0" t="n">
        <v>0</v>
      </c>
      <c r="I965" s="0" t="n">
        <v>40</v>
      </c>
      <c r="J965" s="0" t="n">
        <v>38</v>
      </c>
      <c r="K965" s="0" t="n">
        <v>4.2</v>
      </c>
      <c r="L965" s="3" t="s">
        <v>17</v>
      </c>
    </row>
    <row r="966" customFormat="false" ht="15" hidden="false" customHeight="false" outlineLevel="0" collapsed="false">
      <c r="A966" s="0" t="s">
        <v>1097</v>
      </c>
      <c r="B966" s="2" t="n">
        <v>45868</v>
      </c>
      <c r="C966" s="3" t="s">
        <v>13</v>
      </c>
      <c r="D966" s="3" t="s">
        <v>56</v>
      </c>
      <c r="E966" s="3" t="s">
        <v>15</v>
      </c>
      <c r="F966" s="3" t="s">
        <v>34</v>
      </c>
      <c r="G966" s="0" t="n">
        <v>316</v>
      </c>
      <c r="H966" s="0" t="n">
        <v>0</v>
      </c>
      <c r="I966" s="0" t="n">
        <v>20</v>
      </c>
      <c r="J966" s="0" t="n">
        <v>29</v>
      </c>
      <c r="K966" s="0" t="n">
        <v>4.2</v>
      </c>
      <c r="L966" s="3" t="s">
        <v>17</v>
      </c>
    </row>
    <row r="967" customFormat="false" ht="15" hidden="false" customHeight="false" outlineLevel="0" collapsed="false">
      <c r="A967" s="0" t="s">
        <v>1098</v>
      </c>
      <c r="B967" s="0" t="s">
        <v>1099</v>
      </c>
      <c r="C967" s="0" t="s">
        <v>13</v>
      </c>
      <c r="D967" s="0" t="s">
        <v>78</v>
      </c>
      <c r="E967" s="0" t="s">
        <v>21</v>
      </c>
      <c r="F967" s="0" t="s">
        <v>54</v>
      </c>
      <c r="G967" s="0" t="n">
        <v>478</v>
      </c>
      <c r="H967" s="0" t="n">
        <v>0</v>
      </c>
      <c r="I967" s="0" t="n">
        <v>30</v>
      </c>
      <c r="J967" s="0" t="n">
        <v>32</v>
      </c>
      <c r="K967" s="0" t="n">
        <v>4.9</v>
      </c>
      <c r="L967" s="0" t="s">
        <v>17</v>
      </c>
    </row>
    <row r="968" customFormat="false" ht="15" hidden="false" customHeight="false" outlineLevel="0" collapsed="false">
      <c r="A968" s="0" t="s">
        <v>1100</v>
      </c>
      <c r="B968" s="2" t="n">
        <v>45761</v>
      </c>
      <c r="C968" s="3" t="s">
        <v>13</v>
      </c>
      <c r="D968" s="3" t="s">
        <v>49</v>
      </c>
      <c r="E968" s="3" t="s">
        <v>21</v>
      </c>
      <c r="F968" s="3" t="s">
        <v>22</v>
      </c>
      <c r="G968" s="0" t="n">
        <v>523</v>
      </c>
      <c r="H968" s="0" t="n">
        <v>102</v>
      </c>
      <c r="I968" s="0" t="n">
        <v>0</v>
      </c>
      <c r="J968" s="0" t="n">
        <v>29</v>
      </c>
      <c r="K968" s="0" t="n">
        <v>4.9</v>
      </c>
      <c r="L968" s="3" t="s">
        <v>17</v>
      </c>
    </row>
    <row r="969" customFormat="false" ht="15" hidden="false" customHeight="false" outlineLevel="0" collapsed="false">
      <c r="A969" s="0" t="s">
        <v>1101</v>
      </c>
      <c r="B969" s="2" t="n">
        <v>45727</v>
      </c>
      <c r="C969" s="3" t="s">
        <v>30</v>
      </c>
      <c r="D969" s="3" t="s">
        <v>28</v>
      </c>
      <c r="E969" s="3" t="s">
        <v>15</v>
      </c>
      <c r="F969" s="3" t="s">
        <v>34</v>
      </c>
      <c r="G969" s="0" t="n">
        <v>417</v>
      </c>
      <c r="H969" s="0" t="n">
        <v>0</v>
      </c>
      <c r="I969" s="0" t="n">
        <v>40</v>
      </c>
      <c r="J969" s="0" t="n">
        <v>42</v>
      </c>
      <c r="K969" s="0" t="n">
        <v>4.6</v>
      </c>
      <c r="L969" s="3" t="s">
        <v>17</v>
      </c>
    </row>
    <row r="970" customFormat="false" ht="15" hidden="false" customHeight="false" outlineLevel="0" collapsed="false">
      <c r="A970" s="0" t="s">
        <v>1102</v>
      </c>
      <c r="B970" s="2" t="n">
        <v>46004</v>
      </c>
      <c r="C970" s="3" t="s">
        <v>13</v>
      </c>
      <c r="D970" s="3" t="s">
        <v>31</v>
      </c>
      <c r="E970" s="3" t="s">
        <v>21</v>
      </c>
      <c r="F970" s="3" t="s">
        <v>36</v>
      </c>
      <c r="G970" s="0" t="n">
        <v>383</v>
      </c>
      <c r="H970" s="0" t="n">
        <v>68</v>
      </c>
      <c r="I970" s="0" t="n">
        <v>45</v>
      </c>
      <c r="J970" s="0" t="n">
        <v>35</v>
      </c>
      <c r="K970" s="0" t="n">
        <v>4.4</v>
      </c>
      <c r="L970" s="3" t="s">
        <v>17</v>
      </c>
    </row>
    <row r="971" customFormat="false" ht="15" hidden="false" customHeight="false" outlineLevel="0" collapsed="false">
      <c r="A971" s="0" t="s">
        <v>1103</v>
      </c>
      <c r="B971" s="2" t="n">
        <v>45988</v>
      </c>
      <c r="C971" s="3" t="s">
        <v>27</v>
      </c>
      <c r="D971" s="3" t="s">
        <v>20</v>
      </c>
      <c r="E971" s="3" t="s">
        <v>21</v>
      </c>
      <c r="F971" s="3" t="s">
        <v>16</v>
      </c>
      <c r="G971" s="0" t="n">
        <v>739</v>
      </c>
      <c r="H971" s="0" t="n">
        <v>0</v>
      </c>
      <c r="I971" s="0" t="n">
        <v>0</v>
      </c>
      <c r="J971" s="0" t="n">
        <v>42</v>
      </c>
      <c r="K971" s="0" t="n">
        <v>3.9</v>
      </c>
      <c r="L971" s="3" t="s">
        <v>17</v>
      </c>
    </row>
    <row r="972" customFormat="false" ht="15" hidden="false" customHeight="false" outlineLevel="0" collapsed="false">
      <c r="A972" s="0" t="s">
        <v>1104</v>
      </c>
      <c r="B972" s="0" t="s">
        <v>1105</v>
      </c>
      <c r="C972" s="0" t="s">
        <v>27</v>
      </c>
      <c r="D972" s="0" t="s">
        <v>78</v>
      </c>
      <c r="E972" s="0" t="s">
        <v>15</v>
      </c>
      <c r="F972" s="0" t="s">
        <v>22</v>
      </c>
      <c r="G972" s="0" t="n">
        <v>406</v>
      </c>
      <c r="H972" s="0" t="n">
        <v>0</v>
      </c>
      <c r="I972" s="0" t="n">
        <v>20</v>
      </c>
      <c r="J972" s="0" t="n">
        <v>35</v>
      </c>
      <c r="K972" s="0" t="n">
        <v>4.3</v>
      </c>
      <c r="L972" s="0" t="s">
        <v>17</v>
      </c>
    </row>
    <row r="973" customFormat="false" ht="15" hidden="false" customHeight="false" outlineLevel="0" collapsed="false">
      <c r="A973" s="0" t="s">
        <v>1106</v>
      </c>
      <c r="B973" s="2" t="n">
        <v>45863</v>
      </c>
      <c r="C973" s="3" t="s">
        <v>40</v>
      </c>
      <c r="D973" s="3" t="s">
        <v>49</v>
      </c>
      <c r="E973" s="3" t="s">
        <v>21</v>
      </c>
      <c r="F973" s="3" t="s">
        <v>16</v>
      </c>
      <c r="G973" s="0" t="n">
        <v>509</v>
      </c>
      <c r="H973" s="0" t="n">
        <v>0</v>
      </c>
      <c r="I973" s="0" t="n">
        <v>0</v>
      </c>
      <c r="J973" s="0" t="n">
        <v>43</v>
      </c>
      <c r="K973" s="0" t="n">
        <v>3.9</v>
      </c>
      <c r="L973" s="3" t="s">
        <v>17</v>
      </c>
    </row>
    <row r="974" customFormat="false" ht="15" hidden="false" customHeight="false" outlineLevel="0" collapsed="false">
      <c r="A974" s="0" t="s">
        <v>1107</v>
      </c>
      <c r="B974" s="2" t="n">
        <v>45854</v>
      </c>
      <c r="C974" s="3" t="s">
        <v>24</v>
      </c>
      <c r="D974" s="3" t="s">
        <v>31</v>
      </c>
      <c r="E974" s="3" t="s">
        <v>15</v>
      </c>
      <c r="F974" s="3" t="s">
        <v>22</v>
      </c>
      <c r="G974" s="0" t="n">
        <v>340</v>
      </c>
      <c r="H974" s="0" t="n">
        <v>0</v>
      </c>
      <c r="I974" s="0" t="n">
        <v>20</v>
      </c>
      <c r="J974" s="0" t="n">
        <v>32</v>
      </c>
      <c r="K974" s="0" t="n">
        <v>5</v>
      </c>
      <c r="L974" s="3" t="s">
        <v>17</v>
      </c>
    </row>
    <row r="975" customFormat="false" ht="15" hidden="false" customHeight="false" outlineLevel="0" collapsed="false">
      <c r="A975" s="0" t="s">
        <v>1108</v>
      </c>
      <c r="B975" s="2" t="n">
        <v>45868</v>
      </c>
      <c r="C975" s="3" t="s">
        <v>27</v>
      </c>
      <c r="D975" s="3" t="s">
        <v>56</v>
      </c>
      <c r="E975" s="3" t="s">
        <v>15</v>
      </c>
      <c r="F975" s="3" t="s">
        <v>54</v>
      </c>
      <c r="G975" s="0" t="n">
        <v>460</v>
      </c>
      <c r="H975" s="0" t="n">
        <v>0</v>
      </c>
      <c r="I975" s="0" t="n">
        <v>40</v>
      </c>
      <c r="J975" s="0" t="n">
        <v>37</v>
      </c>
      <c r="K975" s="0" t="n">
        <v>4.7</v>
      </c>
      <c r="L975" s="3" t="s">
        <v>17</v>
      </c>
    </row>
    <row r="976" customFormat="false" ht="15" hidden="false" customHeight="false" outlineLevel="0" collapsed="false">
      <c r="A976" s="0" t="s">
        <v>1109</v>
      </c>
      <c r="B976" s="0" t="s">
        <v>1110</v>
      </c>
      <c r="C976" s="0" t="s">
        <v>45</v>
      </c>
      <c r="D976" s="0" t="s">
        <v>25</v>
      </c>
      <c r="E976" s="0" t="s">
        <v>21</v>
      </c>
      <c r="F976" s="0" t="s">
        <v>22</v>
      </c>
      <c r="G976" s="0" t="n">
        <v>305</v>
      </c>
      <c r="H976" s="0" t="n">
        <v>0</v>
      </c>
      <c r="I976" s="0" t="n">
        <v>45</v>
      </c>
      <c r="J976" s="0" t="n">
        <v>35</v>
      </c>
      <c r="K976" s="0" t="n">
        <v>4.2</v>
      </c>
      <c r="L976" s="0" t="s">
        <v>17</v>
      </c>
    </row>
    <row r="977" customFormat="false" ht="15" hidden="false" customHeight="false" outlineLevel="0" collapsed="false">
      <c r="A977" s="0" t="s">
        <v>1109</v>
      </c>
      <c r="B977" s="0" t="s">
        <v>1110</v>
      </c>
      <c r="C977" s="0" t="s">
        <v>45</v>
      </c>
      <c r="D977" s="0" t="s">
        <v>25</v>
      </c>
      <c r="E977" s="0" t="s">
        <v>21</v>
      </c>
      <c r="F977" s="0" t="s">
        <v>22</v>
      </c>
      <c r="G977" s="0" t="n">
        <v>305</v>
      </c>
      <c r="H977" s="0" t="n">
        <v>0</v>
      </c>
      <c r="I977" s="0" t="n">
        <v>45</v>
      </c>
      <c r="J977" s="0" t="n">
        <v>35</v>
      </c>
      <c r="K977" s="0" t="n">
        <v>4.2</v>
      </c>
      <c r="L977" s="0" t="s">
        <v>17</v>
      </c>
    </row>
    <row r="978" customFormat="false" ht="15" hidden="false" customHeight="false" outlineLevel="0" collapsed="false">
      <c r="A978" s="0" t="s">
        <v>1111</v>
      </c>
      <c r="B978" s="2" t="n">
        <v>45833</v>
      </c>
      <c r="C978" s="3" t="s">
        <v>13</v>
      </c>
      <c r="D978" s="3" t="s">
        <v>31</v>
      </c>
      <c r="E978" s="3" t="s">
        <v>15</v>
      </c>
      <c r="F978" s="3" t="s">
        <v>22</v>
      </c>
      <c r="G978" s="0" t="n">
        <v>316</v>
      </c>
      <c r="H978" s="0" t="n">
        <v>34</v>
      </c>
      <c r="I978" s="0" t="n">
        <v>30</v>
      </c>
      <c r="J978" s="0" t="n">
        <v>36</v>
      </c>
      <c r="L978" s="3" t="s">
        <v>17</v>
      </c>
    </row>
    <row r="979" customFormat="false" ht="15" hidden="false" customHeight="false" outlineLevel="0" collapsed="false">
      <c r="A979" s="0" t="s">
        <v>1112</v>
      </c>
      <c r="B979" s="2" t="n">
        <v>45715</v>
      </c>
      <c r="C979" s="3" t="s">
        <v>40</v>
      </c>
      <c r="D979" s="3" t="s">
        <v>28</v>
      </c>
      <c r="E979" s="3" t="s">
        <v>15</v>
      </c>
      <c r="F979" s="3" t="s">
        <v>34</v>
      </c>
      <c r="G979" s="0" t="n">
        <v>579</v>
      </c>
      <c r="H979" s="0" t="n">
        <v>116</v>
      </c>
      <c r="I979" s="0" t="n">
        <v>0</v>
      </c>
      <c r="J979" s="0" t="n">
        <v>20</v>
      </c>
      <c r="K979" s="0" t="n">
        <v>5</v>
      </c>
      <c r="L979" s="3" t="s">
        <v>17</v>
      </c>
    </row>
    <row r="980" customFormat="false" ht="15" hidden="false" customHeight="false" outlineLevel="0" collapsed="false">
      <c r="A980" s="0" t="s">
        <v>1113</v>
      </c>
      <c r="B980" s="2" t="n">
        <v>45712</v>
      </c>
      <c r="C980" s="3" t="s">
        <v>27</v>
      </c>
      <c r="D980" s="3" t="s">
        <v>25</v>
      </c>
      <c r="E980" s="3" t="s">
        <v>21</v>
      </c>
      <c r="F980" s="3" t="s">
        <v>22</v>
      </c>
      <c r="G980" s="0" t="n">
        <v>544</v>
      </c>
      <c r="H980" s="0" t="n">
        <v>125</v>
      </c>
      <c r="I980" s="0" t="n">
        <v>0</v>
      </c>
      <c r="J980" s="0" t="n">
        <v>41</v>
      </c>
      <c r="K980" s="0" t="n">
        <v>4.2</v>
      </c>
      <c r="L980" s="3" t="s">
        <v>17</v>
      </c>
    </row>
    <row r="981" customFormat="false" ht="15" hidden="false" customHeight="false" outlineLevel="0" collapsed="false">
      <c r="A981" s="0" t="s">
        <v>1114</v>
      </c>
      <c r="B981" s="2" t="n">
        <v>46008</v>
      </c>
      <c r="C981" s="3" t="s">
        <v>24</v>
      </c>
      <c r="D981" s="3" t="s">
        <v>25</v>
      </c>
      <c r="E981" s="3" t="s">
        <v>15</v>
      </c>
      <c r="F981" s="3" t="s">
        <v>22</v>
      </c>
      <c r="G981" s="0" t="n">
        <v>401</v>
      </c>
      <c r="H981" s="0" t="n">
        <v>0</v>
      </c>
      <c r="I981" s="0" t="n">
        <v>40</v>
      </c>
      <c r="J981" s="0" t="n">
        <v>37</v>
      </c>
      <c r="K981" s="0" t="n">
        <v>4.2</v>
      </c>
      <c r="L981" s="3" t="s">
        <v>17</v>
      </c>
    </row>
    <row r="982" customFormat="false" ht="15" hidden="false" customHeight="false" outlineLevel="0" collapsed="false">
      <c r="A982" s="0" t="s">
        <v>1115</v>
      </c>
      <c r="B982" s="2" t="n">
        <v>45850</v>
      </c>
      <c r="C982" s="3" t="s">
        <v>13</v>
      </c>
      <c r="D982" s="3" t="s">
        <v>31</v>
      </c>
      <c r="E982" s="3" t="s">
        <v>21</v>
      </c>
      <c r="F982" s="3" t="s">
        <v>16</v>
      </c>
      <c r="G982" s="0" t="n">
        <v>515</v>
      </c>
      <c r="H982" s="0" t="n">
        <v>57</v>
      </c>
      <c r="I982" s="0" t="n">
        <v>0</v>
      </c>
      <c r="J982" s="0" t="n">
        <v>31</v>
      </c>
      <c r="K982" s="0" t="n">
        <v>5</v>
      </c>
      <c r="L982" s="3" t="s">
        <v>17</v>
      </c>
    </row>
    <row r="983" customFormat="false" ht="15" hidden="false" customHeight="false" outlineLevel="0" collapsed="false">
      <c r="A983" s="0" t="s">
        <v>1116</v>
      </c>
      <c r="B983" s="2" t="n">
        <v>46008</v>
      </c>
      <c r="C983" s="3" t="s">
        <v>30</v>
      </c>
      <c r="D983" s="3" t="s">
        <v>56</v>
      </c>
      <c r="E983" s="3" t="s">
        <v>21</v>
      </c>
      <c r="F983" s="3" t="s">
        <v>16</v>
      </c>
      <c r="G983" s="0" t="n">
        <v>246</v>
      </c>
      <c r="H983" s="0" t="n">
        <v>0</v>
      </c>
      <c r="I983" s="0" t="n">
        <v>30</v>
      </c>
      <c r="J983" s="0" t="n">
        <v>32</v>
      </c>
      <c r="K983" s="0" t="n">
        <v>4.1</v>
      </c>
      <c r="L983" s="3" t="s">
        <v>17</v>
      </c>
    </row>
    <row r="984" customFormat="false" ht="15" hidden="false" customHeight="false" outlineLevel="0" collapsed="false">
      <c r="A984" s="0" t="s">
        <v>1117</v>
      </c>
      <c r="B984" s="2" t="n">
        <v>45728</v>
      </c>
      <c r="C984" s="3" t="s">
        <v>27</v>
      </c>
      <c r="D984" s="3" t="s">
        <v>31</v>
      </c>
      <c r="E984" s="3" t="s">
        <v>99</v>
      </c>
      <c r="F984" s="3" t="s">
        <v>22</v>
      </c>
      <c r="G984" s="0" t="n">
        <v>452</v>
      </c>
      <c r="H984" s="0" t="n">
        <v>0</v>
      </c>
      <c r="I984" s="0" t="n">
        <v>40</v>
      </c>
      <c r="J984" s="0" t="n">
        <v>29</v>
      </c>
      <c r="K984" s="0" t="n">
        <v>4.3</v>
      </c>
      <c r="L984" s="3" t="s">
        <v>17</v>
      </c>
    </row>
    <row r="985" customFormat="false" ht="15" hidden="false" customHeight="false" outlineLevel="0" collapsed="false">
      <c r="A985" s="0" t="s">
        <v>1118</v>
      </c>
      <c r="B985" s="2" t="n">
        <v>45877</v>
      </c>
      <c r="C985" s="3" t="s">
        <v>27</v>
      </c>
      <c r="D985" s="3" t="s">
        <v>56</v>
      </c>
      <c r="E985" s="3" t="s">
        <v>21</v>
      </c>
      <c r="F985" s="3" t="s">
        <v>34</v>
      </c>
      <c r="G985" s="0" t="n">
        <v>284</v>
      </c>
      <c r="H985" s="0" t="n">
        <v>70</v>
      </c>
      <c r="I985" s="0" t="n">
        <v>30</v>
      </c>
      <c r="J985" s="0" t="n">
        <v>22</v>
      </c>
      <c r="K985" s="0" t="n">
        <v>4.5</v>
      </c>
      <c r="L985" s="3" t="s">
        <v>17</v>
      </c>
    </row>
    <row r="986" customFormat="false" ht="15" hidden="false" customHeight="false" outlineLevel="0" collapsed="false">
      <c r="A986" s="0" t="s">
        <v>1119</v>
      </c>
      <c r="B986" s="2" t="n">
        <v>45746</v>
      </c>
      <c r="C986" s="3" t="s">
        <v>24</v>
      </c>
      <c r="D986" s="3" t="s">
        <v>31</v>
      </c>
      <c r="E986" s="3" t="s">
        <v>15</v>
      </c>
      <c r="F986" s="3" t="s">
        <v>16</v>
      </c>
      <c r="G986" s="0" t="n">
        <v>564</v>
      </c>
      <c r="H986" s="0" t="n">
        <v>115</v>
      </c>
      <c r="I986" s="0" t="n">
        <v>0</v>
      </c>
      <c r="J986" s="0" t="n">
        <v>29</v>
      </c>
      <c r="K986" s="0" t="n">
        <v>3.8</v>
      </c>
      <c r="L986" s="3" t="s">
        <v>17</v>
      </c>
    </row>
    <row r="987" customFormat="false" ht="15" hidden="false" customHeight="false" outlineLevel="0" collapsed="false">
      <c r="A987" s="0" t="s">
        <v>1120</v>
      </c>
      <c r="B987" s="2" t="n">
        <v>45764</v>
      </c>
      <c r="C987" s="3" t="s">
        <v>164</v>
      </c>
      <c r="D987" s="3" t="s">
        <v>78</v>
      </c>
      <c r="E987" s="3" t="s">
        <v>21</v>
      </c>
      <c r="F987" s="3" t="s">
        <v>36</v>
      </c>
      <c r="G987" s="0" t="n">
        <v>274</v>
      </c>
      <c r="H987" s="0" t="n">
        <v>57</v>
      </c>
      <c r="I987" s="0" t="n">
        <v>45</v>
      </c>
      <c r="J987" s="0" t="n">
        <v>44</v>
      </c>
      <c r="K987" s="0" t="n">
        <v>4.2</v>
      </c>
      <c r="L987" s="3" t="s">
        <v>17</v>
      </c>
    </row>
    <row r="988" customFormat="false" ht="15" hidden="false" customHeight="false" outlineLevel="0" collapsed="false">
      <c r="A988" s="0" t="s">
        <v>1121</v>
      </c>
      <c r="B988" s="2" t="n">
        <v>45671</v>
      </c>
      <c r="C988" s="3" t="s">
        <v>45</v>
      </c>
      <c r="D988" s="3" t="s">
        <v>31</v>
      </c>
      <c r="E988" s="3" t="s">
        <v>15</v>
      </c>
      <c r="F988" s="3" t="s">
        <v>22</v>
      </c>
      <c r="G988" s="0" t="n">
        <v>579</v>
      </c>
      <c r="H988" s="0" t="n">
        <v>103</v>
      </c>
      <c r="I988" s="0" t="n">
        <v>0</v>
      </c>
      <c r="J988" s="0" t="n">
        <v>12</v>
      </c>
      <c r="K988" s="0" t="n">
        <v>4.5</v>
      </c>
      <c r="L988" s="3" t="s">
        <v>17</v>
      </c>
    </row>
    <row r="989" customFormat="false" ht="15" hidden="false" customHeight="false" outlineLevel="0" collapsed="false">
      <c r="A989" s="0" t="s">
        <v>1122</v>
      </c>
      <c r="B989" s="2" t="n">
        <v>45709</v>
      </c>
      <c r="C989" s="3" t="s">
        <v>13</v>
      </c>
      <c r="D989" s="3" t="s">
        <v>56</v>
      </c>
      <c r="E989" s="3" t="s">
        <v>21</v>
      </c>
      <c r="F989" s="3" t="s">
        <v>22</v>
      </c>
      <c r="G989" s="0" t="n">
        <v>291</v>
      </c>
      <c r="H989" s="0" t="n">
        <v>60</v>
      </c>
      <c r="I989" s="0" t="n">
        <v>40</v>
      </c>
      <c r="J989" s="0" t="n">
        <v>27</v>
      </c>
      <c r="K989" s="0" t="n">
        <v>4.2</v>
      </c>
      <c r="L989" s="3" t="s">
        <v>17</v>
      </c>
    </row>
    <row r="990" customFormat="false" ht="15" hidden="false" customHeight="false" outlineLevel="0" collapsed="false">
      <c r="A990" s="0" t="s">
        <v>1123</v>
      </c>
      <c r="B990" s="2" t="n">
        <v>45997</v>
      </c>
      <c r="C990" s="3" t="s">
        <v>27</v>
      </c>
      <c r="D990" s="3" t="s">
        <v>31</v>
      </c>
      <c r="E990" s="3" t="s">
        <v>15</v>
      </c>
      <c r="F990" s="3" t="s">
        <v>54</v>
      </c>
      <c r="G990" s="0" t="n">
        <v>451</v>
      </c>
      <c r="H990" s="0" t="n">
        <v>94</v>
      </c>
      <c r="I990" s="0" t="n">
        <v>20</v>
      </c>
      <c r="J990" s="0" t="n">
        <v>29</v>
      </c>
      <c r="K990" s="0" t="n">
        <v>4.1</v>
      </c>
      <c r="L990" s="3" t="s">
        <v>17</v>
      </c>
    </row>
    <row r="991" customFormat="false" ht="15" hidden="false" customHeight="false" outlineLevel="0" collapsed="false">
      <c r="A991" s="0" t="s">
        <v>1124</v>
      </c>
      <c r="B991" s="2" t="n">
        <v>45791</v>
      </c>
      <c r="C991" s="3" t="s">
        <v>24</v>
      </c>
      <c r="D991" s="3" t="s">
        <v>31</v>
      </c>
      <c r="E991" s="3" t="s">
        <v>21</v>
      </c>
      <c r="F991" s="3" t="s">
        <v>16</v>
      </c>
      <c r="G991" s="0" t="n">
        <v>412</v>
      </c>
      <c r="H991" s="0" t="n">
        <v>0</v>
      </c>
      <c r="I991" s="0" t="n">
        <v>30</v>
      </c>
      <c r="J991" s="0" t="n">
        <v>34</v>
      </c>
      <c r="K991" s="0" t="n">
        <v>4</v>
      </c>
      <c r="L991" s="3" t="s">
        <v>17</v>
      </c>
    </row>
    <row r="992" customFormat="false" ht="15" hidden="false" customHeight="false" outlineLevel="0" collapsed="false">
      <c r="A992" s="0" t="s">
        <v>1125</v>
      </c>
      <c r="B992" s="2" t="n">
        <v>45895</v>
      </c>
      <c r="C992" s="3" t="s">
        <v>40</v>
      </c>
      <c r="D992" s="3" t="s">
        <v>25</v>
      </c>
      <c r="E992" s="3" t="s">
        <v>15</v>
      </c>
      <c r="F992" s="3" t="s">
        <v>22</v>
      </c>
      <c r="G992" s="0" t="n">
        <v>505</v>
      </c>
      <c r="H992" s="0" t="n">
        <v>0</v>
      </c>
      <c r="I992" s="0" t="n">
        <v>0</v>
      </c>
      <c r="L992" s="3" t="s">
        <v>68</v>
      </c>
    </row>
    <row r="993" customFormat="false" ht="15" hidden="false" customHeight="false" outlineLevel="0" collapsed="false">
      <c r="A993" s="0" t="s">
        <v>1126</v>
      </c>
      <c r="B993" s="2" t="n">
        <v>45844</v>
      </c>
      <c r="C993" s="3" t="s">
        <v>40</v>
      </c>
      <c r="D993" s="3" t="s">
        <v>31</v>
      </c>
      <c r="E993" s="3" t="s">
        <v>15</v>
      </c>
      <c r="F993" s="3" t="s">
        <v>36</v>
      </c>
      <c r="G993" s="0" t="n">
        <v>410</v>
      </c>
      <c r="H993" s="0" t="n">
        <v>0</v>
      </c>
      <c r="I993" s="0" t="n">
        <v>30</v>
      </c>
      <c r="J993" s="0" t="n">
        <v>36</v>
      </c>
      <c r="K993" s="0" t="n">
        <v>4.4</v>
      </c>
      <c r="L993" s="3" t="s">
        <v>17</v>
      </c>
    </row>
    <row r="994" customFormat="false" ht="15" hidden="false" customHeight="false" outlineLevel="0" collapsed="false">
      <c r="A994" s="0" t="s">
        <v>1127</v>
      </c>
      <c r="B994" s="2" t="n">
        <v>45821</v>
      </c>
      <c r="C994" s="3" t="s">
        <v>40</v>
      </c>
      <c r="D994" s="3" t="s">
        <v>31</v>
      </c>
      <c r="E994" s="3" t="s">
        <v>21</v>
      </c>
      <c r="F994" s="3" t="s">
        <v>22</v>
      </c>
      <c r="G994" s="0" t="n">
        <v>453</v>
      </c>
      <c r="H994" s="0" t="n">
        <v>0</v>
      </c>
      <c r="I994" s="0" t="n">
        <v>20</v>
      </c>
      <c r="J994" s="0" t="n">
        <v>37</v>
      </c>
      <c r="K994" s="0" t="n">
        <v>4.1</v>
      </c>
      <c r="L994" s="3" t="s">
        <v>17</v>
      </c>
    </row>
    <row r="995" customFormat="false" ht="15" hidden="false" customHeight="false" outlineLevel="0" collapsed="false">
      <c r="A995" s="0" t="s">
        <v>1128</v>
      </c>
      <c r="B995" s="2" t="n">
        <v>45869</v>
      </c>
      <c r="C995" s="3" t="s">
        <v>24</v>
      </c>
      <c r="D995" s="3" t="s">
        <v>56</v>
      </c>
      <c r="E995" s="3" t="s">
        <v>21</v>
      </c>
      <c r="F995" s="3" t="s">
        <v>36</v>
      </c>
      <c r="G995" s="0" t="n">
        <v>362</v>
      </c>
      <c r="H995" s="0" t="n">
        <v>0</v>
      </c>
      <c r="I995" s="0" t="n">
        <v>30</v>
      </c>
      <c r="J995" s="0" t="n">
        <v>42</v>
      </c>
      <c r="K995" s="0" t="n">
        <v>4.1</v>
      </c>
      <c r="L995" s="3" t="s">
        <v>17</v>
      </c>
    </row>
    <row r="996" customFormat="false" ht="15" hidden="false" customHeight="false" outlineLevel="0" collapsed="false">
      <c r="A996" s="0" t="s">
        <v>1129</v>
      </c>
      <c r="B996" s="2" t="n">
        <v>45738</v>
      </c>
      <c r="C996" s="3" t="s">
        <v>51</v>
      </c>
      <c r="D996" s="3" t="s">
        <v>20</v>
      </c>
      <c r="E996" s="3" t="s">
        <v>21</v>
      </c>
      <c r="F996" s="3" t="s">
        <v>36</v>
      </c>
      <c r="G996" s="0" t="n">
        <v>692</v>
      </c>
      <c r="H996" s="0" t="n">
        <v>0</v>
      </c>
      <c r="I996" s="0" t="n">
        <v>0</v>
      </c>
      <c r="J996" s="0" t="n">
        <v>35</v>
      </c>
      <c r="K996" s="0" t="n">
        <v>5</v>
      </c>
      <c r="L996" s="3" t="s">
        <v>17</v>
      </c>
    </row>
    <row r="997" customFormat="false" ht="15" hidden="false" customHeight="false" outlineLevel="0" collapsed="false">
      <c r="A997" s="0" t="s">
        <v>1130</v>
      </c>
      <c r="B997" s="2" t="n">
        <v>46019</v>
      </c>
      <c r="C997" s="3" t="s">
        <v>27</v>
      </c>
      <c r="D997" s="3" t="s">
        <v>31</v>
      </c>
      <c r="E997" s="3" t="s">
        <v>15</v>
      </c>
      <c r="F997" s="3" t="s">
        <v>54</v>
      </c>
      <c r="G997" s="0" t="n">
        <v>687</v>
      </c>
      <c r="H997" s="0" t="n">
        <v>120</v>
      </c>
      <c r="I997" s="0" t="n">
        <v>0</v>
      </c>
      <c r="J997" s="0" t="n">
        <v>40</v>
      </c>
      <c r="K997" s="0" t="n">
        <v>4.1</v>
      </c>
      <c r="L997" s="3" t="s">
        <v>17</v>
      </c>
    </row>
    <row r="998" customFormat="false" ht="15" hidden="false" customHeight="false" outlineLevel="0" collapsed="false">
      <c r="A998" s="0" t="s">
        <v>1131</v>
      </c>
      <c r="B998" s="2" t="n">
        <v>45965</v>
      </c>
      <c r="C998" s="3" t="s">
        <v>24</v>
      </c>
      <c r="D998" s="3" t="s">
        <v>56</v>
      </c>
      <c r="E998" s="3" t="s">
        <v>15</v>
      </c>
      <c r="F998" s="3" t="s">
        <v>54</v>
      </c>
      <c r="G998" s="0" t="n">
        <v>396</v>
      </c>
      <c r="H998" s="0" t="n">
        <v>95</v>
      </c>
      <c r="I998" s="0" t="n">
        <v>20</v>
      </c>
      <c r="J998" s="0" t="n">
        <v>42</v>
      </c>
      <c r="K998" s="0" t="n">
        <v>4.4</v>
      </c>
      <c r="L998" s="3" t="s">
        <v>17</v>
      </c>
    </row>
    <row r="999" customFormat="false" ht="15" hidden="false" customHeight="false" outlineLevel="0" collapsed="false">
      <c r="A999" s="0" t="s">
        <v>1132</v>
      </c>
      <c r="B999" s="2" t="n">
        <v>45940</v>
      </c>
      <c r="C999" s="3" t="s">
        <v>40</v>
      </c>
      <c r="D999" s="3" t="s">
        <v>20</v>
      </c>
      <c r="E999" s="3" t="s">
        <v>21</v>
      </c>
      <c r="F999" s="3" t="s">
        <v>22</v>
      </c>
      <c r="G999" s="0" t="n">
        <v>386</v>
      </c>
      <c r="H999" s="0" t="n">
        <v>0</v>
      </c>
      <c r="I999" s="0" t="n">
        <v>30</v>
      </c>
      <c r="J999" s="0" t="n">
        <v>41</v>
      </c>
      <c r="L999" s="3" t="s">
        <v>17</v>
      </c>
    </row>
    <row r="1000" customFormat="false" ht="15" hidden="false" customHeight="false" outlineLevel="0" collapsed="false">
      <c r="A1000" s="0" t="s">
        <v>1133</v>
      </c>
      <c r="B1000" s="2" t="n">
        <v>45846</v>
      </c>
      <c r="C1000" s="3" t="s">
        <v>24</v>
      </c>
      <c r="D1000" s="3" t="s">
        <v>25</v>
      </c>
      <c r="E1000" s="3" t="s">
        <v>21</v>
      </c>
      <c r="F1000" s="3" t="s">
        <v>36</v>
      </c>
      <c r="G1000" s="0" t="n">
        <v>288</v>
      </c>
      <c r="H1000" s="0" t="n">
        <v>0</v>
      </c>
      <c r="I1000" s="0" t="n">
        <v>30</v>
      </c>
      <c r="J1000" s="0" t="n">
        <v>38</v>
      </c>
      <c r="K1000" s="0" t="n">
        <v>4.2</v>
      </c>
      <c r="L1000" s="3" t="s">
        <v>17</v>
      </c>
    </row>
    <row r="1001" customFormat="false" ht="15" hidden="false" customHeight="false" outlineLevel="0" collapsed="false">
      <c r="A1001" s="0" t="s">
        <v>1134</v>
      </c>
      <c r="B1001" s="2" t="n">
        <v>45724</v>
      </c>
      <c r="C1001" s="3" t="s">
        <v>30</v>
      </c>
      <c r="D1001" s="3" t="s">
        <v>56</v>
      </c>
      <c r="E1001" s="3" t="s">
        <v>21</v>
      </c>
      <c r="F1001" s="3" t="s">
        <v>22</v>
      </c>
      <c r="G1001" s="0" t="n">
        <v>217</v>
      </c>
      <c r="H1001" s="0" t="n">
        <v>52</v>
      </c>
      <c r="I1001" s="0" t="n">
        <v>45</v>
      </c>
      <c r="J1001" s="0" t="n">
        <v>30</v>
      </c>
      <c r="K1001" s="0" t="n">
        <v>4.5</v>
      </c>
      <c r="L1001" s="3" t="s">
        <v>17</v>
      </c>
    </row>
    <row r="1002" customFormat="false" ht="15" hidden="false" customHeight="false" outlineLevel="0" collapsed="false">
      <c r="A1002" s="0" t="s">
        <v>1135</v>
      </c>
      <c r="B1002" s="2" t="n">
        <v>45998</v>
      </c>
      <c r="C1002" s="3" t="s">
        <v>279</v>
      </c>
      <c r="D1002" s="3" t="s">
        <v>31</v>
      </c>
      <c r="E1002" s="3" t="s">
        <v>21</v>
      </c>
      <c r="F1002" s="3" t="s">
        <v>34</v>
      </c>
      <c r="G1002" s="0" t="n">
        <v>640</v>
      </c>
      <c r="H1002" s="0" t="n">
        <v>0</v>
      </c>
      <c r="I1002" s="0" t="n">
        <v>0</v>
      </c>
      <c r="J1002" s="0" t="n">
        <v>34</v>
      </c>
      <c r="K1002" s="0" t="n">
        <v>4.3</v>
      </c>
      <c r="L1002" s="3" t="s">
        <v>17</v>
      </c>
    </row>
    <row r="1003" customFormat="false" ht="15" hidden="false" customHeight="false" outlineLevel="0" collapsed="false">
      <c r="A1003" s="0" t="s">
        <v>1136</v>
      </c>
      <c r="B1003" s="2" t="n">
        <v>45799</v>
      </c>
      <c r="C1003" s="3" t="s">
        <v>30</v>
      </c>
      <c r="D1003" s="3" t="s">
        <v>25</v>
      </c>
      <c r="E1003" s="3" t="s">
        <v>21</v>
      </c>
      <c r="F1003" s="3" t="s">
        <v>34</v>
      </c>
      <c r="G1003" s="0" t="n">
        <v>524</v>
      </c>
      <c r="H1003" s="0" t="n">
        <v>0</v>
      </c>
      <c r="I1003" s="0" t="n">
        <v>0</v>
      </c>
      <c r="J1003" s="0" t="n">
        <v>37</v>
      </c>
      <c r="K1003" s="0" t="n">
        <v>4.3</v>
      </c>
      <c r="L1003" s="3" t="s">
        <v>17</v>
      </c>
    </row>
    <row r="1004" customFormat="false" ht="15" hidden="false" customHeight="false" outlineLevel="0" collapsed="false">
      <c r="A1004" s="0" t="s">
        <v>1137</v>
      </c>
      <c r="B1004" s="2" t="n">
        <v>45680</v>
      </c>
      <c r="C1004" s="3" t="s">
        <v>30</v>
      </c>
      <c r="D1004" s="3" t="s">
        <v>56</v>
      </c>
      <c r="E1004" s="3" t="s">
        <v>15</v>
      </c>
      <c r="F1004" s="3" t="s">
        <v>22</v>
      </c>
      <c r="G1004" s="0" t="n">
        <v>378</v>
      </c>
      <c r="H1004" s="0" t="n">
        <v>52</v>
      </c>
      <c r="I1004" s="0" t="n">
        <v>20</v>
      </c>
      <c r="J1004" s="0" t="n">
        <v>29</v>
      </c>
      <c r="K1004" s="0" t="n">
        <v>4.1</v>
      </c>
      <c r="L1004" s="3" t="s">
        <v>17</v>
      </c>
    </row>
    <row r="1005" customFormat="false" ht="15" hidden="false" customHeight="false" outlineLevel="0" collapsed="false">
      <c r="A1005" s="0" t="s">
        <v>1138</v>
      </c>
      <c r="B1005" s="0" t="s">
        <v>813</v>
      </c>
      <c r="C1005" s="0" t="s">
        <v>40</v>
      </c>
      <c r="D1005" s="0" t="s">
        <v>78</v>
      </c>
      <c r="E1005" s="0" t="s">
        <v>21</v>
      </c>
      <c r="G1005" s="0" t="n">
        <v>450</v>
      </c>
      <c r="H1005" s="0" t="n">
        <v>0</v>
      </c>
      <c r="I1005" s="0" t="n">
        <v>40</v>
      </c>
      <c r="J1005" s="0" t="n">
        <v>47</v>
      </c>
      <c r="K1005" s="0" t="n">
        <v>3.7</v>
      </c>
      <c r="L1005" s="0" t="s">
        <v>17</v>
      </c>
    </row>
    <row r="1006" customFormat="false" ht="15" hidden="false" customHeight="false" outlineLevel="0" collapsed="false">
      <c r="A1006" s="0" t="s">
        <v>1139</v>
      </c>
      <c r="B1006" s="2" t="n">
        <v>45957</v>
      </c>
      <c r="C1006" s="3" t="s">
        <v>27</v>
      </c>
      <c r="D1006" s="3" t="s">
        <v>78</v>
      </c>
      <c r="E1006" s="3" t="s">
        <v>21</v>
      </c>
      <c r="F1006" s="3" t="s">
        <v>22</v>
      </c>
      <c r="G1006" s="0" t="n">
        <v>441</v>
      </c>
      <c r="H1006" s="0" t="n">
        <v>0</v>
      </c>
      <c r="I1006" s="0" t="n">
        <v>30</v>
      </c>
      <c r="J1006" s="0" t="n">
        <v>35</v>
      </c>
      <c r="K1006" s="0" t="n">
        <v>4.3</v>
      </c>
      <c r="L1006" s="3" t="s">
        <v>17</v>
      </c>
    </row>
    <row r="1007" customFormat="false" ht="15" hidden="false" customHeight="false" outlineLevel="0" collapsed="false">
      <c r="A1007" s="0" t="s">
        <v>1140</v>
      </c>
      <c r="B1007" s="2" t="n">
        <v>45900</v>
      </c>
      <c r="C1007" s="3" t="s">
        <v>51</v>
      </c>
      <c r="D1007" s="3" t="s">
        <v>78</v>
      </c>
      <c r="E1007" s="3" t="s">
        <v>15</v>
      </c>
      <c r="F1007" s="3" t="s">
        <v>22</v>
      </c>
      <c r="G1007" s="0" t="n">
        <v>393</v>
      </c>
      <c r="H1007" s="0" t="n">
        <v>0</v>
      </c>
      <c r="I1007" s="0" t="n">
        <v>40</v>
      </c>
      <c r="J1007" s="0" t="n">
        <v>45</v>
      </c>
      <c r="K1007" s="0" t="n">
        <v>3</v>
      </c>
      <c r="L1007" s="3" t="s">
        <v>17</v>
      </c>
    </row>
    <row r="1008" customFormat="false" ht="15" hidden="false" customHeight="false" outlineLevel="0" collapsed="false">
      <c r="A1008" s="0" t="s">
        <v>1141</v>
      </c>
      <c r="B1008" s="2" t="n">
        <v>45943</v>
      </c>
      <c r="C1008" s="3" t="s">
        <v>27</v>
      </c>
      <c r="D1008" s="3" t="s">
        <v>56</v>
      </c>
      <c r="E1008" s="3" t="s">
        <v>21</v>
      </c>
      <c r="F1008" s="3" t="s">
        <v>22</v>
      </c>
      <c r="G1008" s="0" t="n">
        <v>430</v>
      </c>
      <c r="H1008" s="0" t="n">
        <v>0</v>
      </c>
      <c r="I1008" s="0" t="n">
        <v>45</v>
      </c>
      <c r="J1008" s="0" t="n">
        <v>45</v>
      </c>
      <c r="K1008" s="0" t="n">
        <v>4.8</v>
      </c>
      <c r="L1008" s="3" t="s">
        <v>17</v>
      </c>
    </row>
    <row r="1009" customFormat="false" ht="15" hidden="false" customHeight="false" outlineLevel="0" collapsed="false">
      <c r="A1009" s="0" t="s">
        <v>1142</v>
      </c>
      <c r="B1009" s="2" t="n">
        <v>45957</v>
      </c>
      <c r="C1009" s="3" t="s">
        <v>185</v>
      </c>
      <c r="D1009" s="3" t="s">
        <v>31</v>
      </c>
      <c r="E1009" s="3" t="s">
        <v>15</v>
      </c>
      <c r="F1009" s="3" t="s">
        <v>54</v>
      </c>
      <c r="G1009" s="0" t="n">
        <v>304</v>
      </c>
      <c r="H1009" s="0" t="n">
        <v>54</v>
      </c>
      <c r="I1009" s="0" t="n">
        <v>20</v>
      </c>
      <c r="J1009" s="0" t="n">
        <v>31</v>
      </c>
      <c r="K1009" s="0" t="n">
        <v>5</v>
      </c>
      <c r="L1009" s="3" t="s">
        <v>17</v>
      </c>
    </row>
    <row r="1010" customFormat="false" ht="15" hidden="false" customHeight="false" outlineLevel="0" collapsed="false">
      <c r="A1010" s="0" t="s">
        <v>1143</v>
      </c>
      <c r="B1010" s="2" t="n">
        <v>45748</v>
      </c>
      <c r="C1010" s="3" t="s">
        <v>51</v>
      </c>
      <c r="D1010" s="3" t="s">
        <v>25</v>
      </c>
      <c r="E1010" s="3" t="s">
        <v>15</v>
      </c>
      <c r="F1010" s="3" t="s">
        <v>16</v>
      </c>
      <c r="G1010" s="0" t="n">
        <v>517</v>
      </c>
      <c r="H1010" s="0" t="n">
        <v>0</v>
      </c>
      <c r="I1010" s="0" t="n">
        <v>0</v>
      </c>
      <c r="J1010" s="0" t="n">
        <v>39</v>
      </c>
      <c r="K1010" s="0" t="n">
        <v>4.3</v>
      </c>
      <c r="L1010" s="3" t="s">
        <v>17</v>
      </c>
    </row>
    <row r="1011" customFormat="false" ht="15" hidden="false" customHeight="false" outlineLevel="0" collapsed="false">
      <c r="A1011" s="0" t="s">
        <v>1144</v>
      </c>
      <c r="B1011" s="2" t="n">
        <v>45998</v>
      </c>
      <c r="C1011" s="3" t="s">
        <v>45</v>
      </c>
      <c r="D1011" s="3" t="s">
        <v>25</v>
      </c>
      <c r="E1011" s="3" t="s">
        <v>21</v>
      </c>
      <c r="F1011" s="3" t="s">
        <v>36</v>
      </c>
      <c r="G1011" s="0" t="n">
        <v>437</v>
      </c>
      <c r="H1011" s="0" t="n">
        <v>0</v>
      </c>
      <c r="I1011" s="0" t="n">
        <v>20</v>
      </c>
      <c r="J1011" s="0" t="n">
        <v>25</v>
      </c>
      <c r="K1011" s="0" t="n">
        <v>4.9</v>
      </c>
      <c r="L1011" s="3" t="s">
        <v>17</v>
      </c>
    </row>
    <row r="1012" customFormat="false" ht="15" hidden="false" customHeight="false" outlineLevel="0" collapsed="false">
      <c r="A1012" s="0" t="s">
        <v>1145</v>
      </c>
      <c r="B1012" s="2" t="n">
        <v>45835</v>
      </c>
      <c r="C1012" s="3" t="s">
        <v>27</v>
      </c>
      <c r="D1012" s="3" t="s">
        <v>31</v>
      </c>
      <c r="E1012" s="3" t="s">
        <v>15</v>
      </c>
      <c r="F1012" s="3" t="s">
        <v>36</v>
      </c>
      <c r="G1012" s="0" t="n">
        <v>409</v>
      </c>
      <c r="H1012" s="0" t="n">
        <v>75</v>
      </c>
      <c r="I1012" s="0" t="n">
        <v>20</v>
      </c>
      <c r="J1012" s="0" t="n">
        <v>42</v>
      </c>
      <c r="K1012" s="0" t="n">
        <v>4.6</v>
      </c>
      <c r="L1012" s="3" t="s">
        <v>17</v>
      </c>
    </row>
    <row r="1013" customFormat="false" ht="15" hidden="false" customHeight="false" outlineLevel="0" collapsed="false">
      <c r="A1013" s="0" t="s">
        <v>1146</v>
      </c>
      <c r="B1013" s="2" t="n">
        <v>45906</v>
      </c>
      <c r="C1013" s="3" t="s">
        <v>27</v>
      </c>
      <c r="D1013" s="3" t="s">
        <v>31</v>
      </c>
      <c r="E1013" s="3" t="s">
        <v>21</v>
      </c>
      <c r="F1013" s="3" t="s">
        <v>36</v>
      </c>
      <c r="G1013" s="0" t="n">
        <v>549</v>
      </c>
      <c r="H1013" s="0" t="n">
        <v>0</v>
      </c>
      <c r="I1013" s="0" t="n">
        <v>0</v>
      </c>
      <c r="J1013" s="0" t="n">
        <v>39</v>
      </c>
      <c r="K1013" s="0" t="n">
        <v>3.5</v>
      </c>
      <c r="L1013" s="3" t="s">
        <v>17</v>
      </c>
    </row>
    <row r="1014" customFormat="false" ht="15" hidden="false" customHeight="false" outlineLevel="0" collapsed="false">
      <c r="A1014" s="0" t="s">
        <v>1147</v>
      </c>
      <c r="B1014" s="2" t="n">
        <v>45659</v>
      </c>
      <c r="C1014" s="3" t="s">
        <v>24</v>
      </c>
      <c r="D1014" s="3" t="s">
        <v>56</v>
      </c>
      <c r="E1014" s="3" t="s">
        <v>15</v>
      </c>
      <c r="F1014" s="3" t="s">
        <v>22</v>
      </c>
      <c r="H1014" s="0" t="n">
        <v>0</v>
      </c>
      <c r="I1014" s="0" t="n">
        <v>0</v>
      </c>
      <c r="J1014" s="0" t="n">
        <v>35</v>
      </c>
      <c r="K1014" s="0" t="n">
        <v>4.7</v>
      </c>
      <c r="L1014" s="3" t="s">
        <v>17</v>
      </c>
    </row>
    <row r="1015" customFormat="false" ht="15" hidden="false" customHeight="false" outlineLevel="0" collapsed="false">
      <c r="A1015" s="0" t="s">
        <v>1148</v>
      </c>
      <c r="B1015" s="2" t="n">
        <v>46020</v>
      </c>
      <c r="C1015" s="3" t="s">
        <v>30</v>
      </c>
      <c r="D1015" s="3" t="s">
        <v>25</v>
      </c>
      <c r="E1015" s="3" t="s">
        <v>15</v>
      </c>
      <c r="F1015" s="3" t="s">
        <v>36</v>
      </c>
      <c r="H1015" s="0" t="n">
        <v>71</v>
      </c>
      <c r="I1015" s="0" t="n">
        <v>40</v>
      </c>
      <c r="J1015" s="0" t="n">
        <v>38</v>
      </c>
      <c r="K1015" s="0" t="n">
        <v>4</v>
      </c>
      <c r="L1015" s="3" t="s">
        <v>17</v>
      </c>
    </row>
    <row r="1016" customFormat="false" ht="15" hidden="false" customHeight="false" outlineLevel="0" collapsed="false">
      <c r="A1016" s="0" t="s">
        <v>1149</v>
      </c>
      <c r="B1016" s="0" t="s">
        <v>1150</v>
      </c>
      <c r="C1016" s="0" t="s">
        <v>27</v>
      </c>
      <c r="D1016" s="0" t="s">
        <v>31</v>
      </c>
      <c r="E1016" s="0" t="s">
        <v>15</v>
      </c>
      <c r="F1016" s="0" t="s">
        <v>36</v>
      </c>
      <c r="G1016" s="0" t="n">
        <v>616</v>
      </c>
      <c r="H1016" s="0" t="n">
        <v>100</v>
      </c>
      <c r="I1016" s="0" t="n">
        <v>0</v>
      </c>
      <c r="J1016" s="0" t="n">
        <v>46</v>
      </c>
      <c r="K1016" s="0" t="n">
        <v>5</v>
      </c>
      <c r="L1016" s="0" t="s">
        <v>17</v>
      </c>
    </row>
    <row r="1017" customFormat="false" ht="15" hidden="false" customHeight="false" outlineLevel="0" collapsed="false">
      <c r="A1017" s="0" t="s">
        <v>1151</v>
      </c>
      <c r="B1017" s="2" t="n">
        <v>45685</v>
      </c>
      <c r="C1017" s="3" t="s">
        <v>292</v>
      </c>
      <c r="D1017" s="3" t="s">
        <v>28</v>
      </c>
      <c r="E1017" s="3" t="s">
        <v>15</v>
      </c>
      <c r="F1017" s="3" t="s">
        <v>36</v>
      </c>
      <c r="G1017" s="0" t="n">
        <v>488</v>
      </c>
      <c r="H1017" s="0" t="n">
        <v>55</v>
      </c>
      <c r="I1017" s="0" t="n">
        <v>20</v>
      </c>
      <c r="J1017" s="0" t="n">
        <v>30</v>
      </c>
      <c r="K1017" s="0" t="n">
        <v>4.3</v>
      </c>
      <c r="L1017" s="3" t="s">
        <v>17</v>
      </c>
    </row>
    <row r="1018" customFormat="false" ht="15" hidden="false" customHeight="false" outlineLevel="0" collapsed="false">
      <c r="A1018" s="0" t="s">
        <v>1152</v>
      </c>
      <c r="B1018" s="2" t="n">
        <v>45842</v>
      </c>
      <c r="C1018" s="3" t="s">
        <v>13</v>
      </c>
      <c r="D1018" s="3" t="s">
        <v>25</v>
      </c>
      <c r="E1018" s="3" t="s">
        <v>21</v>
      </c>
      <c r="F1018" s="3" t="s">
        <v>54</v>
      </c>
      <c r="G1018" s="0" t="n">
        <v>405</v>
      </c>
      <c r="H1018" s="0" t="n">
        <v>48</v>
      </c>
      <c r="I1018" s="0" t="n">
        <v>45</v>
      </c>
      <c r="J1018" s="0" t="n">
        <v>26</v>
      </c>
      <c r="K1018" s="0" t="n">
        <v>5</v>
      </c>
      <c r="L1018" s="3" t="s">
        <v>17</v>
      </c>
    </row>
    <row r="1019" customFormat="false" ht="15" hidden="false" customHeight="false" outlineLevel="0" collapsed="false">
      <c r="A1019" s="0" t="s">
        <v>1153</v>
      </c>
      <c r="B1019" s="2" t="n">
        <v>45714</v>
      </c>
      <c r="C1019" s="3" t="s">
        <v>51</v>
      </c>
      <c r="D1019" s="3" t="s">
        <v>14</v>
      </c>
      <c r="E1019" s="3" t="s">
        <v>15</v>
      </c>
      <c r="F1019" s="3" t="s">
        <v>34</v>
      </c>
      <c r="G1019" s="0" t="n">
        <v>261</v>
      </c>
      <c r="H1019" s="0" t="n">
        <v>0</v>
      </c>
      <c r="I1019" s="0" t="n">
        <v>40</v>
      </c>
      <c r="J1019" s="0" t="n">
        <v>37</v>
      </c>
      <c r="K1019" s="0" t="n">
        <v>4.1</v>
      </c>
      <c r="L1019" s="3" t="s">
        <v>17</v>
      </c>
    </row>
    <row r="1020" customFormat="false" ht="15" hidden="false" customHeight="false" outlineLevel="0" collapsed="false">
      <c r="A1020" s="0" t="s">
        <v>1154</v>
      </c>
      <c r="B1020" s="0" t="s">
        <v>1155</v>
      </c>
      <c r="C1020" s="0" t="s">
        <v>30</v>
      </c>
      <c r="D1020" s="0" t="s">
        <v>25</v>
      </c>
      <c r="E1020" s="0" t="s">
        <v>21</v>
      </c>
      <c r="F1020" s="0" t="s">
        <v>16</v>
      </c>
      <c r="G1020" s="0" t="n">
        <v>467</v>
      </c>
      <c r="H1020" s="0" t="n">
        <v>48</v>
      </c>
      <c r="I1020" s="0" t="n">
        <v>20</v>
      </c>
      <c r="J1020" s="0" t="n">
        <v>33</v>
      </c>
      <c r="K1020" s="0" t="n">
        <v>5</v>
      </c>
      <c r="L1020" s="0" t="s">
        <v>17</v>
      </c>
    </row>
    <row r="1021" customFormat="false" ht="15" hidden="false" customHeight="false" outlineLevel="0" collapsed="false">
      <c r="A1021" s="0" t="s">
        <v>1156</v>
      </c>
      <c r="B1021" s="2" t="n">
        <v>45903</v>
      </c>
      <c r="C1021" s="3" t="s">
        <v>24</v>
      </c>
      <c r="D1021" s="3" t="s">
        <v>20</v>
      </c>
      <c r="E1021" s="3" t="s">
        <v>21</v>
      </c>
      <c r="F1021" s="3" t="s">
        <v>54</v>
      </c>
      <c r="G1021" s="0" t="n">
        <v>530</v>
      </c>
      <c r="H1021" s="0" t="n">
        <v>0</v>
      </c>
      <c r="I1021" s="0" t="n">
        <v>0</v>
      </c>
      <c r="J1021" s="0" t="n">
        <v>31</v>
      </c>
      <c r="K1021" s="0" t="n">
        <v>4.1</v>
      </c>
      <c r="L1021" s="3" t="s">
        <v>17</v>
      </c>
    </row>
    <row r="1022" customFormat="false" ht="15" hidden="false" customHeight="false" outlineLevel="0" collapsed="false">
      <c r="A1022" s="0" t="s">
        <v>1157</v>
      </c>
      <c r="B1022" s="2" t="n">
        <v>45818</v>
      </c>
      <c r="C1022" s="3" t="s">
        <v>964</v>
      </c>
      <c r="D1022" s="3" t="s">
        <v>31</v>
      </c>
      <c r="E1022" s="3" t="s">
        <v>21</v>
      </c>
      <c r="F1022" s="3" t="s">
        <v>16</v>
      </c>
      <c r="G1022" s="0" t="n">
        <v>553</v>
      </c>
      <c r="H1022" s="0" t="n">
        <v>0</v>
      </c>
      <c r="I1022" s="0" t="n">
        <v>0</v>
      </c>
      <c r="J1022" s="0" t="n">
        <v>49</v>
      </c>
      <c r="L1022" s="3" t="s">
        <v>17</v>
      </c>
    </row>
    <row r="1023" customFormat="false" ht="15" hidden="false" customHeight="false" outlineLevel="0" collapsed="false">
      <c r="A1023" s="0" t="s">
        <v>1158</v>
      </c>
      <c r="B1023" s="2" t="n">
        <v>45998</v>
      </c>
      <c r="C1023" s="3" t="s">
        <v>51</v>
      </c>
      <c r="D1023" s="3" t="s">
        <v>56</v>
      </c>
      <c r="E1023" s="3" t="s">
        <v>15</v>
      </c>
      <c r="F1023" s="3" t="s">
        <v>36</v>
      </c>
      <c r="G1023" s="0" t="n">
        <v>297</v>
      </c>
      <c r="H1023" s="0" t="n">
        <v>0</v>
      </c>
      <c r="I1023" s="0" t="n">
        <v>20</v>
      </c>
      <c r="J1023" s="0" t="n">
        <v>41</v>
      </c>
      <c r="K1023" s="0" t="n">
        <v>4.4</v>
      </c>
      <c r="L1023" s="3" t="s">
        <v>17</v>
      </c>
    </row>
    <row r="1024" customFormat="false" ht="15" hidden="false" customHeight="false" outlineLevel="0" collapsed="false">
      <c r="A1024" s="0" t="s">
        <v>1159</v>
      </c>
      <c r="B1024" s="2" t="n">
        <v>45790</v>
      </c>
      <c r="C1024" s="3" t="s">
        <v>51</v>
      </c>
      <c r="D1024" s="3" t="s">
        <v>31</v>
      </c>
      <c r="E1024" s="3" t="s">
        <v>21</v>
      </c>
      <c r="F1024" s="3" t="s">
        <v>22</v>
      </c>
      <c r="G1024" s="0" t="n">
        <v>550</v>
      </c>
      <c r="H1024" s="0" t="n">
        <v>0</v>
      </c>
      <c r="I1024" s="0" t="n">
        <v>0</v>
      </c>
      <c r="J1024" s="0" t="n">
        <v>31</v>
      </c>
      <c r="K1024" s="0" t="n">
        <v>4.6</v>
      </c>
      <c r="L1024" s="3" t="s">
        <v>17</v>
      </c>
    </row>
    <row r="1025" customFormat="false" ht="15" hidden="false" customHeight="false" outlineLevel="0" collapsed="false">
      <c r="A1025" s="0" t="s">
        <v>1160</v>
      </c>
      <c r="B1025" s="2" t="n">
        <v>45935</v>
      </c>
      <c r="C1025" s="3" t="s">
        <v>27</v>
      </c>
      <c r="D1025" s="3" t="s">
        <v>31</v>
      </c>
      <c r="E1025" s="3" t="s">
        <v>21</v>
      </c>
      <c r="F1025" s="3" t="s">
        <v>22</v>
      </c>
      <c r="G1025" s="0" t="n">
        <v>574</v>
      </c>
      <c r="H1025" s="0" t="n">
        <v>0</v>
      </c>
      <c r="I1025" s="0" t="n">
        <v>0</v>
      </c>
      <c r="J1025" s="0" t="n">
        <v>37</v>
      </c>
      <c r="K1025" s="0" t="n">
        <v>4.3</v>
      </c>
      <c r="L1025" s="3" t="s">
        <v>17</v>
      </c>
    </row>
    <row r="1026" customFormat="false" ht="15" hidden="false" customHeight="false" outlineLevel="0" collapsed="false">
      <c r="A1026" s="0" t="s">
        <v>1161</v>
      </c>
      <c r="B1026" s="2" t="n">
        <v>45843</v>
      </c>
      <c r="C1026" s="3" t="s">
        <v>13</v>
      </c>
      <c r="D1026" s="3" t="s">
        <v>20</v>
      </c>
      <c r="E1026" s="3" t="s">
        <v>21</v>
      </c>
      <c r="F1026" s="3" t="s">
        <v>16</v>
      </c>
      <c r="G1026" s="0" t="n">
        <v>744</v>
      </c>
      <c r="H1026" s="0" t="n">
        <v>0</v>
      </c>
      <c r="I1026" s="0" t="n">
        <v>0</v>
      </c>
      <c r="J1026" s="0" t="n">
        <v>31</v>
      </c>
      <c r="K1026" s="0" t="n">
        <v>4</v>
      </c>
      <c r="L1026" s="3" t="s">
        <v>17</v>
      </c>
    </row>
    <row r="1027" customFormat="false" ht="15" hidden="false" customHeight="false" outlineLevel="0" collapsed="false">
      <c r="A1027" s="0" t="s">
        <v>1162</v>
      </c>
      <c r="B1027" s="2" t="n">
        <v>45913</v>
      </c>
      <c r="C1027" s="3" t="s">
        <v>27</v>
      </c>
      <c r="D1027" s="3" t="s">
        <v>25</v>
      </c>
      <c r="E1027" s="3" t="s">
        <v>15</v>
      </c>
      <c r="F1027" s="3" t="s">
        <v>22</v>
      </c>
      <c r="G1027" s="0" t="n">
        <v>507</v>
      </c>
      <c r="H1027" s="0" t="n">
        <v>82</v>
      </c>
      <c r="I1027" s="0" t="n">
        <v>0</v>
      </c>
      <c r="J1027" s="0" t="n">
        <v>40</v>
      </c>
      <c r="K1027" s="0" t="n">
        <v>2.9</v>
      </c>
      <c r="L1027" s="3" t="s">
        <v>17</v>
      </c>
    </row>
    <row r="1028" customFormat="false" ht="15" hidden="false" customHeight="false" outlineLevel="0" collapsed="false">
      <c r="A1028" s="0" t="s">
        <v>1163</v>
      </c>
      <c r="B1028" s="2" t="n">
        <v>45892</v>
      </c>
      <c r="C1028" s="3" t="s">
        <v>27</v>
      </c>
      <c r="D1028" s="3" t="s">
        <v>31</v>
      </c>
      <c r="E1028" s="3" t="s">
        <v>21</v>
      </c>
      <c r="F1028" s="3" t="s">
        <v>54</v>
      </c>
      <c r="G1028" s="0" t="n">
        <v>497</v>
      </c>
      <c r="H1028" s="0" t="n">
        <v>0</v>
      </c>
      <c r="I1028" s="0" t="n">
        <v>20</v>
      </c>
      <c r="J1028" s="0" t="n">
        <v>51</v>
      </c>
      <c r="K1028" s="0" t="n">
        <v>4.4</v>
      </c>
      <c r="L1028" s="3" t="s">
        <v>17</v>
      </c>
    </row>
    <row r="1029" customFormat="false" ht="15" hidden="false" customHeight="false" outlineLevel="0" collapsed="false">
      <c r="A1029" s="0" t="s">
        <v>1164</v>
      </c>
      <c r="B1029" s="2" t="n">
        <v>45847</v>
      </c>
      <c r="C1029" s="3" t="s">
        <v>40</v>
      </c>
      <c r="D1029" s="3" t="s">
        <v>49</v>
      </c>
      <c r="E1029" s="3" t="s">
        <v>21</v>
      </c>
      <c r="F1029" s="3" t="s">
        <v>22</v>
      </c>
      <c r="G1029" s="0" t="n">
        <v>675</v>
      </c>
      <c r="H1029" s="0" t="n">
        <v>114</v>
      </c>
      <c r="I1029" s="0" t="n">
        <v>0</v>
      </c>
      <c r="J1029" s="0" t="n">
        <v>45</v>
      </c>
      <c r="K1029" s="0" t="n">
        <v>3.8</v>
      </c>
      <c r="L1029" s="3" t="s">
        <v>17</v>
      </c>
    </row>
    <row r="1030" customFormat="false" ht="15" hidden="false" customHeight="false" outlineLevel="0" collapsed="false">
      <c r="A1030" s="0" t="s">
        <v>1165</v>
      </c>
      <c r="B1030" s="2" t="n">
        <v>46007</v>
      </c>
      <c r="C1030" s="3" t="s">
        <v>40</v>
      </c>
      <c r="D1030" s="3" t="s">
        <v>31</v>
      </c>
      <c r="E1030" s="3" t="s">
        <v>15</v>
      </c>
      <c r="F1030" s="3" t="s">
        <v>36</v>
      </c>
      <c r="G1030" s="0" t="n">
        <v>510</v>
      </c>
      <c r="H1030" s="0" t="n">
        <v>0</v>
      </c>
      <c r="I1030" s="0" t="n">
        <v>0</v>
      </c>
      <c r="J1030" s="0" t="n">
        <v>38</v>
      </c>
      <c r="K1030" s="0" t="n">
        <v>4.8</v>
      </c>
      <c r="L1030" s="3" t="s">
        <v>17</v>
      </c>
    </row>
    <row r="1031" customFormat="false" ht="15" hidden="false" customHeight="false" outlineLevel="0" collapsed="false">
      <c r="A1031" s="0" t="s">
        <v>1166</v>
      </c>
      <c r="B1031" s="2" t="n">
        <v>45799</v>
      </c>
      <c r="C1031" s="3" t="s">
        <v>24</v>
      </c>
      <c r="D1031" s="3" t="s">
        <v>20</v>
      </c>
      <c r="E1031" s="3" t="s">
        <v>15</v>
      </c>
      <c r="F1031" s="3" t="s">
        <v>22</v>
      </c>
      <c r="G1031" s="0" t="n">
        <v>831</v>
      </c>
      <c r="H1031" s="0" t="n">
        <v>0</v>
      </c>
      <c r="I1031" s="0" t="n">
        <v>0</v>
      </c>
      <c r="J1031" s="0" t="n">
        <v>41</v>
      </c>
      <c r="K1031" s="0" t="n">
        <v>4.3</v>
      </c>
      <c r="L1031" s="3" t="s">
        <v>17</v>
      </c>
    </row>
    <row r="1032" customFormat="false" ht="15" hidden="false" customHeight="false" outlineLevel="0" collapsed="false">
      <c r="A1032" s="0" t="s">
        <v>1167</v>
      </c>
      <c r="B1032" s="2" t="n">
        <v>45733</v>
      </c>
      <c r="C1032" s="3" t="s">
        <v>30</v>
      </c>
      <c r="D1032" s="3" t="s">
        <v>20</v>
      </c>
      <c r="E1032" s="3" t="s">
        <v>21</v>
      </c>
      <c r="F1032" s="3" t="s">
        <v>54</v>
      </c>
      <c r="G1032" s="0" t="n">
        <v>673</v>
      </c>
      <c r="H1032" s="0" t="n">
        <v>78</v>
      </c>
      <c r="I1032" s="0" t="n">
        <v>0</v>
      </c>
      <c r="J1032" s="0" t="n">
        <v>37</v>
      </c>
      <c r="K1032" s="0" t="n">
        <v>4.8</v>
      </c>
      <c r="L1032" s="3" t="s">
        <v>17</v>
      </c>
    </row>
    <row r="1033" customFormat="false" ht="15" hidden="false" customHeight="false" outlineLevel="0" collapsed="false">
      <c r="A1033" s="0" t="s">
        <v>1168</v>
      </c>
      <c r="B1033" s="2" t="n">
        <v>45919</v>
      </c>
      <c r="C1033" s="3" t="s">
        <v>40</v>
      </c>
      <c r="D1033" s="3" t="s">
        <v>25</v>
      </c>
      <c r="E1033" s="3" t="s">
        <v>15</v>
      </c>
      <c r="F1033" s="3" t="s">
        <v>22</v>
      </c>
      <c r="G1033" s="0" t="n">
        <v>472</v>
      </c>
      <c r="H1033" s="0" t="n">
        <v>83</v>
      </c>
      <c r="I1033" s="0" t="n">
        <v>20</v>
      </c>
      <c r="J1033" s="0" t="n">
        <v>38</v>
      </c>
      <c r="K1033" s="0" t="n">
        <v>4.6</v>
      </c>
      <c r="L1033" s="3" t="s">
        <v>17</v>
      </c>
    </row>
    <row r="1034" customFormat="false" ht="15" hidden="false" customHeight="false" outlineLevel="0" collapsed="false">
      <c r="A1034" s="0" t="s">
        <v>1169</v>
      </c>
      <c r="B1034" s="2" t="n">
        <v>45974</v>
      </c>
      <c r="C1034" s="3" t="s">
        <v>24</v>
      </c>
      <c r="D1034" s="3" t="s">
        <v>56</v>
      </c>
      <c r="E1034" s="3" t="s">
        <v>15</v>
      </c>
      <c r="F1034" s="3" t="s">
        <v>22</v>
      </c>
      <c r="G1034" s="0" t="n">
        <v>421</v>
      </c>
      <c r="H1034" s="0" t="n">
        <v>53</v>
      </c>
      <c r="I1034" s="0" t="n">
        <v>20</v>
      </c>
      <c r="J1034" s="0" t="n">
        <v>39</v>
      </c>
      <c r="K1034" s="0" t="n">
        <v>2.9</v>
      </c>
      <c r="L1034" s="3" t="s">
        <v>17</v>
      </c>
    </row>
    <row r="1035" customFormat="false" ht="15" hidden="false" customHeight="false" outlineLevel="0" collapsed="false">
      <c r="A1035" s="0" t="s">
        <v>1170</v>
      </c>
      <c r="B1035" s="2" t="n">
        <v>45675</v>
      </c>
      <c r="C1035" s="3" t="s">
        <v>27</v>
      </c>
      <c r="D1035" s="3" t="s">
        <v>31</v>
      </c>
      <c r="E1035" s="3" t="s">
        <v>15</v>
      </c>
      <c r="F1035" s="3" t="s">
        <v>22</v>
      </c>
      <c r="G1035" s="0" t="n">
        <v>674</v>
      </c>
      <c r="H1035" s="0" t="n">
        <v>0</v>
      </c>
      <c r="I1035" s="0" t="n">
        <v>0</v>
      </c>
      <c r="J1035" s="0" t="n">
        <v>46</v>
      </c>
      <c r="K1035" s="0" t="n">
        <v>4.3</v>
      </c>
      <c r="L1035" s="3" t="s">
        <v>17</v>
      </c>
    </row>
    <row r="1036" customFormat="false" ht="15" hidden="false" customHeight="false" outlineLevel="0" collapsed="false">
      <c r="A1036" s="0" t="s">
        <v>1171</v>
      </c>
      <c r="B1036" s="2" t="n">
        <v>45839</v>
      </c>
      <c r="C1036" s="3" t="s">
        <v>127</v>
      </c>
      <c r="D1036" s="3" t="s">
        <v>28</v>
      </c>
      <c r="E1036" s="3" t="s">
        <v>21</v>
      </c>
      <c r="F1036" s="3" t="s">
        <v>16</v>
      </c>
      <c r="G1036" s="0" t="n">
        <v>273</v>
      </c>
      <c r="H1036" s="0" t="n">
        <v>0</v>
      </c>
      <c r="I1036" s="0" t="n">
        <v>45</v>
      </c>
      <c r="J1036" s="0" t="n">
        <v>39</v>
      </c>
      <c r="K1036" s="0" t="n">
        <v>4</v>
      </c>
      <c r="L1036" s="3" t="s">
        <v>17</v>
      </c>
    </row>
    <row r="1037" customFormat="false" ht="15" hidden="false" customHeight="false" outlineLevel="0" collapsed="false">
      <c r="A1037" s="0" t="s">
        <v>1172</v>
      </c>
      <c r="B1037" s="2" t="n">
        <v>45989</v>
      </c>
      <c r="C1037" s="3" t="s">
        <v>40</v>
      </c>
      <c r="D1037" s="3" t="s">
        <v>25</v>
      </c>
      <c r="E1037" s="3" t="s">
        <v>21</v>
      </c>
      <c r="F1037" s="3" t="s">
        <v>54</v>
      </c>
      <c r="G1037" s="0" t="n">
        <v>402</v>
      </c>
      <c r="H1037" s="0" t="n">
        <v>93</v>
      </c>
      <c r="I1037" s="0" t="n">
        <v>20</v>
      </c>
      <c r="J1037" s="0" t="n">
        <v>33</v>
      </c>
      <c r="K1037" s="0" t="n">
        <v>4.9</v>
      </c>
      <c r="L1037" s="3" t="s">
        <v>17</v>
      </c>
    </row>
    <row r="1038" customFormat="false" ht="15" hidden="false" customHeight="false" outlineLevel="0" collapsed="false">
      <c r="A1038" s="0" t="s">
        <v>1173</v>
      </c>
      <c r="B1038" s="2" t="n">
        <v>45942</v>
      </c>
      <c r="C1038" s="3" t="s">
        <v>27</v>
      </c>
      <c r="D1038" s="3" t="s">
        <v>31</v>
      </c>
      <c r="E1038" s="3" t="s">
        <v>15</v>
      </c>
      <c r="F1038" s="3" t="s">
        <v>54</v>
      </c>
      <c r="G1038" s="0" t="n">
        <v>539</v>
      </c>
      <c r="H1038" s="0" t="n">
        <v>68</v>
      </c>
      <c r="I1038" s="0" t="n">
        <v>0</v>
      </c>
      <c r="J1038" s="0" t="n">
        <v>37</v>
      </c>
      <c r="K1038" s="0" t="n">
        <v>4.5</v>
      </c>
      <c r="L1038" s="3" t="s">
        <v>17</v>
      </c>
    </row>
    <row r="1039" customFormat="false" ht="15" hidden="false" customHeight="false" outlineLevel="0" collapsed="false">
      <c r="A1039" s="0" t="s">
        <v>1174</v>
      </c>
      <c r="B1039" s="2" t="n">
        <v>46020</v>
      </c>
      <c r="C1039" s="3" t="s">
        <v>24</v>
      </c>
      <c r="D1039" s="3" t="s">
        <v>25</v>
      </c>
      <c r="E1039" s="3" t="s">
        <v>21</v>
      </c>
      <c r="F1039" s="3" t="s">
        <v>22</v>
      </c>
      <c r="G1039" s="0" t="n">
        <v>519</v>
      </c>
      <c r="H1039" s="0" t="n">
        <v>0</v>
      </c>
      <c r="I1039" s="0" t="n">
        <v>0</v>
      </c>
      <c r="J1039" s="0" t="n">
        <v>34</v>
      </c>
      <c r="K1039" s="0" t="n">
        <v>4.6</v>
      </c>
      <c r="L1039" s="3" t="s">
        <v>17</v>
      </c>
    </row>
    <row r="1040" customFormat="false" ht="15" hidden="false" customHeight="false" outlineLevel="0" collapsed="false">
      <c r="A1040" s="0" t="s">
        <v>1175</v>
      </c>
      <c r="B1040" s="2" t="n">
        <v>45868</v>
      </c>
      <c r="C1040" s="3" t="s">
        <v>13</v>
      </c>
      <c r="D1040" s="3" t="s">
        <v>49</v>
      </c>
      <c r="E1040" s="3" t="s">
        <v>21</v>
      </c>
      <c r="F1040" s="3" t="s">
        <v>16</v>
      </c>
      <c r="G1040" s="0" t="n">
        <v>452</v>
      </c>
      <c r="H1040" s="0" t="n">
        <v>0</v>
      </c>
      <c r="I1040" s="0" t="n">
        <v>20</v>
      </c>
      <c r="J1040" s="0" t="n">
        <v>28</v>
      </c>
      <c r="K1040" s="0" t="n">
        <v>4.3</v>
      </c>
      <c r="L1040" s="3" t="s">
        <v>17</v>
      </c>
    </row>
    <row r="1041" customFormat="false" ht="15" hidden="false" customHeight="false" outlineLevel="0" collapsed="false">
      <c r="A1041" s="0" t="s">
        <v>1176</v>
      </c>
      <c r="B1041" s="2" t="n">
        <v>45913</v>
      </c>
      <c r="C1041" s="3" t="s">
        <v>51</v>
      </c>
      <c r="D1041" s="3" t="s">
        <v>14</v>
      </c>
      <c r="E1041" s="3" t="s">
        <v>15</v>
      </c>
      <c r="F1041" s="3" t="s">
        <v>22</v>
      </c>
      <c r="G1041" s="0" t="n">
        <v>344</v>
      </c>
      <c r="H1041" s="0" t="n">
        <v>72</v>
      </c>
      <c r="I1041" s="0" t="n">
        <v>45</v>
      </c>
      <c r="J1041" s="0" t="n">
        <v>25</v>
      </c>
      <c r="K1041" s="0" t="n">
        <v>4.1</v>
      </c>
      <c r="L1041" s="3" t="s">
        <v>17</v>
      </c>
    </row>
    <row r="1042" customFormat="false" ht="15" hidden="false" customHeight="false" outlineLevel="0" collapsed="false">
      <c r="A1042" s="0" t="s">
        <v>1177</v>
      </c>
      <c r="B1042" s="0" t="s">
        <v>494</v>
      </c>
      <c r="C1042" s="0" t="s">
        <v>40</v>
      </c>
      <c r="D1042" s="0" t="s">
        <v>49</v>
      </c>
      <c r="E1042" s="0" t="s">
        <v>21</v>
      </c>
      <c r="F1042" s="0" t="s">
        <v>16</v>
      </c>
      <c r="G1042" s="0" t="n">
        <v>477</v>
      </c>
      <c r="H1042" s="0" t="n">
        <v>0</v>
      </c>
      <c r="I1042" s="0" t="n">
        <v>20</v>
      </c>
      <c r="J1042" s="0" t="n">
        <v>43</v>
      </c>
      <c r="K1042" s="0" t="n">
        <v>3.9</v>
      </c>
      <c r="L1042" s="0" t="s">
        <v>17</v>
      </c>
    </row>
    <row r="1043" customFormat="false" ht="15" hidden="false" customHeight="false" outlineLevel="0" collapsed="false">
      <c r="A1043" s="0" t="s">
        <v>1178</v>
      </c>
      <c r="B1043" s="2" t="n">
        <v>46006</v>
      </c>
      <c r="C1043" s="3" t="s">
        <v>51</v>
      </c>
      <c r="D1043" s="3" t="s">
        <v>20</v>
      </c>
      <c r="E1043" s="3" t="s">
        <v>15</v>
      </c>
      <c r="F1043" s="3" t="s">
        <v>34</v>
      </c>
      <c r="G1043" s="0" t="n">
        <v>501</v>
      </c>
      <c r="H1043" s="0" t="n">
        <v>0</v>
      </c>
      <c r="I1043" s="0" t="n">
        <v>0</v>
      </c>
      <c r="J1043" s="0" t="n">
        <v>37</v>
      </c>
      <c r="K1043" s="0" t="n">
        <v>3.3</v>
      </c>
      <c r="L1043" s="3" t="s">
        <v>17</v>
      </c>
    </row>
    <row r="1044" customFormat="false" ht="15" hidden="false" customHeight="false" outlineLevel="0" collapsed="false">
      <c r="A1044" s="0" t="s">
        <v>1179</v>
      </c>
      <c r="B1044" s="2" t="n">
        <v>45808</v>
      </c>
      <c r="C1044" s="3" t="s">
        <v>45</v>
      </c>
      <c r="D1044" s="3" t="s">
        <v>28</v>
      </c>
      <c r="E1044" s="3" t="s">
        <v>15</v>
      </c>
      <c r="F1044" s="3" t="s">
        <v>22</v>
      </c>
      <c r="G1044" s="0" t="n">
        <v>290</v>
      </c>
      <c r="H1044" s="0" t="n">
        <v>58</v>
      </c>
      <c r="I1044" s="0" t="n">
        <v>30</v>
      </c>
      <c r="J1044" s="0" t="n">
        <v>21</v>
      </c>
      <c r="K1044" s="0" t="n">
        <v>4.3</v>
      </c>
      <c r="L1044" s="3" t="s">
        <v>17</v>
      </c>
    </row>
    <row r="1045" customFormat="false" ht="15" hidden="false" customHeight="false" outlineLevel="0" collapsed="false">
      <c r="A1045" s="0" t="s">
        <v>1180</v>
      </c>
      <c r="B1045" s="2" t="n">
        <v>45939</v>
      </c>
      <c r="C1045" s="3" t="s">
        <v>30</v>
      </c>
      <c r="D1045" s="3" t="s">
        <v>56</v>
      </c>
      <c r="E1045" s="3" t="s">
        <v>21</v>
      </c>
      <c r="F1045" s="3" t="s">
        <v>34</v>
      </c>
      <c r="G1045" s="0" t="n">
        <v>372</v>
      </c>
      <c r="H1045" s="0" t="n">
        <v>0</v>
      </c>
      <c r="I1045" s="0" t="n">
        <v>40</v>
      </c>
      <c r="L1045" s="3" t="s">
        <v>68</v>
      </c>
    </row>
    <row r="1046" customFormat="false" ht="15" hidden="false" customHeight="false" outlineLevel="0" collapsed="false">
      <c r="A1046" s="0" t="s">
        <v>1181</v>
      </c>
      <c r="B1046" s="2" t="n">
        <v>45822</v>
      </c>
      <c r="C1046" s="3" t="s">
        <v>13</v>
      </c>
      <c r="D1046" s="3" t="s">
        <v>49</v>
      </c>
      <c r="E1046" s="3" t="s">
        <v>21</v>
      </c>
      <c r="F1046" s="3" t="s">
        <v>54</v>
      </c>
      <c r="G1046" s="0" t="n">
        <v>499</v>
      </c>
      <c r="H1046" s="0" t="n">
        <v>0</v>
      </c>
      <c r="I1046" s="0" t="n">
        <v>20</v>
      </c>
      <c r="L1046" s="3" t="s">
        <v>68</v>
      </c>
    </row>
    <row r="1047" customFormat="false" ht="15" hidden="false" customHeight="false" outlineLevel="0" collapsed="false">
      <c r="A1047" s="0" t="s">
        <v>1182</v>
      </c>
      <c r="B1047" s="2" t="n">
        <v>45879</v>
      </c>
      <c r="C1047" s="3" t="s">
        <v>13</v>
      </c>
      <c r="D1047" s="3" t="s">
        <v>56</v>
      </c>
      <c r="E1047" s="3" t="s">
        <v>15</v>
      </c>
      <c r="F1047" s="3" t="s">
        <v>22</v>
      </c>
      <c r="G1047" s="0" t="n">
        <v>265</v>
      </c>
      <c r="H1047" s="0" t="n">
        <v>28</v>
      </c>
      <c r="I1047" s="0" t="n">
        <v>20</v>
      </c>
      <c r="J1047" s="0" t="n">
        <v>34</v>
      </c>
      <c r="L1047" s="3" t="s">
        <v>17</v>
      </c>
    </row>
    <row r="1048" customFormat="false" ht="15" hidden="false" customHeight="false" outlineLevel="0" collapsed="false">
      <c r="A1048" s="0" t="s">
        <v>1183</v>
      </c>
      <c r="B1048" s="2" t="n">
        <v>45933</v>
      </c>
      <c r="C1048" s="3" t="s">
        <v>13</v>
      </c>
      <c r="D1048" s="3" t="s">
        <v>25</v>
      </c>
      <c r="E1048" s="3" t="s">
        <v>21</v>
      </c>
      <c r="F1048" s="3" t="s">
        <v>22</v>
      </c>
      <c r="G1048" s="0" t="n">
        <v>382</v>
      </c>
      <c r="H1048" s="0" t="n">
        <v>0</v>
      </c>
      <c r="I1048" s="0" t="n">
        <v>40</v>
      </c>
      <c r="J1048" s="0" t="n">
        <v>25</v>
      </c>
      <c r="K1048" s="0" t="n">
        <v>4.8</v>
      </c>
      <c r="L1048" s="3" t="s">
        <v>17</v>
      </c>
    </row>
    <row r="1049" customFormat="false" ht="15" hidden="false" customHeight="false" outlineLevel="0" collapsed="false">
      <c r="A1049" s="0" t="s">
        <v>1184</v>
      </c>
      <c r="B1049" s="2" t="n">
        <v>45860</v>
      </c>
      <c r="C1049" s="3" t="s">
        <v>13</v>
      </c>
      <c r="D1049" s="3" t="s">
        <v>20</v>
      </c>
      <c r="E1049" s="3" t="s">
        <v>21</v>
      </c>
      <c r="F1049" s="3" t="s">
        <v>22</v>
      </c>
      <c r="G1049" s="0" t="n">
        <v>831</v>
      </c>
      <c r="H1049" s="0" t="n">
        <v>202</v>
      </c>
      <c r="I1049" s="0" t="n">
        <v>0</v>
      </c>
      <c r="J1049" s="0" t="n">
        <v>24</v>
      </c>
      <c r="K1049" s="0" t="n">
        <v>4.5</v>
      </c>
      <c r="L1049" s="3" t="s">
        <v>17</v>
      </c>
    </row>
    <row r="1050" customFormat="false" ht="15" hidden="false" customHeight="false" outlineLevel="0" collapsed="false">
      <c r="A1050" s="0" t="s">
        <v>1185</v>
      </c>
      <c r="B1050" s="2" t="n">
        <v>45994</v>
      </c>
      <c r="C1050" s="3" t="s">
        <v>40</v>
      </c>
      <c r="D1050" s="3" t="s">
        <v>20</v>
      </c>
      <c r="E1050" s="3" t="s">
        <v>15</v>
      </c>
      <c r="F1050" s="3" t="s">
        <v>22</v>
      </c>
      <c r="G1050" s="0" t="n">
        <v>399</v>
      </c>
      <c r="H1050" s="0" t="n">
        <v>56</v>
      </c>
      <c r="I1050" s="0" t="n">
        <v>40</v>
      </c>
      <c r="J1050" s="0" t="n">
        <v>42</v>
      </c>
      <c r="K1050" s="0" t="n">
        <v>3.9</v>
      </c>
      <c r="L1050" s="3" t="s">
        <v>17</v>
      </c>
    </row>
    <row r="1051" customFormat="false" ht="15" hidden="false" customHeight="false" outlineLevel="0" collapsed="false">
      <c r="A1051" s="0" t="s">
        <v>1186</v>
      </c>
      <c r="B1051" s="2" t="n">
        <v>45828</v>
      </c>
      <c r="C1051" s="3" t="s">
        <v>51</v>
      </c>
      <c r="D1051" s="3" t="s">
        <v>31</v>
      </c>
      <c r="E1051" s="3" t="s">
        <v>21</v>
      </c>
      <c r="F1051" s="3" t="s">
        <v>22</v>
      </c>
      <c r="G1051" s="0" t="n">
        <v>477</v>
      </c>
      <c r="H1051" s="0" t="n">
        <v>0</v>
      </c>
      <c r="I1051" s="0" t="n">
        <v>45</v>
      </c>
      <c r="J1051" s="0" t="n">
        <v>24</v>
      </c>
      <c r="K1051" s="0" t="n">
        <v>4.1</v>
      </c>
      <c r="L1051" s="3" t="s">
        <v>17</v>
      </c>
    </row>
    <row r="1052" customFormat="false" ht="15" hidden="false" customHeight="false" outlineLevel="0" collapsed="false">
      <c r="A1052" s="0" t="s">
        <v>1187</v>
      </c>
      <c r="B1052" s="2" t="n">
        <v>45908</v>
      </c>
      <c r="C1052" s="3" t="s">
        <v>27</v>
      </c>
      <c r="D1052" s="3" t="s">
        <v>56</v>
      </c>
      <c r="E1052" s="3" t="s">
        <v>21</v>
      </c>
      <c r="F1052" s="3" t="s">
        <v>34</v>
      </c>
      <c r="G1052" s="0" t="n">
        <v>507</v>
      </c>
      <c r="H1052" s="0" t="n">
        <v>0</v>
      </c>
      <c r="I1052" s="0" t="n">
        <v>0</v>
      </c>
      <c r="J1052" s="0" t="n">
        <v>40</v>
      </c>
      <c r="K1052" s="0" t="n">
        <v>4</v>
      </c>
      <c r="L1052" s="3" t="s">
        <v>17</v>
      </c>
    </row>
    <row r="1053" customFormat="false" ht="15" hidden="false" customHeight="false" outlineLevel="0" collapsed="false">
      <c r="A1053" s="0" t="s">
        <v>1188</v>
      </c>
      <c r="B1053" s="2" t="n">
        <v>45799</v>
      </c>
      <c r="C1053" s="3" t="s">
        <v>30</v>
      </c>
      <c r="D1053" s="3" t="s">
        <v>25</v>
      </c>
      <c r="E1053" s="3" t="s">
        <v>15</v>
      </c>
      <c r="F1053" s="3" t="s">
        <v>22</v>
      </c>
      <c r="G1053" s="0" t="n">
        <v>504</v>
      </c>
      <c r="H1053" s="0" t="n">
        <v>0</v>
      </c>
      <c r="I1053" s="0" t="n">
        <v>0</v>
      </c>
      <c r="J1053" s="0" t="n">
        <v>29</v>
      </c>
      <c r="K1053" s="0" t="n">
        <v>4</v>
      </c>
      <c r="L1053" s="3" t="s">
        <v>17</v>
      </c>
    </row>
    <row r="1054" customFormat="false" ht="15" hidden="false" customHeight="false" outlineLevel="0" collapsed="false">
      <c r="A1054" s="0" t="s">
        <v>1189</v>
      </c>
      <c r="B1054" s="0" t="s">
        <v>1190</v>
      </c>
      <c r="C1054" s="0" t="s">
        <v>24</v>
      </c>
      <c r="D1054" s="0" t="s">
        <v>14</v>
      </c>
      <c r="E1054" s="0" t="s">
        <v>21</v>
      </c>
      <c r="F1054" s="0" t="s">
        <v>36</v>
      </c>
      <c r="G1054" s="0" t="n">
        <v>414</v>
      </c>
      <c r="H1054" s="0" t="n">
        <v>89</v>
      </c>
      <c r="I1054" s="0" t="n">
        <v>30</v>
      </c>
      <c r="J1054" s="0" t="n">
        <v>35</v>
      </c>
      <c r="K1054" s="0" t="n">
        <v>4.2</v>
      </c>
      <c r="L1054" s="0" t="s">
        <v>17</v>
      </c>
    </row>
    <row r="1055" customFormat="false" ht="15" hidden="false" customHeight="false" outlineLevel="0" collapsed="false">
      <c r="A1055" s="0" t="s">
        <v>1191</v>
      </c>
      <c r="B1055" s="2" t="n">
        <v>45835</v>
      </c>
      <c r="C1055" s="3" t="s">
        <v>421</v>
      </c>
      <c r="D1055" s="3" t="s">
        <v>56</v>
      </c>
      <c r="E1055" s="3" t="s">
        <v>21</v>
      </c>
      <c r="F1055" s="3" t="s">
        <v>54</v>
      </c>
      <c r="G1055" s="0" t="n">
        <v>434</v>
      </c>
      <c r="H1055" s="0" t="n">
        <v>105</v>
      </c>
      <c r="I1055" s="0" t="n">
        <v>45</v>
      </c>
      <c r="L1055" s="3" t="s">
        <v>68</v>
      </c>
    </row>
    <row r="1056" customFormat="false" ht="15" hidden="false" customHeight="false" outlineLevel="0" collapsed="false">
      <c r="A1056" s="0" t="s">
        <v>1192</v>
      </c>
      <c r="B1056" s="2" t="n">
        <v>45712</v>
      </c>
      <c r="C1056" s="3" t="s">
        <v>27</v>
      </c>
      <c r="D1056" s="3" t="s">
        <v>14</v>
      </c>
      <c r="E1056" s="3" t="s">
        <v>15</v>
      </c>
      <c r="F1056" s="3" t="s">
        <v>54</v>
      </c>
      <c r="G1056" s="0" t="n">
        <v>332</v>
      </c>
      <c r="H1056" s="0" t="n">
        <v>50</v>
      </c>
      <c r="I1056" s="0" t="n">
        <v>45</v>
      </c>
      <c r="J1056" s="0" t="n">
        <v>53</v>
      </c>
      <c r="K1056" s="0" t="n">
        <v>4.2</v>
      </c>
      <c r="L1056" s="3" t="s">
        <v>17</v>
      </c>
    </row>
    <row r="1057" customFormat="false" ht="15" hidden="false" customHeight="false" outlineLevel="0" collapsed="false">
      <c r="A1057" s="0" t="s">
        <v>1193</v>
      </c>
      <c r="B1057" s="2" t="n">
        <v>45697</v>
      </c>
      <c r="C1057" s="3" t="s">
        <v>164</v>
      </c>
      <c r="D1057" s="3" t="s">
        <v>56</v>
      </c>
      <c r="E1057" s="3" t="s">
        <v>21</v>
      </c>
      <c r="F1057" s="3" t="s">
        <v>34</v>
      </c>
      <c r="G1057" s="0" t="n">
        <v>443</v>
      </c>
      <c r="H1057" s="0" t="n">
        <v>0</v>
      </c>
      <c r="I1057" s="0" t="n">
        <v>40</v>
      </c>
      <c r="J1057" s="0" t="n">
        <v>31</v>
      </c>
      <c r="K1057" s="0" t="n">
        <v>4.1</v>
      </c>
      <c r="L1057" s="3" t="s">
        <v>17</v>
      </c>
    </row>
    <row r="1058" customFormat="false" ht="15" hidden="false" customHeight="false" outlineLevel="0" collapsed="false">
      <c r="A1058" s="0" t="s">
        <v>1194</v>
      </c>
      <c r="B1058" s="2" t="n">
        <v>45915</v>
      </c>
      <c r="C1058" s="3" t="s">
        <v>27</v>
      </c>
      <c r="D1058" s="3" t="s">
        <v>28</v>
      </c>
      <c r="E1058" s="3" t="s">
        <v>21</v>
      </c>
      <c r="F1058" s="3" t="s">
        <v>22</v>
      </c>
      <c r="G1058" s="0" t="n">
        <v>501</v>
      </c>
      <c r="H1058" s="0" t="n">
        <v>0</v>
      </c>
      <c r="I1058" s="0" t="n">
        <v>0</v>
      </c>
      <c r="J1058" s="0" t="n">
        <v>48</v>
      </c>
      <c r="K1058" s="0" t="n">
        <v>4.1</v>
      </c>
      <c r="L1058" s="3" t="s">
        <v>17</v>
      </c>
    </row>
    <row r="1059" customFormat="false" ht="15" hidden="false" customHeight="false" outlineLevel="0" collapsed="false">
      <c r="A1059" s="0" t="s">
        <v>1195</v>
      </c>
      <c r="B1059" s="2" t="n">
        <v>45911</v>
      </c>
      <c r="C1059" s="3" t="s">
        <v>24</v>
      </c>
      <c r="D1059" s="3" t="s">
        <v>31</v>
      </c>
      <c r="E1059" s="3" t="s">
        <v>21</v>
      </c>
      <c r="F1059" s="3" t="s">
        <v>22</v>
      </c>
      <c r="G1059" s="0" t="n">
        <v>542</v>
      </c>
      <c r="H1059" s="0" t="n">
        <v>0</v>
      </c>
      <c r="I1059" s="0" t="n">
        <v>0</v>
      </c>
      <c r="J1059" s="0" t="n">
        <v>18</v>
      </c>
      <c r="K1059" s="0" t="n">
        <v>5</v>
      </c>
      <c r="L1059" s="3" t="s">
        <v>17</v>
      </c>
    </row>
    <row r="1060" customFormat="false" ht="15" hidden="false" customHeight="false" outlineLevel="0" collapsed="false">
      <c r="A1060" s="0" t="s">
        <v>1196</v>
      </c>
      <c r="B1060" s="2" t="n">
        <v>45914</v>
      </c>
      <c r="C1060" s="3" t="s">
        <v>24</v>
      </c>
      <c r="D1060" s="3" t="s">
        <v>49</v>
      </c>
      <c r="E1060" s="3" t="s">
        <v>21</v>
      </c>
      <c r="F1060" s="3" t="s">
        <v>22</v>
      </c>
      <c r="G1060" s="0" t="n">
        <v>519</v>
      </c>
      <c r="H1060" s="0" t="n">
        <v>0</v>
      </c>
      <c r="I1060" s="0" t="n">
        <v>0</v>
      </c>
      <c r="J1060" s="0" t="n">
        <v>46</v>
      </c>
      <c r="K1060" s="0" t="n">
        <v>4.2</v>
      </c>
      <c r="L1060" s="3" t="s">
        <v>17</v>
      </c>
    </row>
    <row r="1061" customFormat="false" ht="15" hidden="false" customHeight="false" outlineLevel="0" collapsed="false">
      <c r="A1061" s="0" t="s">
        <v>1197</v>
      </c>
      <c r="B1061" s="2" t="n">
        <v>45666</v>
      </c>
      <c r="C1061" s="3" t="s">
        <v>27</v>
      </c>
      <c r="D1061" s="3" t="s">
        <v>56</v>
      </c>
      <c r="E1061" s="3" t="s">
        <v>21</v>
      </c>
      <c r="F1061" s="3" t="s">
        <v>54</v>
      </c>
      <c r="G1061" s="0" t="n">
        <v>291</v>
      </c>
      <c r="H1061" s="0" t="n">
        <v>58</v>
      </c>
      <c r="I1061" s="0" t="n">
        <v>40</v>
      </c>
      <c r="J1061" s="0" t="n">
        <v>28</v>
      </c>
      <c r="K1061" s="0" t="n">
        <v>4.8</v>
      </c>
      <c r="L1061" s="3" t="s">
        <v>17</v>
      </c>
    </row>
    <row r="1062" customFormat="false" ht="15" hidden="false" customHeight="false" outlineLevel="0" collapsed="false">
      <c r="A1062" s="0" t="s">
        <v>1198</v>
      </c>
      <c r="B1062" s="2" t="n">
        <v>45793</v>
      </c>
      <c r="C1062" s="3" t="s">
        <v>24</v>
      </c>
      <c r="D1062" s="3" t="s">
        <v>25</v>
      </c>
      <c r="E1062" s="3" t="s">
        <v>15</v>
      </c>
      <c r="F1062" s="3" t="s">
        <v>54</v>
      </c>
      <c r="G1062" s="0" t="n">
        <v>499</v>
      </c>
      <c r="H1062" s="0" t="n">
        <v>107</v>
      </c>
      <c r="I1062" s="0" t="n">
        <v>45</v>
      </c>
      <c r="J1062" s="0" t="n">
        <v>53</v>
      </c>
      <c r="K1062" s="0" t="n">
        <v>2.8</v>
      </c>
      <c r="L1062" s="3" t="s">
        <v>17</v>
      </c>
    </row>
    <row r="1063" customFormat="false" ht="15" hidden="false" customHeight="false" outlineLevel="0" collapsed="false">
      <c r="A1063" s="0" t="s">
        <v>1199</v>
      </c>
      <c r="B1063" s="2" t="n">
        <v>45742</v>
      </c>
      <c r="C1063" s="3" t="s">
        <v>19</v>
      </c>
      <c r="D1063" s="3" t="s">
        <v>25</v>
      </c>
      <c r="E1063" s="3" t="s">
        <v>21</v>
      </c>
      <c r="F1063" s="3" t="s">
        <v>22</v>
      </c>
      <c r="G1063" s="0" t="n">
        <v>445</v>
      </c>
      <c r="H1063" s="0" t="n">
        <v>111</v>
      </c>
      <c r="I1063" s="0" t="n">
        <v>40</v>
      </c>
      <c r="L1063" s="3" t="s">
        <v>68</v>
      </c>
    </row>
    <row r="1064" customFormat="false" ht="15" hidden="false" customHeight="false" outlineLevel="0" collapsed="false">
      <c r="A1064" s="0" t="s">
        <v>1200</v>
      </c>
      <c r="B1064" s="2" t="n">
        <v>45952</v>
      </c>
      <c r="C1064" s="3" t="s">
        <v>40</v>
      </c>
      <c r="D1064" s="3" t="s">
        <v>25</v>
      </c>
      <c r="E1064" s="3" t="s">
        <v>21</v>
      </c>
      <c r="F1064" s="3" t="s">
        <v>22</v>
      </c>
      <c r="G1064" s="0" t="n">
        <v>358</v>
      </c>
      <c r="H1064" s="0" t="n">
        <v>0</v>
      </c>
      <c r="I1064" s="0" t="n">
        <v>20</v>
      </c>
      <c r="J1064" s="0" t="n">
        <v>47</v>
      </c>
      <c r="K1064" s="0" t="n">
        <v>4.5</v>
      </c>
      <c r="L1064" s="3" t="s">
        <v>17</v>
      </c>
    </row>
    <row r="1065" customFormat="false" ht="15" hidden="false" customHeight="false" outlineLevel="0" collapsed="false">
      <c r="A1065" s="0" t="s">
        <v>1201</v>
      </c>
      <c r="B1065" s="2" t="n">
        <v>45979</v>
      </c>
      <c r="C1065" s="3" t="s">
        <v>24</v>
      </c>
      <c r="D1065" s="3" t="s">
        <v>25</v>
      </c>
      <c r="E1065" s="3" t="s">
        <v>21</v>
      </c>
      <c r="F1065" s="3" t="s">
        <v>16</v>
      </c>
      <c r="G1065" s="0" t="n">
        <v>455</v>
      </c>
      <c r="H1065" s="0" t="n">
        <v>0</v>
      </c>
      <c r="I1065" s="0" t="n">
        <v>20</v>
      </c>
      <c r="J1065" s="0" t="n">
        <v>44</v>
      </c>
      <c r="K1065" s="0" t="n">
        <v>4.3</v>
      </c>
      <c r="L1065" s="3" t="s">
        <v>17</v>
      </c>
    </row>
    <row r="1066" customFormat="false" ht="15" hidden="false" customHeight="false" outlineLevel="0" collapsed="false">
      <c r="A1066" s="0" t="s">
        <v>1202</v>
      </c>
      <c r="B1066" s="2" t="n">
        <v>45761</v>
      </c>
      <c r="C1066" s="3" t="s">
        <v>24</v>
      </c>
      <c r="D1066" s="3" t="s">
        <v>28</v>
      </c>
      <c r="E1066" s="3" t="s">
        <v>21</v>
      </c>
      <c r="F1066" s="3" t="s">
        <v>22</v>
      </c>
      <c r="G1066" s="0" t="n">
        <v>532</v>
      </c>
      <c r="H1066" s="0" t="n">
        <v>0</v>
      </c>
      <c r="I1066" s="0" t="n">
        <v>0</v>
      </c>
      <c r="J1066" s="0" t="n">
        <v>33</v>
      </c>
      <c r="K1066" s="0" t="n">
        <v>5</v>
      </c>
      <c r="L1066" s="3" t="s">
        <v>17</v>
      </c>
    </row>
    <row r="1067" customFormat="false" ht="15" hidden="false" customHeight="false" outlineLevel="0" collapsed="false">
      <c r="A1067" s="0" t="s">
        <v>1203</v>
      </c>
      <c r="B1067" s="2" t="n">
        <v>45915</v>
      </c>
      <c r="C1067" s="3" t="s">
        <v>27</v>
      </c>
      <c r="D1067" s="3" t="s">
        <v>49</v>
      </c>
      <c r="E1067" s="3" t="s">
        <v>15</v>
      </c>
      <c r="F1067" s="3" t="s">
        <v>54</v>
      </c>
      <c r="G1067" s="0" t="n">
        <v>358</v>
      </c>
      <c r="H1067" s="0" t="n">
        <v>44</v>
      </c>
      <c r="I1067" s="0" t="n">
        <v>45</v>
      </c>
      <c r="J1067" s="0" t="n">
        <v>39</v>
      </c>
      <c r="K1067" s="0" t="n">
        <v>5</v>
      </c>
      <c r="L1067" s="3" t="s">
        <v>17</v>
      </c>
    </row>
    <row r="1068" customFormat="false" ht="15" hidden="false" customHeight="false" outlineLevel="0" collapsed="false">
      <c r="A1068" s="0" t="s">
        <v>1204</v>
      </c>
      <c r="B1068" s="2" t="n">
        <v>45714</v>
      </c>
      <c r="C1068" s="3" t="s">
        <v>27</v>
      </c>
      <c r="D1068" s="3" t="s">
        <v>28</v>
      </c>
      <c r="E1068" s="3" t="s">
        <v>15</v>
      </c>
      <c r="F1068" s="3" t="s">
        <v>22</v>
      </c>
      <c r="G1068" s="0" t="n">
        <v>558</v>
      </c>
      <c r="H1068" s="0" t="n">
        <v>94</v>
      </c>
      <c r="I1068" s="0" t="n">
        <v>0</v>
      </c>
      <c r="J1068" s="0" t="n">
        <v>36</v>
      </c>
      <c r="K1068" s="0" t="n">
        <v>4.4</v>
      </c>
      <c r="L1068" s="3" t="s">
        <v>17</v>
      </c>
    </row>
    <row r="1069" customFormat="false" ht="15" hidden="false" customHeight="false" outlineLevel="0" collapsed="false">
      <c r="A1069" s="0" t="s">
        <v>1205</v>
      </c>
      <c r="B1069" s="2" t="n">
        <v>45773</v>
      </c>
      <c r="C1069" s="3" t="s">
        <v>13</v>
      </c>
      <c r="D1069" s="3" t="s">
        <v>20</v>
      </c>
      <c r="E1069" s="3" t="s">
        <v>21</v>
      </c>
      <c r="F1069" s="3" t="s">
        <v>22</v>
      </c>
      <c r="G1069" s="0" t="n">
        <v>496</v>
      </c>
      <c r="H1069" s="0" t="n">
        <v>0</v>
      </c>
      <c r="I1069" s="0" t="n">
        <v>40</v>
      </c>
      <c r="L1069" s="3" t="s">
        <v>68</v>
      </c>
    </row>
    <row r="1070" customFormat="false" ht="15" hidden="false" customHeight="false" outlineLevel="0" collapsed="false">
      <c r="A1070" s="0" t="s">
        <v>1206</v>
      </c>
      <c r="B1070" s="2" t="n">
        <v>45718</v>
      </c>
      <c r="C1070" s="3" t="s">
        <v>51</v>
      </c>
      <c r="D1070" s="3" t="s">
        <v>56</v>
      </c>
      <c r="E1070" s="3" t="s">
        <v>15</v>
      </c>
      <c r="F1070" s="3" t="s">
        <v>16</v>
      </c>
      <c r="G1070" s="0" t="n">
        <v>315</v>
      </c>
      <c r="H1070" s="0" t="n">
        <v>53</v>
      </c>
      <c r="I1070" s="0" t="n">
        <v>40</v>
      </c>
      <c r="J1070" s="0" t="n">
        <v>32</v>
      </c>
      <c r="K1070" s="0" t="n">
        <v>3.9</v>
      </c>
      <c r="L1070" s="3" t="s">
        <v>17</v>
      </c>
    </row>
    <row r="1071" customFormat="false" ht="15" hidden="false" customHeight="false" outlineLevel="0" collapsed="false">
      <c r="A1071" s="0" t="s">
        <v>1207</v>
      </c>
      <c r="B1071" s="0" t="s">
        <v>1208</v>
      </c>
      <c r="C1071" s="0" t="s">
        <v>24</v>
      </c>
      <c r="D1071" s="0" t="s">
        <v>14</v>
      </c>
      <c r="E1071" s="0" t="s">
        <v>21</v>
      </c>
      <c r="F1071" s="0" t="s">
        <v>22</v>
      </c>
      <c r="G1071" s="0" t="n">
        <v>363</v>
      </c>
      <c r="H1071" s="0" t="n">
        <v>0</v>
      </c>
      <c r="I1071" s="0" t="n">
        <v>45</v>
      </c>
      <c r="J1071" s="0" t="n">
        <v>30</v>
      </c>
      <c r="K1071" s="0" t="n">
        <v>4.2</v>
      </c>
      <c r="L1071" s="0" t="s">
        <v>17</v>
      </c>
    </row>
    <row r="1072" customFormat="false" ht="15" hidden="false" customHeight="false" outlineLevel="0" collapsed="false">
      <c r="A1072" s="0" t="s">
        <v>1209</v>
      </c>
      <c r="B1072" s="2" t="n">
        <v>45918</v>
      </c>
      <c r="C1072" s="3" t="s">
        <v>63</v>
      </c>
      <c r="D1072" s="3" t="s">
        <v>14</v>
      </c>
      <c r="E1072" s="3" t="s">
        <v>21</v>
      </c>
      <c r="F1072" s="3" t="s">
        <v>22</v>
      </c>
      <c r="G1072" s="0" t="n">
        <v>214</v>
      </c>
      <c r="H1072" s="0" t="n">
        <v>0</v>
      </c>
      <c r="I1072" s="0" t="n">
        <v>45</v>
      </c>
      <c r="J1072" s="0" t="n">
        <v>37</v>
      </c>
      <c r="K1072" s="0" t="n">
        <v>4</v>
      </c>
      <c r="L1072" s="3" t="s">
        <v>17</v>
      </c>
    </row>
    <row r="1073" customFormat="false" ht="15" hidden="false" customHeight="false" outlineLevel="0" collapsed="false">
      <c r="A1073" s="0" t="s">
        <v>1210</v>
      </c>
      <c r="B1073" s="2" t="n">
        <v>45995</v>
      </c>
      <c r="C1073" s="3" t="s">
        <v>40</v>
      </c>
      <c r="D1073" s="3" t="s">
        <v>25</v>
      </c>
      <c r="E1073" s="3" t="s">
        <v>15</v>
      </c>
      <c r="F1073" s="3" t="s">
        <v>36</v>
      </c>
      <c r="G1073" s="0" t="n">
        <v>273</v>
      </c>
      <c r="H1073" s="0" t="n">
        <v>40</v>
      </c>
      <c r="I1073" s="0" t="n">
        <v>20</v>
      </c>
      <c r="J1073" s="0" t="n">
        <v>32</v>
      </c>
      <c r="K1073" s="0" t="n">
        <v>4.1</v>
      </c>
      <c r="L1073" s="3" t="s">
        <v>17</v>
      </c>
    </row>
    <row r="1074" customFormat="false" ht="15" hidden="false" customHeight="false" outlineLevel="0" collapsed="false">
      <c r="A1074" s="0" t="s">
        <v>1211</v>
      </c>
      <c r="B1074" s="0" t="s">
        <v>1212</v>
      </c>
      <c r="C1074" s="0" t="s">
        <v>47</v>
      </c>
      <c r="D1074" s="0" t="s">
        <v>78</v>
      </c>
      <c r="E1074" s="0" t="s">
        <v>15</v>
      </c>
      <c r="F1074" s="0" t="s">
        <v>22</v>
      </c>
      <c r="G1074" s="0" t="n">
        <v>252</v>
      </c>
      <c r="H1074" s="0" t="n">
        <v>57</v>
      </c>
      <c r="I1074" s="0" t="n">
        <v>30</v>
      </c>
      <c r="J1074" s="0" t="n">
        <v>34</v>
      </c>
      <c r="K1074" s="0" t="n">
        <v>3.8</v>
      </c>
      <c r="L1074" s="0" t="s">
        <v>17</v>
      </c>
    </row>
    <row r="1075" customFormat="false" ht="15" hidden="false" customHeight="false" outlineLevel="0" collapsed="false">
      <c r="A1075" s="0" t="s">
        <v>1213</v>
      </c>
      <c r="B1075" s="2" t="n">
        <v>45872</v>
      </c>
      <c r="C1075" s="3" t="s">
        <v>27</v>
      </c>
      <c r="D1075" s="3" t="s">
        <v>56</v>
      </c>
      <c r="E1075" s="3" t="s">
        <v>21</v>
      </c>
      <c r="F1075" s="3" t="s">
        <v>34</v>
      </c>
      <c r="G1075" s="0" t="n">
        <v>394</v>
      </c>
      <c r="H1075" s="0" t="n">
        <v>78</v>
      </c>
      <c r="I1075" s="0" t="n">
        <v>30</v>
      </c>
      <c r="J1075" s="0" t="n">
        <v>43</v>
      </c>
      <c r="K1075" s="0" t="n">
        <v>4.3</v>
      </c>
      <c r="L1075" s="3" t="s">
        <v>17</v>
      </c>
    </row>
    <row r="1076" customFormat="false" ht="15" hidden="false" customHeight="false" outlineLevel="0" collapsed="false">
      <c r="A1076" s="0" t="s">
        <v>1214</v>
      </c>
      <c r="B1076" s="2" t="n">
        <v>45927</v>
      </c>
      <c r="C1076" s="3" t="s">
        <v>40</v>
      </c>
      <c r="D1076" s="3" t="s">
        <v>14</v>
      </c>
      <c r="E1076" s="3" t="s">
        <v>15</v>
      </c>
      <c r="F1076" s="3" t="s">
        <v>22</v>
      </c>
      <c r="G1076" s="0" t="n">
        <v>295</v>
      </c>
      <c r="H1076" s="0" t="n">
        <v>0</v>
      </c>
      <c r="I1076" s="0" t="n">
        <v>40</v>
      </c>
      <c r="J1076" s="0" t="n">
        <v>34</v>
      </c>
      <c r="K1076" s="0" t="n">
        <v>5</v>
      </c>
      <c r="L1076" s="3" t="s">
        <v>17</v>
      </c>
    </row>
    <row r="1077" customFormat="false" ht="15" hidden="false" customHeight="false" outlineLevel="0" collapsed="false">
      <c r="A1077" s="0" t="s">
        <v>1215</v>
      </c>
      <c r="B1077" s="2" t="n">
        <v>46008</v>
      </c>
      <c r="C1077" s="3" t="s">
        <v>27</v>
      </c>
      <c r="D1077" s="3" t="s">
        <v>78</v>
      </c>
      <c r="E1077" s="3" t="s">
        <v>58</v>
      </c>
      <c r="F1077" s="3" t="s">
        <v>22</v>
      </c>
      <c r="G1077" s="0" t="n">
        <v>335</v>
      </c>
      <c r="H1077" s="0" t="n">
        <v>0</v>
      </c>
      <c r="I1077" s="0" t="n">
        <v>30</v>
      </c>
      <c r="J1077" s="0" t="n">
        <v>39</v>
      </c>
      <c r="K1077" s="0" t="n">
        <v>4.6</v>
      </c>
      <c r="L1077" s="3" t="s">
        <v>17</v>
      </c>
    </row>
    <row r="1078" customFormat="false" ht="15" hidden="false" customHeight="false" outlineLevel="0" collapsed="false">
      <c r="A1078" s="0" t="s">
        <v>1216</v>
      </c>
      <c r="B1078" s="2" t="n">
        <v>45896</v>
      </c>
      <c r="C1078" s="3" t="s">
        <v>13</v>
      </c>
      <c r="D1078" s="3" t="s">
        <v>28</v>
      </c>
      <c r="E1078" s="3" t="s">
        <v>21</v>
      </c>
      <c r="F1078" s="3" t="s">
        <v>22</v>
      </c>
      <c r="G1078" s="0" t="n">
        <v>328</v>
      </c>
      <c r="H1078" s="0" t="n">
        <v>0</v>
      </c>
      <c r="I1078" s="0" t="n">
        <v>30</v>
      </c>
      <c r="J1078" s="0" t="n">
        <v>44</v>
      </c>
      <c r="K1078" s="0" t="n">
        <v>3.9</v>
      </c>
      <c r="L1078" s="3" t="s">
        <v>17</v>
      </c>
    </row>
    <row r="1079" customFormat="false" ht="15" hidden="false" customHeight="false" outlineLevel="0" collapsed="false">
      <c r="A1079" s="0" t="s">
        <v>1217</v>
      </c>
      <c r="B1079" s="2" t="n">
        <v>45765</v>
      </c>
      <c r="C1079" s="3" t="s">
        <v>13</v>
      </c>
      <c r="D1079" s="3" t="s">
        <v>31</v>
      </c>
      <c r="E1079" s="3" t="s">
        <v>15</v>
      </c>
      <c r="F1079" s="3" t="s">
        <v>22</v>
      </c>
      <c r="G1079" s="0" t="n">
        <v>364</v>
      </c>
      <c r="H1079" s="0" t="n">
        <v>47</v>
      </c>
      <c r="I1079" s="0" t="n">
        <v>20</v>
      </c>
      <c r="J1079" s="0" t="n">
        <v>32</v>
      </c>
      <c r="K1079" s="0" t="n">
        <v>4.9</v>
      </c>
      <c r="L1079" s="3" t="s">
        <v>17</v>
      </c>
    </row>
    <row r="1080" customFormat="false" ht="15" hidden="false" customHeight="false" outlineLevel="0" collapsed="false">
      <c r="A1080" s="0" t="s">
        <v>1218</v>
      </c>
      <c r="B1080" s="2" t="n">
        <v>45901</v>
      </c>
      <c r="C1080" s="3" t="s">
        <v>27</v>
      </c>
      <c r="D1080" s="3" t="s">
        <v>20</v>
      </c>
      <c r="E1080" s="3" t="s">
        <v>99</v>
      </c>
      <c r="F1080" s="3" t="s">
        <v>22</v>
      </c>
      <c r="G1080" s="0" t="n">
        <v>598</v>
      </c>
      <c r="H1080" s="0" t="n">
        <v>0</v>
      </c>
      <c r="I1080" s="0" t="n">
        <v>0</v>
      </c>
      <c r="J1080" s="0" t="n">
        <v>39</v>
      </c>
      <c r="K1080" s="0" t="n">
        <v>4.3</v>
      </c>
      <c r="L1080" s="3" t="s">
        <v>17</v>
      </c>
    </row>
    <row r="1081" customFormat="false" ht="15" hidden="false" customHeight="false" outlineLevel="0" collapsed="false">
      <c r="A1081" s="0" t="s">
        <v>1219</v>
      </c>
      <c r="B1081" s="2" t="n">
        <v>45790</v>
      </c>
      <c r="C1081" s="3" t="s">
        <v>27</v>
      </c>
      <c r="D1081" s="3" t="s">
        <v>31</v>
      </c>
      <c r="E1081" s="3" t="s">
        <v>21</v>
      </c>
      <c r="F1081" s="3" t="s">
        <v>22</v>
      </c>
      <c r="G1081" s="0" t="n">
        <v>439</v>
      </c>
      <c r="H1081" s="0" t="n">
        <v>88</v>
      </c>
      <c r="I1081" s="0" t="n">
        <v>30</v>
      </c>
      <c r="J1081" s="0" t="n">
        <v>41</v>
      </c>
      <c r="K1081" s="0" t="n">
        <v>4.1</v>
      </c>
      <c r="L1081" s="3" t="s">
        <v>17</v>
      </c>
    </row>
    <row r="1082" customFormat="false" ht="15" hidden="false" customHeight="false" outlineLevel="0" collapsed="false">
      <c r="A1082" s="0" t="s">
        <v>1220</v>
      </c>
      <c r="B1082" s="2" t="n">
        <v>46015</v>
      </c>
      <c r="C1082" s="3" t="s">
        <v>24</v>
      </c>
      <c r="D1082" s="3" t="s">
        <v>28</v>
      </c>
      <c r="E1082" s="3" t="s">
        <v>15</v>
      </c>
      <c r="F1082" s="3" t="s">
        <v>36</v>
      </c>
      <c r="G1082" s="0" t="n">
        <v>402</v>
      </c>
      <c r="H1082" s="0" t="n">
        <v>62</v>
      </c>
      <c r="I1082" s="0" t="n">
        <v>45</v>
      </c>
      <c r="J1082" s="0" t="n">
        <v>39</v>
      </c>
      <c r="K1082" s="0" t="n">
        <v>4.1</v>
      </c>
      <c r="L1082" s="3" t="s">
        <v>17</v>
      </c>
    </row>
    <row r="1083" customFormat="false" ht="15" hidden="false" customHeight="false" outlineLevel="0" collapsed="false">
      <c r="A1083" s="0" t="s">
        <v>1221</v>
      </c>
      <c r="B1083" s="2" t="n">
        <v>45821</v>
      </c>
      <c r="C1083" s="3" t="s">
        <v>40</v>
      </c>
      <c r="D1083" s="3" t="s">
        <v>25</v>
      </c>
      <c r="E1083" s="3" t="s">
        <v>21</v>
      </c>
      <c r="F1083" s="3" t="s">
        <v>36</v>
      </c>
      <c r="G1083" s="0" t="n">
        <v>542</v>
      </c>
      <c r="H1083" s="0" t="n">
        <v>0</v>
      </c>
      <c r="I1083" s="0" t="n">
        <v>0</v>
      </c>
      <c r="J1083" s="0" t="n">
        <v>31</v>
      </c>
      <c r="K1083" s="0" t="n">
        <v>4.3</v>
      </c>
      <c r="L1083" s="3" t="s">
        <v>17</v>
      </c>
    </row>
    <row r="1084" customFormat="false" ht="15" hidden="false" customHeight="false" outlineLevel="0" collapsed="false">
      <c r="A1084" s="0" t="s">
        <v>1222</v>
      </c>
      <c r="B1084" s="2" t="n">
        <v>45921</v>
      </c>
      <c r="C1084" s="3" t="s">
        <v>40</v>
      </c>
      <c r="D1084" s="3" t="s">
        <v>28</v>
      </c>
      <c r="E1084" s="3" t="s">
        <v>15</v>
      </c>
      <c r="F1084" s="3" t="s">
        <v>54</v>
      </c>
      <c r="G1084" s="0" t="n">
        <v>392</v>
      </c>
      <c r="H1084" s="0" t="n">
        <v>0</v>
      </c>
      <c r="I1084" s="0" t="n">
        <v>20</v>
      </c>
      <c r="J1084" s="0" t="n">
        <v>41</v>
      </c>
      <c r="K1084" s="0" t="n">
        <v>4.5</v>
      </c>
      <c r="L1084" s="3" t="s">
        <v>17</v>
      </c>
    </row>
    <row r="1085" customFormat="false" ht="15" hidden="false" customHeight="false" outlineLevel="0" collapsed="false">
      <c r="A1085" s="0" t="s">
        <v>1223</v>
      </c>
      <c r="B1085" s="2" t="n">
        <v>45668</v>
      </c>
      <c r="C1085" s="3" t="s">
        <v>13</v>
      </c>
      <c r="D1085" s="3" t="s">
        <v>49</v>
      </c>
      <c r="E1085" s="3" t="s">
        <v>15</v>
      </c>
      <c r="F1085" s="3" t="s">
        <v>16</v>
      </c>
      <c r="G1085" s="0" t="n">
        <v>477</v>
      </c>
      <c r="H1085" s="0" t="n">
        <v>81</v>
      </c>
      <c r="I1085" s="0" t="n">
        <v>30</v>
      </c>
      <c r="J1085" s="0" t="n">
        <v>35</v>
      </c>
      <c r="K1085" s="0" t="n">
        <v>4.3</v>
      </c>
      <c r="L1085" s="3" t="s">
        <v>17</v>
      </c>
    </row>
    <row r="1086" customFormat="false" ht="15" hidden="false" customHeight="false" outlineLevel="0" collapsed="false">
      <c r="A1086" s="0" t="s">
        <v>1224</v>
      </c>
      <c r="B1086" s="2" t="n">
        <v>45821</v>
      </c>
      <c r="C1086" s="3" t="s">
        <v>19</v>
      </c>
      <c r="D1086" s="3" t="s">
        <v>31</v>
      </c>
      <c r="E1086" s="3" t="s">
        <v>21</v>
      </c>
      <c r="F1086" s="3" t="s">
        <v>36</v>
      </c>
      <c r="G1086" s="0" t="n">
        <v>604</v>
      </c>
      <c r="H1086" s="0" t="n">
        <v>0</v>
      </c>
      <c r="I1086" s="0" t="n">
        <v>0</v>
      </c>
      <c r="J1086" s="0" t="n">
        <v>15</v>
      </c>
      <c r="K1086" s="0" t="n">
        <v>4.4</v>
      </c>
      <c r="L1086" s="3" t="s">
        <v>17</v>
      </c>
    </row>
    <row r="1087" customFormat="false" ht="15" hidden="false" customHeight="false" outlineLevel="0" collapsed="false">
      <c r="A1087" s="0" t="s">
        <v>1225</v>
      </c>
      <c r="B1087" s="2" t="n">
        <v>45983</v>
      </c>
      <c r="C1087" s="3" t="s">
        <v>40</v>
      </c>
      <c r="D1087" s="3" t="s">
        <v>56</v>
      </c>
      <c r="E1087" s="3" t="s">
        <v>15</v>
      </c>
      <c r="F1087" s="3" t="s">
        <v>34</v>
      </c>
      <c r="G1087" s="0" t="n">
        <v>374</v>
      </c>
      <c r="H1087" s="0" t="n">
        <v>0</v>
      </c>
      <c r="I1087" s="0" t="n">
        <v>40</v>
      </c>
      <c r="J1087" s="0" t="n">
        <v>51</v>
      </c>
      <c r="K1087" s="0" t="n">
        <v>3.5</v>
      </c>
      <c r="L1087" s="3" t="s">
        <v>17</v>
      </c>
    </row>
    <row r="1088" customFormat="false" ht="15" hidden="false" customHeight="false" outlineLevel="0" collapsed="false">
      <c r="A1088" s="0" t="s">
        <v>1226</v>
      </c>
      <c r="B1088" s="2" t="n">
        <v>45896</v>
      </c>
      <c r="C1088" s="3" t="s">
        <v>27</v>
      </c>
      <c r="D1088" s="3" t="s">
        <v>20</v>
      </c>
      <c r="E1088" s="3" t="s">
        <v>15</v>
      </c>
      <c r="F1088" s="3" t="s">
        <v>22</v>
      </c>
      <c r="G1088" s="0" t="n">
        <v>539</v>
      </c>
      <c r="H1088" s="0" t="n">
        <v>87</v>
      </c>
      <c r="I1088" s="0" t="n">
        <v>0</v>
      </c>
      <c r="J1088" s="0" t="n">
        <v>52</v>
      </c>
      <c r="K1088" s="0" t="n">
        <v>4</v>
      </c>
      <c r="L1088" s="3" t="s">
        <v>17</v>
      </c>
    </row>
    <row r="1089" customFormat="false" ht="15" hidden="false" customHeight="false" outlineLevel="0" collapsed="false">
      <c r="A1089" s="0" t="s">
        <v>1227</v>
      </c>
      <c r="B1089" s="2" t="n">
        <v>45837</v>
      </c>
      <c r="C1089" s="3" t="s">
        <v>13</v>
      </c>
      <c r="D1089" s="3" t="s">
        <v>56</v>
      </c>
      <c r="E1089" s="3" t="s">
        <v>21</v>
      </c>
      <c r="F1089" s="3" t="s">
        <v>22</v>
      </c>
      <c r="G1089" s="0" t="n">
        <v>513</v>
      </c>
      <c r="H1089" s="0" t="n">
        <v>59</v>
      </c>
      <c r="I1089" s="0" t="n">
        <v>0</v>
      </c>
      <c r="J1089" s="0" t="n">
        <v>27</v>
      </c>
      <c r="K1089" s="0" t="n">
        <v>4.7</v>
      </c>
      <c r="L1089" s="3" t="s">
        <v>17</v>
      </c>
    </row>
    <row r="1090" customFormat="false" ht="15" hidden="false" customHeight="false" outlineLevel="0" collapsed="false">
      <c r="A1090" s="0" t="s">
        <v>1228</v>
      </c>
      <c r="B1090" s="2" t="n">
        <v>46003</v>
      </c>
      <c r="C1090" s="3" t="s">
        <v>30</v>
      </c>
      <c r="D1090" s="3" t="s">
        <v>31</v>
      </c>
      <c r="E1090" s="3" t="s">
        <v>21</v>
      </c>
      <c r="F1090" s="3" t="s">
        <v>16</v>
      </c>
      <c r="G1090" s="0" t="n">
        <v>604</v>
      </c>
      <c r="H1090" s="0" t="n">
        <v>0</v>
      </c>
      <c r="I1090" s="0" t="n">
        <v>0</v>
      </c>
      <c r="J1090" s="0" t="n">
        <v>23</v>
      </c>
      <c r="K1090" s="0" t="n">
        <v>4.4</v>
      </c>
      <c r="L1090" s="3" t="s">
        <v>17</v>
      </c>
    </row>
    <row r="1091" customFormat="false" ht="15" hidden="false" customHeight="false" outlineLevel="0" collapsed="false">
      <c r="A1091" s="0" t="s">
        <v>1229</v>
      </c>
      <c r="B1091" s="2" t="n">
        <v>45977</v>
      </c>
      <c r="C1091" s="3" t="s">
        <v>164</v>
      </c>
      <c r="D1091" s="3" t="s">
        <v>31</v>
      </c>
      <c r="E1091" s="3" t="s">
        <v>15</v>
      </c>
      <c r="F1091" s="3" t="s">
        <v>36</v>
      </c>
      <c r="G1091" s="0" t="n">
        <v>489</v>
      </c>
      <c r="H1091" s="0" t="n">
        <v>78</v>
      </c>
      <c r="I1091" s="0" t="n">
        <v>20</v>
      </c>
      <c r="J1091" s="0" t="n">
        <v>44</v>
      </c>
      <c r="K1091" s="0" t="n">
        <v>3.5</v>
      </c>
      <c r="L1091" s="3" t="s">
        <v>17</v>
      </c>
    </row>
    <row r="1092" customFormat="false" ht="15" hidden="false" customHeight="false" outlineLevel="0" collapsed="false">
      <c r="A1092" s="0" t="s">
        <v>1230</v>
      </c>
      <c r="B1092" s="2" t="n">
        <v>45791</v>
      </c>
      <c r="C1092" s="3" t="s">
        <v>27</v>
      </c>
      <c r="D1092" s="3" t="s">
        <v>56</v>
      </c>
      <c r="E1092" s="3" t="s">
        <v>15</v>
      </c>
      <c r="F1092" s="3" t="s">
        <v>16</v>
      </c>
      <c r="G1092" s="0" t="n">
        <v>357</v>
      </c>
      <c r="H1092" s="0" t="n">
        <v>0</v>
      </c>
      <c r="I1092" s="0" t="n">
        <v>45</v>
      </c>
      <c r="J1092" s="0" t="n">
        <v>32</v>
      </c>
      <c r="K1092" s="0" t="n">
        <v>5</v>
      </c>
      <c r="L1092" s="3" t="s">
        <v>17</v>
      </c>
    </row>
    <row r="1093" customFormat="false" ht="15" hidden="false" customHeight="false" outlineLevel="0" collapsed="false">
      <c r="A1093" s="0" t="s">
        <v>1231</v>
      </c>
      <c r="B1093" s="2" t="n">
        <v>45873</v>
      </c>
      <c r="C1093" s="3" t="s">
        <v>13</v>
      </c>
      <c r="D1093" s="3" t="s">
        <v>20</v>
      </c>
      <c r="E1093" s="3" t="s">
        <v>21</v>
      </c>
      <c r="F1093" s="3" t="s">
        <v>22</v>
      </c>
      <c r="G1093" s="0" t="n">
        <v>573</v>
      </c>
      <c r="H1093" s="0" t="n">
        <v>0</v>
      </c>
      <c r="I1093" s="0" t="n">
        <v>0</v>
      </c>
      <c r="J1093" s="0" t="n">
        <v>43</v>
      </c>
      <c r="K1093" s="0" t="n">
        <v>4.6</v>
      </c>
      <c r="L1093" s="3" t="s">
        <v>17</v>
      </c>
    </row>
    <row r="1094" customFormat="false" ht="15" hidden="false" customHeight="false" outlineLevel="0" collapsed="false">
      <c r="A1094" s="0" t="s">
        <v>1232</v>
      </c>
      <c r="B1094" s="2" t="n">
        <v>45853</v>
      </c>
      <c r="C1094" s="3" t="s">
        <v>45</v>
      </c>
      <c r="D1094" s="3" t="s">
        <v>20</v>
      </c>
      <c r="E1094" s="3" t="s">
        <v>21</v>
      </c>
      <c r="F1094" s="3" t="s">
        <v>54</v>
      </c>
      <c r="G1094" s="0" t="n">
        <v>545</v>
      </c>
      <c r="H1094" s="0" t="n">
        <v>0</v>
      </c>
      <c r="I1094" s="0" t="n">
        <v>0</v>
      </c>
      <c r="J1094" s="0" t="n">
        <v>27</v>
      </c>
      <c r="K1094" s="0" t="n">
        <v>3.5</v>
      </c>
      <c r="L1094" s="3" t="s">
        <v>17</v>
      </c>
    </row>
    <row r="1095" customFormat="false" ht="15" hidden="false" customHeight="false" outlineLevel="0" collapsed="false">
      <c r="A1095" s="0" t="s">
        <v>1233</v>
      </c>
      <c r="B1095" s="2" t="n">
        <v>45903</v>
      </c>
      <c r="C1095" s="3" t="s">
        <v>40</v>
      </c>
      <c r="D1095" s="3" t="s">
        <v>31</v>
      </c>
      <c r="E1095" s="3" t="s">
        <v>21</v>
      </c>
      <c r="F1095" s="3" t="s">
        <v>22</v>
      </c>
      <c r="G1095" s="0" t="n">
        <v>593</v>
      </c>
      <c r="H1095" s="0" t="n">
        <v>0</v>
      </c>
      <c r="I1095" s="0" t="n">
        <v>0</v>
      </c>
      <c r="J1095" s="0" t="n">
        <v>49</v>
      </c>
      <c r="K1095" s="0" t="n">
        <v>4.6</v>
      </c>
      <c r="L1095" s="3" t="s">
        <v>17</v>
      </c>
    </row>
    <row r="1096" customFormat="false" ht="15" hidden="false" customHeight="false" outlineLevel="0" collapsed="false">
      <c r="A1096" s="0" t="s">
        <v>1234</v>
      </c>
      <c r="B1096" s="0" t="s">
        <v>1235</v>
      </c>
      <c r="C1096" s="0" t="s">
        <v>51</v>
      </c>
      <c r="D1096" s="0" t="s">
        <v>56</v>
      </c>
      <c r="E1096" s="0" t="s">
        <v>21</v>
      </c>
      <c r="F1096" s="0" t="s">
        <v>54</v>
      </c>
      <c r="G1096" s="0" t="n">
        <v>482</v>
      </c>
      <c r="H1096" s="0" t="n">
        <v>0</v>
      </c>
      <c r="I1096" s="0" t="n">
        <v>45</v>
      </c>
      <c r="J1096" s="0" t="n">
        <v>29</v>
      </c>
      <c r="K1096" s="0" t="n">
        <v>4.3</v>
      </c>
      <c r="L1096" s="0" t="s">
        <v>17</v>
      </c>
    </row>
    <row r="1097" customFormat="false" ht="15" hidden="false" customHeight="false" outlineLevel="0" collapsed="false">
      <c r="A1097" s="0" t="s">
        <v>1236</v>
      </c>
      <c r="B1097" s="2" t="n">
        <v>45760</v>
      </c>
      <c r="C1097" s="3" t="s">
        <v>40</v>
      </c>
      <c r="D1097" s="3" t="s">
        <v>25</v>
      </c>
      <c r="E1097" s="3" t="s">
        <v>21</v>
      </c>
      <c r="F1097" s="3" t="s">
        <v>36</v>
      </c>
      <c r="G1097" s="0" t="n">
        <v>440</v>
      </c>
      <c r="H1097" s="0" t="n">
        <v>0</v>
      </c>
      <c r="I1097" s="0" t="n">
        <v>40</v>
      </c>
      <c r="J1097" s="0" t="n">
        <v>37</v>
      </c>
      <c r="K1097" s="0" t="n">
        <v>4.3</v>
      </c>
      <c r="L1097" s="3" t="s">
        <v>17</v>
      </c>
    </row>
    <row r="1098" customFormat="false" ht="15" hidden="false" customHeight="false" outlineLevel="0" collapsed="false">
      <c r="A1098" s="0" t="s">
        <v>1237</v>
      </c>
      <c r="B1098" s="2" t="n">
        <v>45995</v>
      </c>
      <c r="C1098" s="3" t="s">
        <v>30</v>
      </c>
      <c r="D1098" s="3" t="s">
        <v>25</v>
      </c>
      <c r="E1098" s="3" t="s">
        <v>21</v>
      </c>
      <c r="F1098" s="3" t="s">
        <v>36</v>
      </c>
      <c r="G1098" s="0" t="n">
        <v>635</v>
      </c>
      <c r="H1098" s="0" t="n">
        <v>124</v>
      </c>
      <c r="I1098" s="0" t="n">
        <v>0</v>
      </c>
      <c r="L1098" s="3" t="s">
        <v>68</v>
      </c>
    </row>
    <row r="1099" customFormat="false" ht="15" hidden="false" customHeight="false" outlineLevel="0" collapsed="false">
      <c r="A1099" s="0" t="s">
        <v>1238</v>
      </c>
      <c r="B1099" s="2" t="n">
        <v>45998</v>
      </c>
      <c r="C1099" s="3" t="s">
        <v>40</v>
      </c>
      <c r="D1099" s="3" t="s">
        <v>28</v>
      </c>
      <c r="E1099" s="3" t="s">
        <v>15</v>
      </c>
      <c r="F1099" s="3" t="s">
        <v>36</v>
      </c>
      <c r="G1099" s="0" t="n">
        <v>346</v>
      </c>
      <c r="H1099" s="0" t="n">
        <v>70</v>
      </c>
      <c r="I1099" s="0" t="n">
        <v>40</v>
      </c>
      <c r="J1099" s="0" t="n">
        <v>36</v>
      </c>
      <c r="K1099" s="0" t="n">
        <v>5</v>
      </c>
      <c r="L1099" s="3" t="s">
        <v>17</v>
      </c>
    </row>
    <row r="1100" customFormat="false" ht="15" hidden="false" customHeight="false" outlineLevel="0" collapsed="false">
      <c r="A1100" s="0" t="s">
        <v>1239</v>
      </c>
      <c r="B1100" s="2" t="n">
        <v>45973</v>
      </c>
      <c r="C1100" s="3" t="s">
        <v>40</v>
      </c>
      <c r="D1100" s="3" t="s">
        <v>25</v>
      </c>
      <c r="E1100" s="3" t="s">
        <v>21</v>
      </c>
      <c r="F1100" s="3" t="s">
        <v>22</v>
      </c>
      <c r="G1100" s="0" t="n">
        <v>659</v>
      </c>
      <c r="H1100" s="0" t="n">
        <v>0</v>
      </c>
      <c r="I1100" s="0" t="n">
        <v>0</v>
      </c>
      <c r="J1100" s="0" t="n">
        <v>40</v>
      </c>
      <c r="K1100" s="0" t="n">
        <v>4.7</v>
      </c>
      <c r="L1100" s="3" t="s">
        <v>17</v>
      </c>
    </row>
    <row r="1101" customFormat="false" ht="15" hidden="false" customHeight="false" outlineLevel="0" collapsed="false">
      <c r="A1101" s="0" t="s">
        <v>1240</v>
      </c>
      <c r="B1101" s="2" t="n">
        <v>46016</v>
      </c>
      <c r="C1101" s="3" t="s">
        <v>185</v>
      </c>
      <c r="D1101" s="3" t="s">
        <v>20</v>
      </c>
      <c r="E1101" s="3" t="s">
        <v>21</v>
      </c>
      <c r="F1101" s="3" t="s">
        <v>34</v>
      </c>
      <c r="G1101" s="0" t="n">
        <v>464</v>
      </c>
      <c r="H1101" s="0" t="n">
        <v>0</v>
      </c>
      <c r="I1101" s="0" t="n">
        <v>30</v>
      </c>
      <c r="J1101" s="0" t="n">
        <v>46</v>
      </c>
      <c r="K1101" s="0" t="n">
        <v>4.1</v>
      </c>
      <c r="L1101" s="3" t="s">
        <v>17</v>
      </c>
    </row>
    <row r="1102" customFormat="false" ht="15" hidden="false" customHeight="false" outlineLevel="0" collapsed="false">
      <c r="A1102" s="0" t="s">
        <v>1241</v>
      </c>
      <c r="B1102" s="2" t="n">
        <v>45941</v>
      </c>
      <c r="C1102" s="3" t="s">
        <v>27</v>
      </c>
      <c r="D1102" s="3" t="s">
        <v>49</v>
      </c>
      <c r="E1102" s="3" t="s">
        <v>21</v>
      </c>
      <c r="F1102" s="3" t="s">
        <v>36</v>
      </c>
      <c r="G1102" s="0" t="n">
        <v>490</v>
      </c>
      <c r="H1102" s="0" t="n">
        <v>85</v>
      </c>
      <c r="I1102" s="0" t="n">
        <v>40</v>
      </c>
      <c r="J1102" s="0" t="n">
        <v>38</v>
      </c>
      <c r="K1102" s="0" t="n">
        <v>3.5</v>
      </c>
      <c r="L1102" s="3" t="s">
        <v>17</v>
      </c>
    </row>
    <row r="1103" customFormat="false" ht="15" hidden="false" customHeight="false" outlineLevel="0" collapsed="false">
      <c r="A1103" s="0" t="s">
        <v>1242</v>
      </c>
      <c r="B1103" s="2" t="n">
        <v>45948</v>
      </c>
      <c r="C1103" s="3" t="s">
        <v>24</v>
      </c>
      <c r="D1103" s="3" t="s">
        <v>20</v>
      </c>
      <c r="E1103" s="3" t="s">
        <v>21</v>
      </c>
      <c r="F1103" s="3" t="s">
        <v>36</v>
      </c>
      <c r="G1103" s="0" t="n">
        <v>617</v>
      </c>
      <c r="H1103" s="0" t="n">
        <v>0</v>
      </c>
      <c r="I1103" s="0" t="n">
        <v>0</v>
      </c>
      <c r="J1103" s="0" t="n">
        <v>27</v>
      </c>
      <c r="K1103" s="0" t="n">
        <v>3.5</v>
      </c>
      <c r="L1103" s="3" t="s">
        <v>17</v>
      </c>
    </row>
    <row r="1104" customFormat="false" ht="15" hidden="false" customHeight="false" outlineLevel="0" collapsed="false">
      <c r="A1104" s="0" t="s">
        <v>1243</v>
      </c>
      <c r="B1104" s="2" t="n">
        <v>45947</v>
      </c>
      <c r="C1104" s="3" t="s">
        <v>40</v>
      </c>
      <c r="D1104" s="3" t="s">
        <v>20</v>
      </c>
      <c r="E1104" s="3" t="s">
        <v>15</v>
      </c>
      <c r="F1104" s="3" t="s">
        <v>22</v>
      </c>
      <c r="G1104" s="0" t="n">
        <v>650</v>
      </c>
      <c r="H1104" s="0" t="n">
        <v>0</v>
      </c>
      <c r="I1104" s="0" t="n">
        <v>0</v>
      </c>
      <c r="J1104" s="0" t="n">
        <v>28</v>
      </c>
      <c r="K1104" s="0" t="n">
        <v>4.9</v>
      </c>
      <c r="L1104" s="3" t="s">
        <v>17</v>
      </c>
    </row>
    <row r="1105" customFormat="false" ht="15" hidden="false" customHeight="false" outlineLevel="0" collapsed="false">
      <c r="A1105" s="0" t="s">
        <v>1244</v>
      </c>
      <c r="B1105" s="2" t="n">
        <v>45850</v>
      </c>
      <c r="C1105" s="3" t="s">
        <v>27</v>
      </c>
      <c r="D1105" s="3" t="s">
        <v>31</v>
      </c>
      <c r="E1105" s="3" t="s">
        <v>21</v>
      </c>
      <c r="F1105" s="3" t="s">
        <v>22</v>
      </c>
      <c r="G1105" s="0" t="n">
        <v>426</v>
      </c>
      <c r="H1105" s="0" t="n">
        <v>89</v>
      </c>
      <c r="I1105" s="0" t="n">
        <v>30</v>
      </c>
      <c r="J1105" s="0" t="n">
        <v>46</v>
      </c>
      <c r="K1105" s="0" t="n">
        <v>4.7</v>
      </c>
      <c r="L1105" s="3" t="s">
        <v>17</v>
      </c>
    </row>
    <row r="1106" customFormat="false" ht="15" hidden="false" customHeight="false" outlineLevel="0" collapsed="false">
      <c r="A1106" s="0" t="s">
        <v>1245</v>
      </c>
      <c r="B1106" s="2" t="n">
        <v>45842</v>
      </c>
      <c r="C1106" s="3" t="s">
        <v>27</v>
      </c>
      <c r="D1106" s="3" t="s">
        <v>31</v>
      </c>
      <c r="E1106" s="3" t="s">
        <v>21</v>
      </c>
      <c r="F1106" s="3" t="s">
        <v>22</v>
      </c>
      <c r="G1106" s="0" t="n">
        <v>342</v>
      </c>
      <c r="H1106" s="0" t="n">
        <v>0</v>
      </c>
      <c r="I1106" s="0" t="n">
        <v>20</v>
      </c>
      <c r="L1106" s="3" t="s">
        <v>68</v>
      </c>
    </row>
    <row r="1107" customFormat="false" ht="15" hidden="false" customHeight="false" outlineLevel="0" collapsed="false">
      <c r="A1107" s="0" t="s">
        <v>1245</v>
      </c>
      <c r="B1107" s="2" t="n">
        <v>45842</v>
      </c>
      <c r="C1107" s="3" t="s">
        <v>27</v>
      </c>
      <c r="D1107" s="3" t="s">
        <v>31</v>
      </c>
      <c r="E1107" s="3" t="s">
        <v>21</v>
      </c>
      <c r="F1107" s="3" t="s">
        <v>22</v>
      </c>
      <c r="G1107" s="0" t="n">
        <v>342</v>
      </c>
      <c r="H1107" s="0" t="n">
        <v>0</v>
      </c>
      <c r="I1107" s="0" t="n">
        <v>20</v>
      </c>
      <c r="L1107" s="3" t="s">
        <v>68</v>
      </c>
    </row>
    <row r="1108" customFormat="false" ht="15" hidden="false" customHeight="false" outlineLevel="0" collapsed="false">
      <c r="A1108" s="0" t="s">
        <v>1246</v>
      </c>
      <c r="B1108" s="2" t="n">
        <v>45759</v>
      </c>
      <c r="C1108" s="3" t="s">
        <v>30</v>
      </c>
      <c r="D1108" s="3" t="s">
        <v>31</v>
      </c>
      <c r="E1108" s="3" t="s">
        <v>21</v>
      </c>
      <c r="F1108" s="3" t="s">
        <v>16</v>
      </c>
      <c r="G1108" s="0" t="n">
        <v>513</v>
      </c>
      <c r="H1108" s="0" t="n">
        <v>0</v>
      </c>
      <c r="I1108" s="0" t="n">
        <v>0</v>
      </c>
      <c r="J1108" s="0" t="n">
        <v>38</v>
      </c>
      <c r="K1108" s="0" t="n">
        <v>4.1</v>
      </c>
      <c r="L1108" s="3" t="s">
        <v>17</v>
      </c>
    </row>
    <row r="1109" customFormat="false" ht="15" hidden="false" customHeight="false" outlineLevel="0" collapsed="false">
      <c r="A1109" s="0" t="s">
        <v>1247</v>
      </c>
      <c r="B1109" s="2" t="n">
        <v>45907</v>
      </c>
      <c r="C1109" s="3" t="s">
        <v>45</v>
      </c>
      <c r="D1109" s="3" t="s">
        <v>28</v>
      </c>
      <c r="E1109" s="3" t="s">
        <v>21</v>
      </c>
      <c r="F1109" s="3" t="s">
        <v>34</v>
      </c>
      <c r="G1109" s="0" t="n">
        <v>461</v>
      </c>
      <c r="H1109" s="0" t="n">
        <v>0</v>
      </c>
      <c r="I1109" s="0" t="n">
        <v>30</v>
      </c>
      <c r="J1109" s="0" t="n">
        <v>28</v>
      </c>
      <c r="K1109" s="0" t="n">
        <v>4.2</v>
      </c>
      <c r="L1109" s="3" t="s">
        <v>17</v>
      </c>
    </row>
    <row r="1110" customFormat="false" ht="15" hidden="false" customHeight="false" outlineLevel="0" collapsed="false">
      <c r="A1110" s="0" t="s">
        <v>1248</v>
      </c>
      <c r="B1110" s="2" t="n">
        <v>45779</v>
      </c>
      <c r="C1110" s="3" t="s">
        <v>13</v>
      </c>
      <c r="D1110" s="3" t="s">
        <v>14</v>
      </c>
      <c r="E1110" s="3" t="s">
        <v>21</v>
      </c>
      <c r="F1110" s="3" t="s">
        <v>36</v>
      </c>
      <c r="G1110" s="0" t="n">
        <v>354</v>
      </c>
      <c r="H1110" s="0" t="n">
        <v>41</v>
      </c>
      <c r="I1110" s="0" t="n">
        <v>45</v>
      </c>
      <c r="J1110" s="0" t="n">
        <v>23</v>
      </c>
      <c r="K1110" s="0" t="n">
        <v>4.3</v>
      </c>
      <c r="L1110" s="3" t="s">
        <v>17</v>
      </c>
    </row>
    <row r="1111" customFormat="false" ht="15" hidden="false" customHeight="false" outlineLevel="0" collapsed="false">
      <c r="A1111" s="0" t="s">
        <v>1249</v>
      </c>
      <c r="B1111" s="2" t="n">
        <v>45766</v>
      </c>
      <c r="C1111" s="3" t="s">
        <v>40</v>
      </c>
      <c r="D1111" s="3" t="s">
        <v>31</v>
      </c>
      <c r="E1111" s="3" t="s">
        <v>15</v>
      </c>
      <c r="F1111" s="3" t="s">
        <v>36</v>
      </c>
      <c r="G1111" s="0" t="n">
        <v>431</v>
      </c>
      <c r="H1111" s="0" t="n">
        <v>0</v>
      </c>
      <c r="I1111" s="0" t="n">
        <v>30</v>
      </c>
      <c r="J1111" s="0" t="n">
        <v>22</v>
      </c>
      <c r="K1111" s="0" t="n">
        <v>5</v>
      </c>
      <c r="L1111" s="3" t="s">
        <v>17</v>
      </c>
    </row>
    <row r="1112" customFormat="false" ht="15" hidden="false" customHeight="false" outlineLevel="0" collapsed="false">
      <c r="A1112" s="0" t="s">
        <v>1250</v>
      </c>
      <c r="B1112" s="2" t="n">
        <v>45887</v>
      </c>
      <c r="C1112" s="3" t="s">
        <v>24</v>
      </c>
      <c r="D1112" s="3" t="s">
        <v>25</v>
      </c>
      <c r="E1112" s="3" t="s">
        <v>21</v>
      </c>
      <c r="F1112" s="3" t="s">
        <v>36</v>
      </c>
      <c r="G1112" s="0" t="n">
        <v>615</v>
      </c>
      <c r="H1112" s="0" t="n">
        <v>135</v>
      </c>
      <c r="I1112" s="0" t="n">
        <v>0</v>
      </c>
      <c r="J1112" s="0" t="n">
        <v>56</v>
      </c>
      <c r="K1112" s="0" t="n">
        <v>3.9</v>
      </c>
      <c r="L1112" s="3" t="s">
        <v>17</v>
      </c>
    </row>
    <row r="1113" customFormat="false" ht="15" hidden="false" customHeight="false" outlineLevel="0" collapsed="false">
      <c r="A1113" s="0" t="s">
        <v>1251</v>
      </c>
      <c r="B1113" s="2" t="n">
        <v>45824</v>
      </c>
      <c r="C1113" s="3" t="s">
        <v>51</v>
      </c>
      <c r="D1113" s="3" t="s">
        <v>25</v>
      </c>
      <c r="E1113" s="3" t="s">
        <v>21</v>
      </c>
      <c r="F1113" s="3" t="s">
        <v>22</v>
      </c>
      <c r="G1113" s="0" t="n">
        <v>459</v>
      </c>
      <c r="H1113" s="0" t="n">
        <v>0</v>
      </c>
      <c r="I1113" s="0" t="n">
        <v>20</v>
      </c>
      <c r="J1113" s="0" t="n">
        <v>39</v>
      </c>
      <c r="K1113" s="0" t="n">
        <v>4.1</v>
      </c>
      <c r="L1113" s="3" t="s">
        <v>17</v>
      </c>
    </row>
    <row r="1114" customFormat="false" ht="15" hidden="false" customHeight="false" outlineLevel="0" collapsed="false">
      <c r="A1114" s="0" t="s">
        <v>1252</v>
      </c>
      <c r="B1114" s="2" t="n">
        <v>45751</v>
      </c>
      <c r="C1114" s="3" t="s">
        <v>40</v>
      </c>
      <c r="D1114" s="3" t="s">
        <v>20</v>
      </c>
      <c r="E1114" s="3" t="s">
        <v>21</v>
      </c>
      <c r="F1114" s="3" t="s">
        <v>16</v>
      </c>
      <c r="G1114" s="0" t="n">
        <v>503</v>
      </c>
      <c r="H1114" s="0" t="n">
        <v>0</v>
      </c>
      <c r="I1114" s="0" t="n">
        <v>0</v>
      </c>
      <c r="J1114" s="0" t="n">
        <v>39</v>
      </c>
      <c r="K1114" s="0" t="n">
        <v>5</v>
      </c>
      <c r="L1114" s="3" t="s">
        <v>17</v>
      </c>
    </row>
    <row r="1115" customFormat="false" ht="15" hidden="false" customHeight="false" outlineLevel="0" collapsed="false">
      <c r="A1115" s="0" t="s">
        <v>1253</v>
      </c>
      <c r="B1115" s="2" t="n">
        <v>45964</v>
      </c>
      <c r="C1115" s="3" t="s">
        <v>27</v>
      </c>
      <c r="D1115" s="3" t="s">
        <v>20</v>
      </c>
      <c r="E1115" s="3" t="s">
        <v>21</v>
      </c>
      <c r="F1115" s="3" t="s">
        <v>22</v>
      </c>
      <c r="G1115" s="0" t="n">
        <v>537</v>
      </c>
      <c r="H1115" s="0" t="n">
        <v>66</v>
      </c>
      <c r="I1115" s="0" t="n">
        <v>0</v>
      </c>
      <c r="J1115" s="0" t="n">
        <v>44</v>
      </c>
      <c r="K1115" s="0" t="n">
        <v>3.3</v>
      </c>
      <c r="L1115" s="3" t="s">
        <v>17</v>
      </c>
    </row>
    <row r="1116" customFormat="false" ht="15" hidden="false" customHeight="false" outlineLevel="0" collapsed="false">
      <c r="A1116" s="0" t="s">
        <v>1254</v>
      </c>
      <c r="B1116" s="2" t="n">
        <v>45979</v>
      </c>
      <c r="C1116" s="3" t="s">
        <v>51</v>
      </c>
      <c r="D1116" s="3" t="s">
        <v>28</v>
      </c>
      <c r="E1116" s="3" t="s">
        <v>21</v>
      </c>
      <c r="F1116" s="3" t="s">
        <v>22</v>
      </c>
      <c r="G1116" s="0" t="n">
        <v>374</v>
      </c>
      <c r="H1116" s="0" t="n">
        <v>0</v>
      </c>
      <c r="I1116" s="0" t="n">
        <v>30</v>
      </c>
      <c r="J1116" s="0" t="n">
        <v>25</v>
      </c>
      <c r="K1116" s="0" t="n">
        <v>4.8</v>
      </c>
      <c r="L1116" s="3" t="s">
        <v>17</v>
      </c>
    </row>
    <row r="1117" customFormat="false" ht="15" hidden="false" customHeight="false" outlineLevel="0" collapsed="false">
      <c r="A1117" s="0" t="s">
        <v>1255</v>
      </c>
      <c r="B1117" s="2" t="n">
        <v>45730</v>
      </c>
      <c r="C1117" s="3" t="s">
        <v>51</v>
      </c>
      <c r="D1117" s="3" t="s">
        <v>49</v>
      </c>
      <c r="E1117" s="3" t="s">
        <v>21</v>
      </c>
      <c r="F1117" s="3" t="s">
        <v>22</v>
      </c>
      <c r="G1117" s="0" t="n">
        <v>353</v>
      </c>
      <c r="H1117" s="0" t="n">
        <v>0</v>
      </c>
      <c r="I1117" s="0" t="n">
        <v>40</v>
      </c>
      <c r="J1117" s="0" t="n">
        <v>29</v>
      </c>
      <c r="K1117" s="0" t="n">
        <v>3.9</v>
      </c>
      <c r="L1117" s="3" t="s">
        <v>17</v>
      </c>
    </row>
    <row r="1118" customFormat="false" ht="15" hidden="false" customHeight="false" outlineLevel="0" collapsed="false">
      <c r="A1118" s="0" t="s">
        <v>1256</v>
      </c>
      <c r="B1118" s="2" t="n">
        <v>45661</v>
      </c>
      <c r="C1118" s="3" t="s">
        <v>27</v>
      </c>
      <c r="D1118" s="3" t="s">
        <v>25</v>
      </c>
      <c r="E1118" s="3" t="s">
        <v>21</v>
      </c>
      <c r="F1118" s="3" t="s">
        <v>22</v>
      </c>
      <c r="G1118" s="0" t="n">
        <v>364</v>
      </c>
      <c r="H1118" s="0" t="n">
        <v>0</v>
      </c>
      <c r="I1118" s="0" t="n">
        <v>45</v>
      </c>
      <c r="J1118" s="0" t="n">
        <v>54</v>
      </c>
      <c r="K1118" s="0" t="n">
        <v>3.7</v>
      </c>
      <c r="L1118" s="3" t="s">
        <v>17</v>
      </c>
    </row>
    <row r="1119" customFormat="false" ht="15" hidden="false" customHeight="false" outlineLevel="0" collapsed="false">
      <c r="A1119" s="0" t="s">
        <v>1257</v>
      </c>
      <c r="B1119" s="2" t="n">
        <v>45796</v>
      </c>
      <c r="C1119" s="3" t="s">
        <v>13</v>
      </c>
      <c r="D1119" s="3" t="s">
        <v>20</v>
      </c>
      <c r="E1119" s="3" t="s">
        <v>15</v>
      </c>
      <c r="F1119" s="3" t="s">
        <v>22</v>
      </c>
      <c r="H1119" s="0" t="n">
        <v>100</v>
      </c>
      <c r="I1119" s="0" t="n">
        <v>0</v>
      </c>
      <c r="J1119" s="0" t="n">
        <v>38</v>
      </c>
      <c r="K1119" s="0" t="n">
        <v>4.3</v>
      </c>
      <c r="L1119" s="3" t="s">
        <v>17</v>
      </c>
    </row>
    <row r="1120" customFormat="false" ht="15" hidden="false" customHeight="false" outlineLevel="0" collapsed="false">
      <c r="A1120" s="0" t="s">
        <v>1258</v>
      </c>
      <c r="B1120" s="2" t="n">
        <v>45958</v>
      </c>
      <c r="C1120" s="3" t="s">
        <v>27</v>
      </c>
      <c r="D1120" s="3" t="s">
        <v>20</v>
      </c>
      <c r="E1120" s="3" t="s">
        <v>21</v>
      </c>
      <c r="F1120" s="3" t="s">
        <v>34</v>
      </c>
      <c r="G1120" s="0" t="n">
        <v>823</v>
      </c>
      <c r="H1120" s="0" t="n">
        <v>0</v>
      </c>
      <c r="I1120" s="0" t="n">
        <v>0</v>
      </c>
      <c r="J1120" s="0" t="n">
        <v>37</v>
      </c>
      <c r="K1120" s="0" t="n">
        <v>4.6</v>
      </c>
      <c r="L1120" s="3" t="s">
        <v>17</v>
      </c>
    </row>
    <row r="1121" customFormat="false" ht="15" hidden="false" customHeight="false" outlineLevel="0" collapsed="false">
      <c r="A1121" s="0" t="s">
        <v>1259</v>
      </c>
      <c r="B1121" s="2" t="n">
        <v>45972</v>
      </c>
      <c r="C1121" s="3" t="s">
        <v>13</v>
      </c>
      <c r="D1121" s="3" t="s">
        <v>25</v>
      </c>
      <c r="E1121" s="3" t="s">
        <v>21</v>
      </c>
      <c r="F1121" s="3" t="s">
        <v>22</v>
      </c>
      <c r="G1121" s="0" t="n">
        <v>567</v>
      </c>
      <c r="H1121" s="0" t="n">
        <v>0</v>
      </c>
      <c r="I1121" s="0" t="n">
        <v>0</v>
      </c>
      <c r="J1121" s="0" t="n">
        <v>24</v>
      </c>
      <c r="K1121" s="0" t="n">
        <v>4.4</v>
      </c>
      <c r="L1121" s="3" t="s">
        <v>17</v>
      </c>
    </row>
    <row r="1122" customFormat="false" ht="15" hidden="false" customHeight="false" outlineLevel="0" collapsed="false">
      <c r="A1122" s="0" t="s">
        <v>1260</v>
      </c>
      <c r="B1122" s="2" t="n">
        <v>45717</v>
      </c>
      <c r="C1122" s="3" t="s">
        <v>40</v>
      </c>
      <c r="D1122" s="3" t="s">
        <v>49</v>
      </c>
      <c r="E1122" s="3" t="s">
        <v>21</v>
      </c>
      <c r="F1122" s="3" t="s">
        <v>22</v>
      </c>
      <c r="G1122" s="0" t="n">
        <v>471</v>
      </c>
      <c r="H1122" s="0" t="n">
        <v>0</v>
      </c>
      <c r="I1122" s="0" t="n">
        <v>45</v>
      </c>
      <c r="J1122" s="0" t="n">
        <v>34</v>
      </c>
      <c r="K1122" s="0" t="n">
        <v>4.1</v>
      </c>
      <c r="L1122" s="3" t="s">
        <v>17</v>
      </c>
    </row>
    <row r="1123" customFormat="false" ht="15" hidden="false" customHeight="false" outlineLevel="0" collapsed="false">
      <c r="A1123" s="0" t="s">
        <v>1261</v>
      </c>
      <c r="B1123" s="2" t="n">
        <v>45951</v>
      </c>
      <c r="C1123" s="3" t="s">
        <v>40</v>
      </c>
      <c r="D1123" s="3" t="s">
        <v>31</v>
      </c>
      <c r="E1123" s="3" t="s">
        <v>21</v>
      </c>
      <c r="F1123" s="3" t="s">
        <v>22</v>
      </c>
      <c r="G1123" s="0" t="n">
        <v>366</v>
      </c>
      <c r="H1123" s="0" t="n">
        <v>60</v>
      </c>
      <c r="I1123" s="0" t="n">
        <v>45</v>
      </c>
      <c r="J1123" s="0" t="n">
        <v>36</v>
      </c>
      <c r="K1123" s="0" t="n">
        <v>4.1</v>
      </c>
      <c r="L1123" s="3" t="s">
        <v>17</v>
      </c>
    </row>
    <row r="1124" customFormat="false" ht="15" hidden="false" customHeight="false" outlineLevel="0" collapsed="false">
      <c r="A1124" s="0" t="s">
        <v>1262</v>
      </c>
      <c r="B1124" s="2" t="n">
        <v>45708</v>
      </c>
      <c r="C1124" s="3" t="s">
        <v>27</v>
      </c>
      <c r="D1124" s="3" t="s">
        <v>28</v>
      </c>
      <c r="E1124" s="3" t="s">
        <v>15</v>
      </c>
      <c r="F1124" s="3" t="s">
        <v>34</v>
      </c>
      <c r="G1124" s="0" t="n">
        <v>362</v>
      </c>
      <c r="H1124" s="0" t="n">
        <v>0</v>
      </c>
      <c r="I1124" s="0" t="n">
        <v>20</v>
      </c>
      <c r="J1124" s="0" t="n">
        <v>56</v>
      </c>
      <c r="K1124" s="0" t="n">
        <v>3.2</v>
      </c>
      <c r="L1124" s="3" t="s">
        <v>17</v>
      </c>
    </row>
    <row r="1125" customFormat="false" ht="15" hidden="false" customHeight="false" outlineLevel="0" collapsed="false">
      <c r="A1125" s="0" t="s">
        <v>1263</v>
      </c>
      <c r="B1125" s="2" t="n">
        <v>45817</v>
      </c>
      <c r="C1125" s="3" t="s">
        <v>24</v>
      </c>
      <c r="D1125" s="3" t="s">
        <v>28</v>
      </c>
      <c r="E1125" s="3" t="s">
        <v>21</v>
      </c>
      <c r="F1125" s="3" t="s">
        <v>16</v>
      </c>
      <c r="G1125" s="0" t="n">
        <v>486</v>
      </c>
      <c r="H1125" s="0" t="n">
        <v>0</v>
      </c>
      <c r="I1125" s="0" t="n">
        <v>45</v>
      </c>
      <c r="J1125" s="0" t="n">
        <v>35</v>
      </c>
      <c r="K1125" s="0" t="n">
        <v>4.6</v>
      </c>
      <c r="L1125" s="3" t="s">
        <v>17</v>
      </c>
    </row>
    <row r="1126" customFormat="false" ht="15" hidden="false" customHeight="false" outlineLevel="0" collapsed="false">
      <c r="A1126" s="0" t="s">
        <v>1264</v>
      </c>
      <c r="B1126" s="2" t="n">
        <v>46022</v>
      </c>
      <c r="C1126" s="3" t="s">
        <v>13</v>
      </c>
      <c r="D1126" s="3" t="s">
        <v>49</v>
      </c>
      <c r="E1126" s="3" t="s">
        <v>21</v>
      </c>
      <c r="F1126" s="3" t="s">
        <v>22</v>
      </c>
      <c r="G1126" s="0" t="n">
        <v>664</v>
      </c>
      <c r="H1126" s="0" t="n">
        <v>0</v>
      </c>
      <c r="I1126" s="0" t="n">
        <v>0</v>
      </c>
      <c r="J1126" s="0" t="n">
        <v>25</v>
      </c>
      <c r="K1126" s="0" t="n">
        <v>4.7</v>
      </c>
      <c r="L1126" s="3" t="s">
        <v>17</v>
      </c>
    </row>
    <row r="1127" customFormat="false" ht="15" hidden="false" customHeight="false" outlineLevel="0" collapsed="false">
      <c r="A1127" s="0" t="s">
        <v>1265</v>
      </c>
      <c r="B1127" s="0" t="s">
        <v>1266</v>
      </c>
      <c r="C1127" s="0" t="s">
        <v>24</v>
      </c>
      <c r="D1127" s="0" t="s">
        <v>56</v>
      </c>
      <c r="E1127" s="0" t="s">
        <v>21</v>
      </c>
      <c r="F1127" s="0" t="s">
        <v>22</v>
      </c>
      <c r="G1127" s="0" t="n">
        <v>361</v>
      </c>
      <c r="H1127" s="0" t="n">
        <v>0</v>
      </c>
      <c r="I1127" s="0" t="n">
        <v>40</v>
      </c>
      <c r="J1127" s="0" t="n">
        <v>36</v>
      </c>
      <c r="K1127" s="0" t="n">
        <v>4.5</v>
      </c>
      <c r="L1127" s="0" t="s">
        <v>17</v>
      </c>
    </row>
    <row r="1128" customFormat="false" ht="15" hidden="false" customHeight="false" outlineLevel="0" collapsed="false">
      <c r="A1128" s="0" t="s">
        <v>1267</v>
      </c>
      <c r="B1128" s="2" t="n">
        <v>45724</v>
      </c>
      <c r="C1128" s="3" t="s">
        <v>45</v>
      </c>
      <c r="D1128" s="3" t="s">
        <v>25</v>
      </c>
      <c r="E1128" s="3" t="s">
        <v>15</v>
      </c>
      <c r="F1128" s="3" t="s">
        <v>54</v>
      </c>
      <c r="G1128" s="0" t="n">
        <v>499</v>
      </c>
      <c r="H1128" s="0" t="n">
        <v>54</v>
      </c>
      <c r="I1128" s="0" t="n">
        <v>40</v>
      </c>
      <c r="J1128" s="0" t="n">
        <v>32</v>
      </c>
      <c r="K1128" s="0" t="n">
        <v>4.3</v>
      </c>
      <c r="L1128" s="3" t="s">
        <v>17</v>
      </c>
    </row>
    <row r="1129" customFormat="false" ht="15" hidden="false" customHeight="false" outlineLevel="0" collapsed="false">
      <c r="A1129" s="0" t="s">
        <v>1268</v>
      </c>
      <c r="B1129" s="2" t="n">
        <v>45829</v>
      </c>
      <c r="C1129" s="3" t="s">
        <v>761</v>
      </c>
      <c r="D1129" s="3" t="s">
        <v>14</v>
      </c>
      <c r="E1129" s="3" t="s">
        <v>21</v>
      </c>
      <c r="F1129" s="3" t="s">
        <v>34</v>
      </c>
      <c r="G1129" s="0" t="n">
        <v>278</v>
      </c>
      <c r="H1129" s="0" t="n">
        <v>0</v>
      </c>
      <c r="I1129" s="0" t="n">
        <v>20</v>
      </c>
      <c r="J1129" s="0" t="n">
        <v>22</v>
      </c>
      <c r="K1129" s="0" t="n">
        <v>4.5</v>
      </c>
      <c r="L1129" s="3" t="s">
        <v>17</v>
      </c>
    </row>
    <row r="1130" customFormat="false" ht="15" hidden="false" customHeight="false" outlineLevel="0" collapsed="false">
      <c r="A1130" s="0" t="s">
        <v>1269</v>
      </c>
      <c r="B1130" s="2" t="n">
        <v>45899</v>
      </c>
      <c r="C1130" s="3" t="s">
        <v>27</v>
      </c>
      <c r="D1130" s="3" t="s">
        <v>28</v>
      </c>
      <c r="E1130" s="3" t="s">
        <v>15</v>
      </c>
      <c r="F1130" s="3" t="s">
        <v>36</v>
      </c>
      <c r="G1130" s="0" t="n">
        <v>376</v>
      </c>
      <c r="H1130" s="0" t="n">
        <v>47</v>
      </c>
      <c r="I1130" s="0" t="n">
        <v>20</v>
      </c>
      <c r="J1130" s="0" t="n">
        <v>45</v>
      </c>
      <c r="K1130" s="0" t="n">
        <v>4.6</v>
      </c>
      <c r="L1130" s="3" t="s">
        <v>17</v>
      </c>
    </row>
    <row r="1131" customFormat="false" ht="15" hidden="false" customHeight="false" outlineLevel="0" collapsed="false">
      <c r="A1131" s="0" t="s">
        <v>1270</v>
      </c>
      <c r="B1131" s="2" t="n">
        <v>46002</v>
      </c>
      <c r="C1131" s="3" t="s">
        <v>30</v>
      </c>
      <c r="D1131" s="3" t="s">
        <v>56</v>
      </c>
      <c r="E1131" s="3" t="s">
        <v>21</v>
      </c>
      <c r="F1131" s="3" t="s">
        <v>16</v>
      </c>
      <c r="G1131" s="0" t="n">
        <v>249</v>
      </c>
      <c r="H1131" s="0" t="n">
        <v>48</v>
      </c>
      <c r="I1131" s="0" t="n">
        <v>45</v>
      </c>
      <c r="J1131" s="0" t="n">
        <v>39</v>
      </c>
      <c r="L1131" s="3" t="s">
        <v>17</v>
      </c>
    </row>
    <row r="1132" customFormat="false" ht="15" hidden="false" customHeight="false" outlineLevel="0" collapsed="false">
      <c r="A1132" s="0" t="s">
        <v>1271</v>
      </c>
      <c r="B1132" s="2" t="n">
        <v>46017</v>
      </c>
      <c r="C1132" s="3" t="s">
        <v>24</v>
      </c>
      <c r="D1132" s="3" t="s">
        <v>28</v>
      </c>
      <c r="E1132" s="3" t="s">
        <v>21</v>
      </c>
      <c r="F1132" s="3" t="s">
        <v>36</v>
      </c>
      <c r="G1132" s="0" t="n">
        <v>475</v>
      </c>
      <c r="H1132" s="0" t="n">
        <v>0</v>
      </c>
      <c r="I1132" s="0" t="n">
        <v>45</v>
      </c>
      <c r="J1132" s="0" t="n">
        <v>37</v>
      </c>
      <c r="K1132" s="0" t="n">
        <v>4.9</v>
      </c>
      <c r="L1132" s="3" t="s">
        <v>17</v>
      </c>
    </row>
    <row r="1133" customFormat="false" ht="15" hidden="false" customHeight="false" outlineLevel="0" collapsed="false">
      <c r="A1133" s="0" t="s">
        <v>1272</v>
      </c>
      <c r="B1133" s="2" t="n">
        <v>45688</v>
      </c>
      <c r="C1133" s="3" t="s">
        <v>27</v>
      </c>
      <c r="D1133" s="3" t="s">
        <v>25</v>
      </c>
      <c r="E1133" s="3" t="s">
        <v>15</v>
      </c>
      <c r="F1133" s="3" t="s">
        <v>54</v>
      </c>
      <c r="G1133" s="0" t="n">
        <v>312</v>
      </c>
      <c r="H1133" s="0" t="n">
        <v>73</v>
      </c>
      <c r="I1133" s="0" t="n">
        <v>20</v>
      </c>
      <c r="J1133" s="0" t="n">
        <v>36</v>
      </c>
      <c r="K1133" s="0" t="n">
        <v>4.4</v>
      </c>
      <c r="L1133" s="3" t="s">
        <v>17</v>
      </c>
    </row>
    <row r="1134" customFormat="false" ht="15" hidden="false" customHeight="false" outlineLevel="0" collapsed="false">
      <c r="A1134" s="0" t="s">
        <v>1273</v>
      </c>
      <c r="B1134" s="2" t="n">
        <v>45717</v>
      </c>
      <c r="C1134" s="3" t="s">
        <v>40</v>
      </c>
      <c r="D1134" s="3" t="s">
        <v>20</v>
      </c>
      <c r="E1134" s="3" t="s">
        <v>21</v>
      </c>
      <c r="F1134" s="3" t="s">
        <v>22</v>
      </c>
      <c r="G1134" s="0" t="n">
        <v>836</v>
      </c>
      <c r="H1134" s="0" t="n">
        <v>200</v>
      </c>
      <c r="I1134" s="0" t="n">
        <v>0</v>
      </c>
      <c r="J1134" s="0" t="n">
        <v>34</v>
      </c>
      <c r="K1134" s="0" t="n">
        <v>5</v>
      </c>
      <c r="L1134" s="3" t="s">
        <v>17</v>
      </c>
    </row>
    <row r="1135" customFormat="false" ht="15" hidden="false" customHeight="false" outlineLevel="0" collapsed="false">
      <c r="A1135" s="0" t="s">
        <v>1274</v>
      </c>
      <c r="B1135" s="2" t="n">
        <v>45956</v>
      </c>
      <c r="C1135" s="3" t="s">
        <v>45</v>
      </c>
      <c r="D1135" s="3" t="s">
        <v>14</v>
      </c>
      <c r="E1135" s="3" t="s">
        <v>21</v>
      </c>
      <c r="F1135" s="3" t="s">
        <v>36</v>
      </c>
      <c r="G1135" s="0" t="n">
        <v>386</v>
      </c>
      <c r="H1135" s="0" t="n">
        <v>51</v>
      </c>
      <c r="I1135" s="0" t="n">
        <v>20</v>
      </c>
      <c r="J1135" s="0" t="n">
        <v>18</v>
      </c>
      <c r="K1135" s="0" t="n">
        <v>4.5</v>
      </c>
      <c r="L1135" s="3" t="s">
        <v>17</v>
      </c>
    </row>
    <row r="1136" customFormat="false" ht="15" hidden="false" customHeight="false" outlineLevel="0" collapsed="false">
      <c r="A1136" s="0" t="s">
        <v>1275</v>
      </c>
      <c r="B1136" s="2" t="n">
        <v>45771</v>
      </c>
      <c r="C1136" s="3" t="s">
        <v>30</v>
      </c>
      <c r="D1136" s="3" t="s">
        <v>25</v>
      </c>
      <c r="E1136" s="3" t="s">
        <v>21</v>
      </c>
      <c r="F1136" s="3" t="s">
        <v>22</v>
      </c>
      <c r="G1136" s="0" t="n">
        <v>447</v>
      </c>
      <c r="H1136" s="0" t="n">
        <v>0</v>
      </c>
      <c r="I1136" s="0" t="n">
        <v>40</v>
      </c>
      <c r="J1136" s="0" t="n">
        <v>30</v>
      </c>
      <c r="K1136" s="0" t="n">
        <v>4.3</v>
      </c>
      <c r="L1136" s="3" t="s">
        <v>17</v>
      </c>
    </row>
    <row r="1137" customFormat="false" ht="15" hidden="false" customHeight="false" outlineLevel="0" collapsed="false">
      <c r="A1137" s="0" t="s">
        <v>1276</v>
      </c>
      <c r="B1137" s="2" t="n">
        <v>45986</v>
      </c>
      <c r="C1137" s="3" t="s">
        <v>45</v>
      </c>
      <c r="D1137" s="3" t="s">
        <v>56</v>
      </c>
      <c r="E1137" s="3" t="s">
        <v>15</v>
      </c>
      <c r="F1137" s="3" t="s">
        <v>34</v>
      </c>
      <c r="G1137" s="0" t="n">
        <v>298</v>
      </c>
      <c r="H1137" s="0" t="n">
        <v>0</v>
      </c>
      <c r="I1137" s="0" t="n">
        <v>30</v>
      </c>
      <c r="J1137" s="0" t="n">
        <v>32</v>
      </c>
      <c r="K1137" s="0" t="n">
        <v>4.9</v>
      </c>
      <c r="L1137" s="3" t="s">
        <v>17</v>
      </c>
    </row>
    <row r="1138" customFormat="false" ht="15" hidden="false" customHeight="false" outlineLevel="0" collapsed="false">
      <c r="A1138" s="0" t="s">
        <v>1277</v>
      </c>
      <c r="B1138" s="2" t="n">
        <v>45914</v>
      </c>
      <c r="C1138" s="3" t="s">
        <v>45</v>
      </c>
      <c r="D1138" s="3" t="s">
        <v>78</v>
      </c>
      <c r="E1138" s="3" t="s">
        <v>21</v>
      </c>
      <c r="F1138" s="3" t="s">
        <v>22</v>
      </c>
      <c r="G1138" s="0" t="n">
        <v>366</v>
      </c>
      <c r="H1138" s="0" t="n">
        <v>0</v>
      </c>
      <c r="I1138" s="0" t="n">
        <v>45</v>
      </c>
      <c r="J1138" s="0" t="n">
        <v>24</v>
      </c>
      <c r="K1138" s="0" t="n">
        <v>5</v>
      </c>
      <c r="L1138" s="3" t="s">
        <v>17</v>
      </c>
    </row>
    <row r="1139" customFormat="false" ht="15" hidden="false" customHeight="false" outlineLevel="0" collapsed="false">
      <c r="A1139" s="0" t="s">
        <v>1278</v>
      </c>
      <c r="B1139" s="2" t="n">
        <v>45706</v>
      </c>
      <c r="C1139" s="3" t="s">
        <v>51</v>
      </c>
      <c r="D1139" s="3" t="s">
        <v>14</v>
      </c>
      <c r="E1139" s="3" t="s">
        <v>15</v>
      </c>
      <c r="F1139" s="3" t="s">
        <v>22</v>
      </c>
      <c r="G1139" s="0" t="n">
        <v>250</v>
      </c>
      <c r="H1139" s="0" t="n">
        <v>32</v>
      </c>
      <c r="I1139" s="0" t="n">
        <v>40</v>
      </c>
      <c r="J1139" s="0" t="n">
        <v>49</v>
      </c>
      <c r="K1139" s="0" t="n">
        <v>3.8</v>
      </c>
      <c r="L1139" s="3" t="s">
        <v>17</v>
      </c>
    </row>
    <row r="1140" customFormat="false" ht="15" hidden="false" customHeight="false" outlineLevel="0" collapsed="false">
      <c r="A1140" s="0" t="s">
        <v>1279</v>
      </c>
      <c r="B1140" s="2" t="n">
        <v>45970</v>
      </c>
      <c r="C1140" s="3" t="s">
        <v>24</v>
      </c>
      <c r="D1140" s="3" t="s">
        <v>14</v>
      </c>
      <c r="E1140" s="3" t="s">
        <v>21</v>
      </c>
      <c r="F1140" s="3" t="s">
        <v>54</v>
      </c>
      <c r="G1140" s="0" t="n">
        <v>359</v>
      </c>
      <c r="H1140" s="0" t="n">
        <v>0</v>
      </c>
      <c r="I1140" s="0" t="n">
        <v>30</v>
      </c>
      <c r="J1140" s="0" t="n">
        <v>42</v>
      </c>
      <c r="K1140" s="0" t="n">
        <v>3.6</v>
      </c>
      <c r="L1140" s="3" t="s">
        <v>17</v>
      </c>
    </row>
    <row r="1141" customFormat="false" ht="15" hidden="false" customHeight="false" outlineLevel="0" collapsed="false">
      <c r="A1141" s="0" t="s">
        <v>1280</v>
      </c>
      <c r="B1141" s="2" t="n">
        <v>45733</v>
      </c>
      <c r="C1141" s="3" t="s">
        <v>51</v>
      </c>
      <c r="D1141" s="3" t="s">
        <v>56</v>
      </c>
      <c r="E1141" s="3" t="s">
        <v>21</v>
      </c>
      <c r="F1141" s="3" t="s">
        <v>36</v>
      </c>
      <c r="G1141" s="0" t="n">
        <v>512</v>
      </c>
      <c r="H1141" s="0" t="n">
        <v>52</v>
      </c>
      <c r="I1141" s="0" t="n">
        <v>0</v>
      </c>
      <c r="J1141" s="0" t="n">
        <v>22</v>
      </c>
      <c r="K1141" s="0" t="n">
        <v>4.5</v>
      </c>
      <c r="L1141" s="3" t="s">
        <v>17</v>
      </c>
    </row>
    <row r="1142" customFormat="false" ht="15" hidden="false" customHeight="false" outlineLevel="0" collapsed="false">
      <c r="A1142" s="0" t="s">
        <v>1281</v>
      </c>
      <c r="B1142" s="2" t="n">
        <v>45829</v>
      </c>
      <c r="C1142" s="3" t="s">
        <v>27</v>
      </c>
      <c r="D1142" s="3" t="s">
        <v>78</v>
      </c>
      <c r="E1142" s="3" t="s">
        <v>15</v>
      </c>
      <c r="F1142" s="3" t="s">
        <v>22</v>
      </c>
      <c r="G1142" s="0" t="n">
        <v>433</v>
      </c>
      <c r="H1142" s="0" t="n">
        <v>0</v>
      </c>
      <c r="I1142" s="0" t="n">
        <v>30</v>
      </c>
      <c r="J1142" s="0" t="n">
        <v>30</v>
      </c>
      <c r="K1142" s="0" t="n">
        <v>4.1</v>
      </c>
      <c r="L1142" s="3" t="s">
        <v>17</v>
      </c>
    </row>
    <row r="1143" customFormat="false" ht="15" hidden="false" customHeight="false" outlineLevel="0" collapsed="false">
      <c r="A1143" s="0" t="s">
        <v>1282</v>
      </c>
      <c r="B1143" s="2" t="n">
        <v>45876</v>
      </c>
      <c r="C1143" s="3" t="s">
        <v>27</v>
      </c>
      <c r="D1143" s="3" t="s">
        <v>31</v>
      </c>
      <c r="E1143" s="3" t="s">
        <v>21</v>
      </c>
      <c r="F1143" s="3" t="s">
        <v>54</v>
      </c>
      <c r="G1143" s="0" t="n">
        <v>612</v>
      </c>
      <c r="H1143" s="0" t="n">
        <v>0</v>
      </c>
      <c r="I1143" s="0" t="n">
        <v>0</v>
      </c>
      <c r="J1143" s="0" t="n">
        <v>35</v>
      </c>
      <c r="K1143" s="0" t="n">
        <v>5</v>
      </c>
      <c r="L1143" s="3" t="s">
        <v>17</v>
      </c>
    </row>
    <row r="1144" customFormat="false" ht="15" hidden="false" customHeight="false" outlineLevel="0" collapsed="false">
      <c r="A1144" s="0" t="s">
        <v>1283</v>
      </c>
      <c r="B1144" s="2" t="n">
        <v>45857</v>
      </c>
      <c r="C1144" s="3" t="s">
        <v>27</v>
      </c>
      <c r="D1144" s="3" t="s">
        <v>56</v>
      </c>
      <c r="E1144" s="3" t="s">
        <v>21</v>
      </c>
      <c r="F1144" s="3" t="s">
        <v>22</v>
      </c>
      <c r="G1144" s="0" t="n">
        <v>438</v>
      </c>
      <c r="H1144" s="0" t="n">
        <v>49</v>
      </c>
      <c r="I1144" s="0" t="n">
        <v>40</v>
      </c>
      <c r="J1144" s="0" t="n">
        <v>53</v>
      </c>
      <c r="K1144" s="0" t="n">
        <v>4.2</v>
      </c>
      <c r="L1144" s="3" t="s">
        <v>17</v>
      </c>
    </row>
    <row r="1145" customFormat="false" ht="15" hidden="false" customHeight="false" outlineLevel="0" collapsed="false">
      <c r="A1145" s="0" t="s">
        <v>1284</v>
      </c>
      <c r="B1145" s="0" t="s">
        <v>1285</v>
      </c>
      <c r="C1145" s="0" t="s">
        <v>24</v>
      </c>
      <c r="D1145" s="0" t="s">
        <v>56</v>
      </c>
      <c r="E1145" s="0" t="s">
        <v>21</v>
      </c>
      <c r="F1145" s="0" t="s">
        <v>16</v>
      </c>
      <c r="G1145" s="0" t="n">
        <v>316</v>
      </c>
      <c r="H1145" s="0" t="n">
        <v>0</v>
      </c>
      <c r="I1145" s="0" t="n">
        <v>45</v>
      </c>
      <c r="J1145" s="0" t="n">
        <v>42</v>
      </c>
      <c r="K1145" s="0" t="n">
        <v>3.7</v>
      </c>
      <c r="L1145" s="0" t="s">
        <v>17</v>
      </c>
    </row>
    <row r="1146" customFormat="false" ht="15" hidden="false" customHeight="false" outlineLevel="0" collapsed="false">
      <c r="A1146" s="0" t="s">
        <v>1286</v>
      </c>
      <c r="B1146" s="2" t="n">
        <v>45910</v>
      </c>
      <c r="C1146" s="3" t="s">
        <v>24</v>
      </c>
      <c r="D1146" s="3" t="s">
        <v>14</v>
      </c>
      <c r="E1146" s="3" t="s">
        <v>15</v>
      </c>
      <c r="F1146" s="3" t="s">
        <v>36</v>
      </c>
      <c r="G1146" s="0" t="n">
        <v>353</v>
      </c>
      <c r="H1146" s="0" t="n">
        <v>77</v>
      </c>
      <c r="I1146" s="0" t="n">
        <v>30</v>
      </c>
      <c r="J1146" s="0" t="n">
        <v>47</v>
      </c>
      <c r="L1146" s="3" t="s">
        <v>17</v>
      </c>
    </row>
    <row r="1147" customFormat="false" ht="15" hidden="false" customHeight="false" outlineLevel="0" collapsed="false">
      <c r="A1147" s="0" t="s">
        <v>1287</v>
      </c>
      <c r="B1147" s="2" t="n">
        <v>46020</v>
      </c>
      <c r="C1147" s="3" t="s">
        <v>24</v>
      </c>
      <c r="D1147" s="3" t="s">
        <v>49</v>
      </c>
      <c r="E1147" s="3" t="s">
        <v>15</v>
      </c>
      <c r="G1147" s="0" t="n">
        <v>479</v>
      </c>
      <c r="H1147" s="0" t="n">
        <v>0</v>
      </c>
      <c r="I1147" s="0" t="n">
        <v>20</v>
      </c>
      <c r="J1147" s="0" t="n">
        <v>36</v>
      </c>
      <c r="K1147" s="0" t="n">
        <v>3.9</v>
      </c>
      <c r="L1147" s="3" t="s">
        <v>17</v>
      </c>
    </row>
    <row r="1148" customFormat="false" ht="15" hidden="false" customHeight="false" outlineLevel="0" collapsed="false">
      <c r="A1148" s="0" t="s">
        <v>1288</v>
      </c>
      <c r="B1148" s="2" t="n">
        <v>46022</v>
      </c>
      <c r="C1148" s="3" t="s">
        <v>40</v>
      </c>
      <c r="D1148" s="3" t="s">
        <v>28</v>
      </c>
      <c r="E1148" s="3" t="s">
        <v>21</v>
      </c>
      <c r="F1148" s="3" t="s">
        <v>16</v>
      </c>
      <c r="G1148" s="0" t="n">
        <v>291</v>
      </c>
      <c r="H1148" s="0" t="n">
        <v>63</v>
      </c>
      <c r="I1148" s="0" t="n">
        <v>20</v>
      </c>
      <c r="J1148" s="0" t="n">
        <v>37</v>
      </c>
      <c r="K1148" s="0" t="n">
        <v>3.9</v>
      </c>
      <c r="L1148" s="3" t="s">
        <v>17</v>
      </c>
    </row>
    <row r="1149" customFormat="false" ht="15" hidden="false" customHeight="false" outlineLevel="0" collapsed="false">
      <c r="A1149" s="0" t="s">
        <v>1289</v>
      </c>
      <c r="B1149" s="2" t="n">
        <v>45863</v>
      </c>
      <c r="C1149" s="3" t="s">
        <v>27</v>
      </c>
      <c r="D1149" s="3" t="s">
        <v>20</v>
      </c>
      <c r="E1149" s="3" t="s">
        <v>15</v>
      </c>
      <c r="F1149" s="3" t="s">
        <v>34</v>
      </c>
      <c r="G1149" s="0" t="n">
        <v>500</v>
      </c>
      <c r="H1149" s="0" t="n">
        <v>0</v>
      </c>
      <c r="I1149" s="0" t="n">
        <v>0</v>
      </c>
      <c r="J1149" s="0" t="n">
        <v>33</v>
      </c>
      <c r="K1149" s="0" t="n">
        <v>4.2</v>
      </c>
      <c r="L1149" s="3" t="s">
        <v>17</v>
      </c>
    </row>
    <row r="1150" customFormat="false" ht="15" hidden="false" customHeight="false" outlineLevel="0" collapsed="false">
      <c r="A1150" s="0" t="s">
        <v>1290</v>
      </c>
      <c r="B1150" s="2" t="n">
        <v>45699</v>
      </c>
      <c r="C1150" s="3" t="s">
        <v>45</v>
      </c>
      <c r="D1150" s="3" t="s">
        <v>56</v>
      </c>
      <c r="E1150" s="3" t="s">
        <v>21</v>
      </c>
      <c r="F1150" s="3" t="s">
        <v>22</v>
      </c>
      <c r="G1150" s="0" t="n">
        <v>356</v>
      </c>
      <c r="H1150" s="0" t="n">
        <v>0</v>
      </c>
      <c r="I1150" s="0" t="n">
        <v>45</v>
      </c>
      <c r="J1150" s="0" t="n">
        <v>32</v>
      </c>
      <c r="K1150" s="0" t="n">
        <v>4.9</v>
      </c>
      <c r="L1150" s="3" t="s">
        <v>17</v>
      </c>
    </row>
    <row r="1151" customFormat="false" ht="15" hidden="false" customHeight="false" outlineLevel="0" collapsed="false">
      <c r="A1151" s="0" t="s">
        <v>1291</v>
      </c>
      <c r="B1151" s="2" t="n">
        <v>45935</v>
      </c>
      <c r="C1151" s="3" t="s">
        <v>13</v>
      </c>
      <c r="D1151" s="3" t="s">
        <v>56</v>
      </c>
      <c r="E1151" s="3" t="s">
        <v>15</v>
      </c>
      <c r="F1151" s="3" t="s">
        <v>16</v>
      </c>
      <c r="G1151" s="0" t="n">
        <v>287</v>
      </c>
      <c r="H1151" s="0" t="n">
        <v>0</v>
      </c>
      <c r="I1151" s="0" t="n">
        <v>30</v>
      </c>
      <c r="J1151" s="0" t="n">
        <v>32</v>
      </c>
      <c r="L1151" s="3" t="s">
        <v>17</v>
      </c>
    </row>
    <row r="1152" customFormat="false" ht="15" hidden="false" customHeight="false" outlineLevel="0" collapsed="false">
      <c r="A1152" s="0" t="s">
        <v>1292</v>
      </c>
      <c r="B1152" s="2" t="n">
        <v>46015</v>
      </c>
      <c r="C1152" s="3" t="s">
        <v>27</v>
      </c>
      <c r="D1152" s="3" t="s">
        <v>56</v>
      </c>
      <c r="E1152" s="3" t="s">
        <v>15</v>
      </c>
      <c r="F1152" s="3" t="s">
        <v>22</v>
      </c>
      <c r="G1152" s="0" t="n">
        <v>507</v>
      </c>
      <c r="H1152" s="0" t="n">
        <v>0</v>
      </c>
      <c r="I1152" s="0" t="n">
        <v>0</v>
      </c>
      <c r="J1152" s="0" t="n">
        <v>40</v>
      </c>
      <c r="K1152" s="0" t="n">
        <v>5</v>
      </c>
      <c r="L1152" s="3" t="s">
        <v>17</v>
      </c>
    </row>
    <row r="1153" customFormat="false" ht="15" hidden="false" customHeight="false" outlineLevel="0" collapsed="false">
      <c r="A1153" s="0" t="s">
        <v>1293</v>
      </c>
      <c r="B1153" s="2" t="n">
        <v>45789</v>
      </c>
      <c r="C1153" s="3" t="s">
        <v>27</v>
      </c>
      <c r="D1153" s="3" t="s">
        <v>31</v>
      </c>
      <c r="E1153" s="3" t="s">
        <v>21</v>
      </c>
      <c r="F1153" s="3" t="s">
        <v>36</v>
      </c>
      <c r="G1153" s="0" t="n">
        <v>445</v>
      </c>
      <c r="H1153" s="0" t="n">
        <v>70</v>
      </c>
      <c r="I1153" s="0" t="n">
        <v>30</v>
      </c>
      <c r="J1153" s="0" t="n">
        <v>53</v>
      </c>
      <c r="K1153" s="0" t="n">
        <v>3.4</v>
      </c>
      <c r="L1153" s="3" t="s">
        <v>17</v>
      </c>
    </row>
    <row r="1154" customFormat="false" ht="15" hidden="false" customHeight="false" outlineLevel="0" collapsed="false">
      <c r="A1154" s="0" t="s">
        <v>1294</v>
      </c>
      <c r="B1154" s="2" t="n">
        <v>45843</v>
      </c>
      <c r="C1154" s="3" t="s">
        <v>27</v>
      </c>
      <c r="D1154" s="3" t="s">
        <v>56</v>
      </c>
      <c r="E1154" s="3" t="s">
        <v>15</v>
      </c>
      <c r="F1154" s="3" t="s">
        <v>22</v>
      </c>
      <c r="G1154" s="0" t="n">
        <v>297</v>
      </c>
      <c r="H1154" s="0" t="n">
        <v>38</v>
      </c>
      <c r="I1154" s="0" t="n">
        <v>30</v>
      </c>
      <c r="J1154" s="0" t="n">
        <v>41</v>
      </c>
      <c r="K1154" s="0" t="n">
        <v>3.4</v>
      </c>
      <c r="L1154" s="3" t="s">
        <v>17</v>
      </c>
    </row>
    <row r="1155" customFormat="false" ht="15" hidden="false" customHeight="false" outlineLevel="0" collapsed="false">
      <c r="A1155" s="0" t="s">
        <v>1295</v>
      </c>
      <c r="B1155" s="2" t="n">
        <v>45830</v>
      </c>
      <c r="C1155" s="3" t="s">
        <v>24</v>
      </c>
      <c r="D1155" s="3" t="s">
        <v>14</v>
      </c>
      <c r="E1155" s="3" t="s">
        <v>21</v>
      </c>
      <c r="F1155" s="3" t="s">
        <v>22</v>
      </c>
      <c r="G1155" s="0" t="n">
        <v>412</v>
      </c>
      <c r="H1155" s="0" t="n">
        <v>0</v>
      </c>
      <c r="I1155" s="0" t="n">
        <v>45</v>
      </c>
      <c r="J1155" s="0" t="n">
        <v>45</v>
      </c>
      <c r="K1155" s="0" t="n">
        <v>4.9</v>
      </c>
      <c r="L1155" s="3" t="s">
        <v>17</v>
      </c>
    </row>
    <row r="1156" customFormat="false" ht="15" hidden="false" customHeight="false" outlineLevel="0" collapsed="false">
      <c r="A1156" s="0" t="s">
        <v>1296</v>
      </c>
      <c r="B1156" s="2" t="n">
        <v>45680</v>
      </c>
      <c r="C1156" s="3" t="s">
        <v>30</v>
      </c>
      <c r="D1156" s="3" t="s">
        <v>28</v>
      </c>
      <c r="E1156" s="3" t="s">
        <v>15</v>
      </c>
      <c r="F1156" s="3" t="s">
        <v>36</v>
      </c>
      <c r="G1156" s="0" t="n">
        <v>364</v>
      </c>
      <c r="H1156" s="0" t="n">
        <v>77</v>
      </c>
      <c r="I1156" s="0" t="n">
        <v>40</v>
      </c>
      <c r="J1156" s="0" t="n">
        <v>20</v>
      </c>
      <c r="K1156" s="0" t="n">
        <v>5</v>
      </c>
      <c r="L1156" s="3" t="s">
        <v>17</v>
      </c>
    </row>
    <row r="1157" customFormat="false" ht="15" hidden="false" customHeight="false" outlineLevel="0" collapsed="false">
      <c r="A1157" s="0" t="s">
        <v>1297</v>
      </c>
      <c r="B1157" s="2" t="n">
        <v>45917</v>
      </c>
      <c r="C1157" s="3" t="s">
        <v>40</v>
      </c>
      <c r="D1157" s="3" t="s">
        <v>14</v>
      </c>
      <c r="E1157" s="3" t="s">
        <v>21</v>
      </c>
      <c r="F1157" s="3" t="s">
        <v>22</v>
      </c>
      <c r="G1157" s="0" t="n">
        <v>315</v>
      </c>
      <c r="H1157" s="0" t="n">
        <v>67</v>
      </c>
      <c r="I1157" s="0" t="n">
        <v>20</v>
      </c>
      <c r="J1157" s="0" t="n">
        <v>57</v>
      </c>
      <c r="K1157" s="0" t="n">
        <v>3.6</v>
      </c>
      <c r="L1157" s="3" t="s">
        <v>17</v>
      </c>
    </row>
    <row r="1158" customFormat="false" ht="15" hidden="false" customHeight="false" outlineLevel="0" collapsed="false">
      <c r="A1158" s="0" t="s">
        <v>1298</v>
      </c>
      <c r="B1158" s="2" t="n">
        <v>45803</v>
      </c>
      <c r="C1158" s="3" t="s">
        <v>13</v>
      </c>
      <c r="D1158" s="3" t="s">
        <v>56</v>
      </c>
      <c r="E1158" s="3" t="s">
        <v>21</v>
      </c>
      <c r="F1158" s="3" t="s">
        <v>16</v>
      </c>
      <c r="G1158" s="0" t="n">
        <v>503</v>
      </c>
      <c r="H1158" s="0" t="n">
        <v>77</v>
      </c>
      <c r="I1158" s="0" t="n">
        <v>0</v>
      </c>
      <c r="J1158" s="0" t="n">
        <v>30</v>
      </c>
      <c r="K1158" s="0" t="n">
        <v>4.6</v>
      </c>
      <c r="L1158" s="3" t="s">
        <v>17</v>
      </c>
    </row>
    <row r="1159" customFormat="false" ht="15" hidden="false" customHeight="false" outlineLevel="0" collapsed="false">
      <c r="A1159" s="0" t="s">
        <v>1299</v>
      </c>
      <c r="B1159" s="2" t="n">
        <v>45955</v>
      </c>
      <c r="C1159" s="3" t="s">
        <v>13</v>
      </c>
      <c r="D1159" s="3" t="s">
        <v>56</v>
      </c>
      <c r="E1159" s="3" t="s">
        <v>21</v>
      </c>
      <c r="F1159" s="3" t="s">
        <v>36</v>
      </c>
      <c r="G1159" s="0" t="n">
        <v>240</v>
      </c>
      <c r="H1159" s="0" t="n">
        <v>43</v>
      </c>
      <c r="I1159" s="0" t="n">
        <v>20</v>
      </c>
      <c r="J1159" s="0" t="n">
        <v>38</v>
      </c>
      <c r="K1159" s="0" t="n">
        <v>4.4</v>
      </c>
      <c r="L1159" s="3" t="s">
        <v>17</v>
      </c>
    </row>
    <row r="1160" customFormat="false" ht="15" hidden="false" customHeight="false" outlineLevel="0" collapsed="false">
      <c r="A1160" s="0" t="s">
        <v>1300</v>
      </c>
      <c r="B1160" s="2" t="n">
        <v>45970</v>
      </c>
      <c r="C1160" s="3" t="s">
        <v>27</v>
      </c>
      <c r="D1160" s="3" t="s">
        <v>31</v>
      </c>
      <c r="E1160" s="3" t="s">
        <v>21</v>
      </c>
      <c r="F1160" s="3" t="s">
        <v>36</v>
      </c>
      <c r="G1160" s="0" t="n">
        <v>328</v>
      </c>
      <c r="H1160" s="0" t="n">
        <v>0</v>
      </c>
      <c r="I1160" s="0" t="n">
        <v>45</v>
      </c>
      <c r="L1160" s="3" t="s">
        <v>68</v>
      </c>
    </row>
    <row r="1161" customFormat="false" ht="15" hidden="false" customHeight="false" outlineLevel="0" collapsed="false">
      <c r="A1161" s="0" t="s">
        <v>1301</v>
      </c>
      <c r="B1161" s="0" t="s">
        <v>1302</v>
      </c>
      <c r="C1161" s="0" t="s">
        <v>45</v>
      </c>
      <c r="D1161" s="0" t="s">
        <v>56</v>
      </c>
      <c r="E1161" s="0" t="s">
        <v>21</v>
      </c>
      <c r="F1161" s="0" t="s">
        <v>22</v>
      </c>
      <c r="G1161" s="0" t="n">
        <v>377</v>
      </c>
      <c r="H1161" s="0" t="n">
        <v>0</v>
      </c>
      <c r="I1161" s="0" t="n">
        <v>20</v>
      </c>
      <c r="J1161" s="0" t="n">
        <v>27</v>
      </c>
      <c r="K1161" s="0" t="n">
        <v>3.8</v>
      </c>
      <c r="L1161" s="0" t="s">
        <v>17</v>
      </c>
    </row>
    <row r="1162" customFormat="false" ht="15" hidden="false" customHeight="false" outlineLevel="0" collapsed="false">
      <c r="A1162" s="0" t="s">
        <v>1303</v>
      </c>
      <c r="B1162" s="2" t="n">
        <v>45827</v>
      </c>
      <c r="C1162" s="3" t="s">
        <v>24</v>
      </c>
      <c r="D1162" s="3" t="s">
        <v>56</v>
      </c>
      <c r="E1162" s="3" t="s">
        <v>21</v>
      </c>
      <c r="F1162" s="3" t="s">
        <v>36</v>
      </c>
      <c r="G1162" s="0" t="n">
        <v>551</v>
      </c>
      <c r="H1162" s="0" t="n">
        <v>0</v>
      </c>
      <c r="I1162" s="0" t="n">
        <v>0</v>
      </c>
      <c r="J1162" s="0" t="n">
        <v>42</v>
      </c>
      <c r="K1162" s="0" t="n">
        <v>2.9</v>
      </c>
      <c r="L1162" s="3" t="s">
        <v>17</v>
      </c>
    </row>
    <row r="1163" customFormat="false" ht="15" hidden="false" customHeight="false" outlineLevel="0" collapsed="false">
      <c r="A1163" s="0" t="s">
        <v>1304</v>
      </c>
      <c r="B1163" s="2" t="n">
        <v>45791</v>
      </c>
      <c r="C1163" s="3" t="s">
        <v>45</v>
      </c>
      <c r="D1163" s="3" t="s">
        <v>25</v>
      </c>
      <c r="E1163" s="3" t="s">
        <v>15</v>
      </c>
      <c r="F1163" s="3" t="s">
        <v>36</v>
      </c>
      <c r="G1163" s="0" t="n">
        <v>609</v>
      </c>
      <c r="H1163" s="0" t="n">
        <v>0</v>
      </c>
      <c r="I1163" s="0" t="n">
        <v>0</v>
      </c>
      <c r="J1163" s="0" t="n">
        <v>36</v>
      </c>
      <c r="K1163" s="0" t="n">
        <v>3.8</v>
      </c>
      <c r="L1163" s="3" t="s">
        <v>17</v>
      </c>
    </row>
    <row r="1164" customFormat="false" ht="15" hidden="false" customHeight="false" outlineLevel="0" collapsed="false">
      <c r="A1164" s="0" t="s">
        <v>1305</v>
      </c>
      <c r="B1164" s="2" t="n">
        <v>45942</v>
      </c>
      <c r="C1164" s="3" t="s">
        <v>13</v>
      </c>
      <c r="D1164" s="3" t="s">
        <v>31</v>
      </c>
      <c r="E1164" s="3" t="s">
        <v>21</v>
      </c>
      <c r="F1164" s="3" t="s">
        <v>22</v>
      </c>
      <c r="G1164" s="0" t="n">
        <v>345</v>
      </c>
      <c r="H1164" s="0" t="n">
        <v>46</v>
      </c>
      <c r="I1164" s="0" t="n">
        <v>40</v>
      </c>
      <c r="J1164" s="0" t="n">
        <v>28</v>
      </c>
      <c r="K1164" s="0" t="n">
        <v>5</v>
      </c>
      <c r="L1164" s="3" t="s">
        <v>17</v>
      </c>
    </row>
    <row r="1165" customFormat="false" ht="15" hidden="false" customHeight="false" outlineLevel="0" collapsed="false">
      <c r="A1165" s="0" t="s">
        <v>1306</v>
      </c>
      <c r="B1165" s="2" t="n">
        <v>45960</v>
      </c>
      <c r="C1165" s="3" t="s">
        <v>30</v>
      </c>
      <c r="D1165" s="3" t="s">
        <v>28</v>
      </c>
      <c r="E1165" s="3" t="s">
        <v>15</v>
      </c>
      <c r="F1165" s="3" t="s">
        <v>36</v>
      </c>
      <c r="G1165" s="0" t="n">
        <v>461</v>
      </c>
      <c r="H1165" s="0" t="n">
        <v>0</v>
      </c>
      <c r="I1165" s="0" t="n">
        <v>45</v>
      </c>
      <c r="J1165" s="0" t="n">
        <v>26</v>
      </c>
      <c r="K1165" s="0" t="n">
        <v>5</v>
      </c>
      <c r="L1165" s="3" t="s">
        <v>17</v>
      </c>
    </row>
    <row r="1166" customFormat="false" ht="15" hidden="false" customHeight="false" outlineLevel="0" collapsed="false">
      <c r="A1166" s="0" t="s">
        <v>1307</v>
      </c>
      <c r="B1166" s="2" t="n">
        <v>45854</v>
      </c>
      <c r="C1166" s="3" t="s">
        <v>13</v>
      </c>
      <c r="D1166" s="3" t="s">
        <v>56</v>
      </c>
      <c r="E1166" s="3" t="s">
        <v>21</v>
      </c>
      <c r="F1166" s="3" t="s">
        <v>36</v>
      </c>
      <c r="G1166" s="0" t="n">
        <v>285</v>
      </c>
      <c r="H1166" s="0" t="n">
        <v>33</v>
      </c>
      <c r="I1166" s="0" t="n">
        <v>20</v>
      </c>
      <c r="J1166" s="0" t="n">
        <v>33</v>
      </c>
      <c r="K1166" s="0" t="n">
        <v>4.2</v>
      </c>
      <c r="L1166" s="3" t="s">
        <v>17</v>
      </c>
    </row>
    <row r="1167" customFormat="false" ht="15" hidden="false" customHeight="false" outlineLevel="0" collapsed="false">
      <c r="A1167" s="0" t="s">
        <v>1308</v>
      </c>
      <c r="B1167" s="0" t="s">
        <v>1309</v>
      </c>
      <c r="C1167" s="0" t="s">
        <v>45</v>
      </c>
      <c r="D1167" s="0" t="s">
        <v>56</v>
      </c>
      <c r="E1167" s="0" t="s">
        <v>15</v>
      </c>
      <c r="F1167" s="0" t="s">
        <v>34</v>
      </c>
      <c r="G1167" s="0" t="n">
        <v>301</v>
      </c>
      <c r="H1167" s="0" t="n">
        <v>57</v>
      </c>
      <c r="I1167" s="0" t="n">
        <v>40</v>
      </c>
      <c r="J1167" s="0" t="n">
        <v>29</v>
      </c>
      <c r="K1167" s="0" t="n">
        <v>3.9</v>
      </c>
      <c r="L1167" s="0" t="s">
        <v>17</v>
      </c>
    </row>
    <row r="1168" customFormat="false" ht="15" hidden="false" customHeight="false" outlineLevel="0" collapsed="false">
      <c r="A1168" s="0" t="s">
        <v>1310</v>
      </c>
      <c r="B1168" s="2" t="n">
        <v>45720</v>
      </c>
      <c r="C1168" s="3" t="s">
        <v>694</v>
      </c>
      <c r="D1168" s="3" t="s">
        <v>25</v>
      </c>
      <c r="E1168" s="3" t="s">
        <v>21</v>
      </c>
      <c r="F1168" s="3" t="s">
        <v>16</v>
      </c>
      <c r="G1168" s="0" t="n">
        <v>621</v>
      </c>
      <c r="H1168" s="0" t="n">
        <v>125</v>
      </c>
      <c r="I1168" s="0" t="n">
        <v>0</v>
      </c>
      <c r="L1168" s="3" t="s">
        <v>68</v>
      </c>
    </row>
    <row r="1169" customFormat="false" ht="15" hidden="false" customHeight="false" outlineLevel="0" collapsed="false">
      <c r="A1169" s="0" t="s">
        <v>1311</v>
      </c>
      <c r="B1169" s="2" t="n">
        <v>45984</v>
      </c>
      <c r="C1169" s="3" t="s">
        <v>27</v>
      </c>
      <c r="D1169" s="3" t="s">
        <v>20</v>
      </c>
      <c r="E1169" s="3" t="s">
        <v>21</v>
      </c>
      <c r="F1169" s="3" t="s">
        <v>36</v>
      </c>
      <c r="G1169" s="0" t="n">
        <v>786</v>
      </c>
      <c r="H1169" s="0" t="n">
        <v>0</v>
      </c>
      <c r="I1169" s="0" t="n">
        <v>0</v>
      </c>
      <c r="J1169" s="0" t="n">
        <v>47</v>
      </c>
      <c r="K1169" s="0" t="n">
        <v>4.2</v>
      </c>
      <c r="L1169" s="3" t="s">
        <v>17</v>
      </c>
    </row>
    <row r="1170" customFormat="false" ht="15" hidden="false" customHeight="false" outlineLevel="0" collapsed="false">
      <c r="A1170" s="0" t="s">
        <v>1312</v>
      </c>
      <c r="B1170" s="2" t="n">
        <v>45700</v>
      </c>
      <c r="C1170" s="3" t="s">
        <v>30</v>
      </c>
      <c r="D1170" s="3" t="s">
        <v>56</v>
      </c>
      <c r="E1170" s="3" t="s">
        <v>21</v>
      </c>
      <c r="F1170" s="3" t="s">
        <v>54</v>
      </c>
      <c r="G1170" s="0" t="n">
        <v>386</v>
      </c>
      <c r="H1170" s="0" t="n">
        <v>0</v>
      </c>
      <c r="I1170" s="0" t="n">
        <v>20</v>
      </c>
      <c r="J1170" s="0" t="n">
        <v>31</v>
      </c>
      <c r="K1170" s="0" t="n">
        <v>4.7</v>
      </c>
      <c r="L1170" s="3" t="s">
        <v>17</v>
      </c>
    </row>
    <row r="1171" customFormat="false" ht="15" hidden="false" customHeight="false" outlineLevel="0" collapsed="false">
      <c r="A1171" s="0" t="s">
        <v>1313</v>
      </c>
      <c r="B1171" s="2" t="n">
        <v>45724</v>
      </c>
      <c r="C1171" s="3" t="s">
        <v>13</v>
      </c>
      <c r="D1171" s="3" t="s">
        <v>56</v>
      </c>
      <c r="E1171" s="3" t="s">
        <v>21</v>
      </c>
      <c r="F1171" s="3" t="s">
        <v>34</v>
      </c>
      <c r="G1171" s="0" t="n">
        <v>225</v>
      </c>
      <c r="H1171" s="0" t="n">
        <v>0</v>
      </c>
      <c r="I1171" s="0" t="n">
        <v>45</v>
      </c>
      <c r="J1171" s="0" t="n">
        <v>37</v>
      </c>
      <c r="L1171" s="3" t="s">
        <v>17</v>
      </c>
    </row>
    <row r="1172" customFormat="false" ht="15" hidden="false" customHeight="false" outlineLevel="0" collapsed="false">
      <c r="A1172" s="0" t="s">
        <v>1314</v>
      </c>
      <c r="B1172" s="0" t="s">
        <v>410</v>
      </c>
      <c r="C1172" s="0" t="s">
        <v>27</v>
      </c>
      <c r="D1172" s="0" t="s">
        <v>20</v>
      </c>
      <c r="E1172" s="0" t="s">
        <v>99</v>
      </c>
      <c r="F1172" s="0" t="s">
        <v>36</v>
      </c>
      <c r="G1172" s="0" t="n">
        <v>753</v>
      </c>
      <c r="H1172" s="0" t="n">
        <v>181</v>
      </c>
      <c r="I1172" s="0" t="n">
        <v>0</v>
      </c>
      <c r="J1172" s="0" t="n">
        <v>28</v>
      </c>
      <c r="K1172" s="0" t="n">
        <v>5</v>
      </c>
      <c r="L1172" s="0" t="s">
        <v>17</v>
      </c>
    </row>
    <row r="1173" customFormat="false" ht="15" hidden="false" customHeight="false" outlineLevel="0" collapsed="false">
      <c r="A1173" s="0" t="s">
        <v>1315</v>
      </c>
      <c r="B1173" s="2" t="n">
        <v>45688</v>
      </c>
      <c r="C1173" s="3" t="s">
        <v>51</v>
      </c>
      <c r="D1173" s="3" t="s">
        <v>31</v>
      </c>
      <c r="E1173" s="3" t="s">
        <v>15</v>
      </c>
      <c r="F1173" s="3" t="s">
        <v>36</v>
      </c>
      <c r="G1173" s="0" t="n">
        <v>620</v>
      </c>
      <c r="H1173" s="0" t="n">
        <v>130</v>
      </c>
      <c r="I1173" s="0" t="n">
        <v>0</v>
      </c>
      <c r="J1173" s="0" t="n">
        <v>31</v>
      </c>
      <c r="K1173" s="0" t="n">
        <v>4.9</v>
      </c>
      <c r="L1173" s="3" t="s">
        <v>17</v>
      </c>
    </row>
    <row r="1174" customFormat="false" ht="15" hidden="false" customHeight="false" outlineLevel="0" collapsed="false">
      <c r="A1174" s="0" t="s">
        <v>1316</v>
      </c>
      <c r="B1174" s="0" t="s">
        <v>518</v>
      </c>
      <c r="C1174" s="0" t="s">
        <v>24</v>
      </c>
      <c r="D1174" s="0" t="s">
        <v>49</v>
      </c>
      <c r="E1174" s="0" t="s">
        <v>21</v>
      </c>
      <c r="F1174" s="0" t="s">
        <v>36</v>
      </c>
      <c r="G1174" s="0" t="n">
        <v>354</v>
      </c>
      <c r="H1174" s="0" t="n">
        <v>0</v>
      </c>
      <c r="I1174" s="0" t="n">
        <v>45</v>
      </c>
      <c r="J1174" s="0" t="n">
        <v>38</v>
      </c>
      <c r="K1174" s="0" t="n">
        <v>4.1</v>
      </c>
      <c r="L1174" s="0" t="s">
        <v>17</v>
      </c>
    </row>
    <row r="1175" customFormat="false" ht="15" hidden="false" customHeight="false" outlineLevel="0" collapsed="false">
      <c r="A1175" s="0" t="s">
        <v>1317</v>
      </c>
      <c r="B1175" s="2" t="n">
        <v>45658</v>
      </c>
      <c r="C1175" s="3" t="s">
        <v>27</v>
      </c>
      <c r="D1175" s="3" t="s">
        <v>31</v>
      </c>
      <c r="E1175" s="3" t="s">
        <v>21</v>
      </c>
      <c r="F1175" s="3" t="s">
        <v>54</v>
      </c>
      <c r="G1175" s="0" t="n">
        <v>408</v>
      </c>
      <c r="H1175" s="0" t="n">
        <v>53</v>
      </c>
      <c r="I1175" s="0" t="n">
        <v>20</v>
      </c>
      <c r="J1175" s="0" t="n">
        <v>50</v>
      </c>
      <c r="K1175" s="0" t="n">
        <v>3.5</v>
      </c>
      <c r="L1175" s="3" t="s">
        <v>17</v>
      </c>
    </row>
    <row r="1176" customFormat="false" ht="15" hidden="false" customHeight="false" outlineLevel="0" collapsed="false">
      <c r="A1176" s="0" t="s">
        <v>1318</v>
      </c>
      <c r="B1176" s="2" t="n">
        <v>45834</v>
      </c>
      <c r="C1176" s="3" t="s">
        <v>40</v>
      </c>
      <c r="D1176" s="3" t="s">
        <v>56</v>
      </c>
      <c r="E1176" s="3" t="s">
        <v>15</v>
      </c>
      <c r="F1176" s="3" t="s">
        <v>22</v>
      </c>
      <c r="G1176" s="0" t="n">
        <v>364</v>
      </c>
      <c r="H1176" s="0" t="n">
        <v>0</v>
      </c>
      <c r="I1176" s="0" t="n">
        <v>45</v>
      </c>
      <c r="J1176" s="0" t="n">
        <v>39</v>
      </c>
      <c r="K1176" s="0" t="n">
        <v>4.7</v>
      </c>
      <c r="L1176" s="3" t="s">
        <v>17</v>
      </c>
    </row>
    <row r="1177" customFormat="false" ht="15" hidden="false" customHeight="false" outlineLevel="0" collapsed="false">
      <c r="A1177" s="0" t="s">
        <v>1319</v>
      </c>
      <c r="B1177" s="2" t="n">
        <v>45951</v>
      </c>
      <c r="C1177" s="3" t="s">
        <v>24</v>
      </c>
      <c r="D1177" s="3" t="s">
        <v>25</v>
      </c>
      <c r="E1177" s="3" t="s">
        <v>21</v>
      </c>
      <c r="F1177" s="3" t="s">
        <v>22</v>
      </c>
      <c r="G1177" s="0" t="n">
        <v>620</v>
      </c>
      <c r="H1177" s="0" t="n">
        <v>0</v>
      </c>
      <c r="I1177" s="0" t="n">
        <v>0</v>
      </c>
      <c r="J1177" s="0" t="n">
        <v>46</v>
      </c>
      <c r="K1177" s="0" t="n">
        <v>4.2</v>
      </c>
      <c r="L1177" s="3" t="s">
        <v>17</v>
      </c>
    </row>
    <row r="1178" customFormat="false" ht="15" hidden="false" customHeight="false" outlineLevel="0" collapsed="false">
      <c r="A1178" s="0" t="s">
        <v>1320</v>
      </c>
      <c r="B1178" s="2" t="n">
        <v>45673</v>
      </c>
      <c r="C1178" s="3" t="s">
        <v>45</v>
      </c>
      <c r="D1178" s="3" t="s">
        <v>56</v>
      </c>
      <c r="E1178" s="3" t="s">
        <v>21</v>
      </c>
      <c r="F1178" s="3" t="s">
        <v>34</v>
      </c>
      <c r="G1178" s="0" t="n">
        <v>396</v>
      </c>
      <c r="H1178" s="0" t="n">
        <v>0</v>
      </c>
      <c r="I1178" s="0" t="n">
        <v>40</v>
      </c>
      <c r="J1178" s="0" t="n">
        <v>36</v>
      </c>
      <c r="K1178" s="0" t="n">
        <v>4.3</v>
      </c>
      <c r="L1178" s="3" t="s">
        <v>17</v>
      </c>
    </row>
    <row r="1179" customFormat="false" ht="15" hidden="false" customHeight="false" outlineLevel="0" collapsed="false">
      <c r="A1179" s="0" t="s">
        <v>1321</v>
      </c>
      <c r="B1179" s="2" t="n">
        <v>45910</v>
      </c>
      <c r="C1179" s="3" t="s">
        <v>24</v>
      </c>
      <c r="D1179" s="3" t="s">
        <v>25</v>
      </c>
      <c r="E1179" s="3" t="s">
        <v>15</v>
      </c>
      <c r="F1179" s="3" t="s">
        <v>16</v>
      </c>
      <c r="G1179" s="0" t="n">
        <v>314</v>
      </c>
      <c r="H1179" s="0" t="n">
        <v>68</v>
      </c>
      <c r="I1179" s="0" t="n">
        <v>30</v>
      </c>
      <c r="J1179" s="0" t="n">
        <v>33</v>
      </c>
      <c r="K1179" s="0" t="n">
        <v>4.6</v>
      </c>
      <c r="L1179" s="3" t="s">
        <v>17</v>
      </c>
    </row>
    <row r="1180" customFormat="false" ht="15" hidden="false" customHeight="false" outlineLevel="0" collapsed="false">
      <c r="A1180" s="0" t="s">
        <v>1322</v>
      </c>
      <c r="B1180" s="2" t="n">
        <v>45967</v>
      </c>
      <c r="C1180" s="3" t="s">
        <v>24</v>
      </c>
      <c r="D1180" s="3" t="s">
        <v>14</v>
      </c>
      <c r="E1180" s="3" t="s">
        <v>21</v>
      </c>
      <c r="F1180" s="3" t="s">
        <v>34</v>
      </c>
      <c r="G1180" s="0" t="n">
        <v>342</v>
      </c>
      <c r="H1180" s="0" t="n">
        <v>0</v>
      </c>
      <c r="I1180" s="0" t="n">
        <v>45</v>
      </c>
      <c r="J1180" s="0" t="n">
        <v>35</v>
      </c>
      <c r="L1180" s="3" t="s">
        <v>17</v>
      </c>
    </row>
    <row r="1181" customFormat="false" ht="15" hidden="false" customHeight="false" outlineLevel="0" collapsed="false">
      <c r="A1181" s="0" t="s">
        <v>1323</v>
      </c>
      <c r="B1181" s="2" t="n">
        <v>45730</v>
      </c>
      <c r="C1181" s="3" t="s">
        <v>24</v>
      </c>
      <c r="D1181" s="3" t="s">
        <v>56</v>
      </c>
      <c r="E1181" s="3" t="s">
        <v>15</v>
      </c>
      <c r="F1181" s="3" t="s">
        <v>36</v>
      </c>
      <c r="G1181" s="0" t="n">
        <v>344</v>
      </c>
      <c r="H1181" s="0" t="n">
        <v>0</v>
      </c>
      <c r="I1181" s="0" t="n">
        <v>30</v>
      </c>
      <c r="J1181" s="0" t="n">
        <v>39</v>
      </c>
      <c r="K1181" s="0" t="n">
        <v>4.4</v>
      </c>
      <c r="L1181" s="3" t="s">
        <v>17</v>
      </c>
    </row>
    <row r="1182" customFormat="false" ht="15" hidden="false" customHeight="false" outlineLevel="0" collapsed="false">
      <c r="A1182" s="0" t="s">
        <v>1324</v>
      </c>
      <c r="B1182" s="2" t="n">
        <v>45721</v>
      </c>
      <c r="C1182" s="3" t="s">
        <v>27</v>
      </c>
      <c r="D1182" s="3" t="s">
        <v>20</v>
      </c>
      <c r="E1182" s="3" t="s">
        <v>15</v>
      </c>
      <c r="F1182" s="3" t="s">
        <v>54</v>
      </c>
      <c r="G1182" s="0" t="n">
        <v>668</v>
      </c>
      <c r="H1182" s="0" t="n">
        <v>0</v>
      </c>
      <c r="I1182" s="0" t="n">
        <v>0</v>
      </c>
      <c r="J1182" s="0" t="n">
        <v>39</v>
      </c>
      <c r="K1182" s="0" t="n">
        <v>4.5</v>
      </c>
      <c r="L1182" s="3" t="s">
        <v>17</v>
      </c>
    </row>
    <row r="1183" customFormat="false" ht="15" hidden="false" customHeight="false" outlineLevel="0" collapsed="false">
      <c r="A1183" s="0" t="s">
        <v>1325</v>
      </c>
      <c r="B1183" s="2" t="n">
        <v>45979</v>
      </c>
      <c r="C1183" s="3" t="s">
        <v>30</v>
      </c>
      <c r="D1183" s="3" t="s">
        <v>25</v>
      </c>
      <c r="E1183" s="3" t="s">
        <v>21</v>
      </c>
      <c r="F1183" s="3" t="s">
        <v>22</v>
      </c>
      <c r="G1183" s="0" t="n">
        <v>444</v>
      </c>
      <c r="H1183" s="0" t="n">
        <v>0</v>
      </c>
      <c r="I1183" s="0" t="n">
        <v>30</v>
      </c>
      <c r="J1183" s="0" t="n">
        <v>42</v>
      </c>
      <c r="K1183" s="0" t="n">
        <v>4.3</v>
      </c>
      <c r="L1183" s="3" t="s">
        <v>17</v>
      </c>
    </row>
    <row r="1184" customFormat="false" ht="15" hidden="false" customHeight="false" outlineLevel="0" collapsed="false">
      <c r="A1184" s="0" t="s">
        <v>1326</v>
      </c>
      <c r="B1184" s="2" t="n">
        <v>45967</v>
      </c>
      <c r="C1184" s="3" t="s">
        <v>45</v>
      </c>
      <c r="D1184" s="3" t="s">
        <v>31</v>
      </c>
      <c r="E1184" s="3" t="s">
        <v>15</v>
      </c>
      <c r="F1184" s="3" t="s">
        <v>36</v>
      </c>
      <c r="G1184" s="0" t="n">
        <v>555</v>
      </c>
      <c r="H1184" s="0" t="n">
        <v>131</v>
      </c>
      <c r="I1184" s="0" t="n">
        <v>0</v>
      </c>
      <c r="J1184" s="0" t="n">
        <v>22</v>
      </c>
      <c r="K1184" s="0" t="n">
        <v>4.7</v>
      </c>
      <c r="L1184" s="3" t="s">
        <v>17</v>
      </c>
    </row>
    <row r="1185" customFormat="false" ht="15" hidden="false" customHeight="false" outlineLevel="0" collapsed="false">
      <c r="A1185" s="0" t="s">
        <v>1327</v>
      </c>
      <c r="B1185" s="2" t="n">
        <v>45871</v>
      </c>
      <c r="C1185" s="3" t="s">
        <v>40</v>
      </c>
      <c r="D1185" s="3" t="s">
        <v>56</v>
      </c>
      <c r="E1185" s="3" t="s">
        <v>21</v>
      </c>
      <c r="F1185" s="3" t="s">
        <v>22</v>
      </c>
      <c r="G1185" s="0" t="n">
        <v>287</v>
      </c>
      <c r="H1185" s="0" t="n">
        <v>0</v>
      </c>
      <c r="I1185" s="0" t="n">
        <v>30</v>
      </c>
      <c r="J1185" s="0" t="n">
        <v>40</v>
      </c>
      <c r="K1185" s="0" t="n">
        <v>4.8</v>
      </c>
      <c r="L1185" s="3" t="s">
        <v>17</v>
      </c>
    </row>
    <row r="1186" customFormat="false" ht="15" hidden="false" customHeight="false" outlineLevel="0" collapsed="false">
      <c r="A1186" s="0" t="s">
        <v>1328</v>
      </c>
      <c r="B1186" s="2" t="n">
        <v>45965</v>
      </c>
      <c r="C1186" s="3" t="s">
        <v>27</v>
      </c>
      <c r="D1186" s="3" t="s">
        <v>20</v>
      </c>
      <c r="E1186" s="3" t="s">
        <v>21</v>
      </c>
      <c r="F1186" s="3" t="s">
        <v>16</v>
      </c>
      <c r="G1186" s="0" t="n">
        <v>759</v>
      </c>
      <c r="H1186" s="0" t="n">
        <v>0</v>
      </c>
      <c r="I1186" s="0" t="n">
        <v>0</v>
      </c>
      <c r="L1186" s="3" t="s">
        <v>68</v>
      </c>
    </row>
    <row r="1187" customFormat="false" ht="15" hidden="false" customHeight="false" outlineLevel="0" collapsed="false">
      <c r="A1187" s="0" t="s">
        <v>1329</v>
      </c>
      <c r="B1187" s="2" t="n">
        <v>45698</v>
      </c>
      <c r="C1187" s="3" t="s">
        <v>27</v>
      </c>
      <c r="D1187" s="3" t="s">
        <v>56</v>
      </c>
      <c r="E1187" s="3" t="s">
        <v>21</v>
      </c>
      <c r="F1187" s="3" t="s">
        <v>22</v>
      </c>
      <c r="G1187" s="0" t="n">
        <v>476</v>
      </c>
      <c r="H1187" s="0" t="n">
        <v>60</v>
      </c>
      <c r="I1187" s="0" t="n">
        <v>30</v>
      </c>
      <c r="J1187" s="0" t="n">
        <v>40</v>
      </c>
      <c r="K1187" s="0" t="n">
        <v>3.8</v>
      </c>
      <c r="L1187" s="3" t="s">
        <v>17</v>
      </c>
    </row>
    <row r="1188" customFormat="false" ht="15" hidden="false" customHeight="false" outlineLevel="0" collapsed="false">
      <c r="A1188" s="0" t="s">
        <v>1330</v>
      </c>
      <c r="B1188" s="2" t="n">
        <v>45818</v>
      </c>
      <c r="C1188" s="3" t="s">
        <v>27</v>
      </c>
      <c r="D1188" s="3" t="s">
        <v>78</v>
      </c>
      <c r="E1188" s="3" t="s">
        <v>21</v>
      </c>
      <c r="F1188" s="3" t="s">
        <v>16</v>
      </c>
      <c r="G1188" s="0" t="n">
        <v>240</v>
      </c>
      <c r="H1188" s="0" t="n">
        <v>0</v>
      </c>
      <c r="I1188" s="0" t="n">
        <v>30</v>
      </c>
      <c r="J1188" s="0" t="n">
        <v>38</v>
      </c>
      <c r="K1188" s="0" t="n">
        <v>4.2</v>
      </c>
      <c r="L1188" s="3" t="s">
        <v>17</v>
      </c>
    </row>
    <row r="1189" customFormat="false" ht="15" hidden="false" customHeight="false" outlineLevel="0" collapsed="false">
      <c r="A1189" s="0" t="s">
        <v>1331</v>
      </c>
      <c r="B1189" s="2" t="n">
        <v>45939</v>
      </c>
      <c r="C1189" s="3" t="s">
        <v>27</v>
      </c>
      <c r="D1189" s="3" t="s">
        <v>28</v>
      </c>
      <c r="E1189" s="3" t="s">
        <v>21</v>
      </c>
      <c r="F1189" s="3" t="s">
        <v>16</v>
      </c>
      <c r="G1189" s="0" t="n">
        <v>535</v>
      </c>
      <c r="H1189" s="0" t="n">
        <v>0</v>
      </c>
      <c r="I1189" s="0" t="n">
        <v>0</v>
      </c>
      <c r="J1189" s="0" t="n">
        <v>41</v>
      </c>
      <c r="K1189" s="0" t="n">
        <v>3.8</v>
      </c>
      <c r="L1189" s="3" t="s">
        <v>17</v>
      </c>
    </row>
    <row r="1190" customFormat="false" ht="15" hidden="false" customHeight="false" outlineLevel="0" collapsed="false">
      <c r="A1190" s="0" t="s">
        <v>1332</v>
      </c>
      <c r="B1190" s="0" t="s">
        <v>1333</v>
      </c>
      <c r="C1190" s="0" t="s">
        <v>47</v>
      </c>
      <c r="D1190" s="0" t="s">
        <v>78</v>
      </c>
      <c r="E1190" s="0" t="s">
        <v>21</v>
      </c>
      <c r="F1190" s="0" t="s">
        <v>36</v>
      </c>
      <c r="G1190" s="0" t="n">
        <v>358</v>
      </c>
      <c r="H1190" s="0" t="n">
        <v>0</v>
      </c>
      <c r="I1190" s="0" t="n">
        <v>45</v>
      </c>
      <c r="L1190" s="0" t="s">
        <v>68</v>
      </c>
    </row>
    <row r="1191" customFormat="false" ht="15" hidden="false" customHeight="false" outlineLevel="0" collapsed="false">
      <c r="A1191" s="0" t="s">
        <v>1334</v>
      </c>
      <c r="B1191" s="2" t="n">
        <v>45943</v>
      </c>
      <c r="C1191" s="3" t="s">
        <v>27</v>
      </c>
      <c r="D1191" s="3" t="s">
        <v>25</v>
      </c>
      <c r="E1191" s="3" t="s">
        <v>21</v>
      </c>
      <c r="F1191" s="3" t="s">
        <v>34</v>
      </c>
      <c r="G1191" s="0" t="n">
        <v>587</v>
      </c>
      <c r="H1191" s="0" t="n">
        <v>0</v>
      </c>
      <c r="I1191" s="0" t="n">
        <v>0</v>
      </c>
      <c r="J1191" s="0" t="n">
        <v>39</v>
      </c>
      <c r="K1191" s="0" t="n">
        <v>4.8</v>
      </c>
      <c r="L1191" s="3" t="s">
        <v>17</v>
      </c>
    </row>
    <row r="1192" customFormat="false" ht="15" hidden="false" customHeight="false" outlineLevel="0" collapsed="false">
      <c r="A1192" s="0" t="s">
        <v>1335</v>
      </c>
      <c r="B1192" s="2" t="n">
        <v>45858</v>
      </c>
      <c r="C1192" s="3" t="s">
        <v>27</v>
      </c>
      <c r="D1192" s="3" t="s">
        <v>28</v>
      </c>
      <c r="E1192" s="3" t="s">
        <v>21</v>
      </c>
      <c r="F1192" s="3" t="s">
        <v>22</v>
      </c>
      <c r="G1192" s="0" t="n">
        <v>363</v>
      </c>
      <c r="H1192" s="0" t="n">
        <v>49</v>
      </c>
      <c r="I1192" s="0" t="n">
        <v>45</v>
      </c>
      <c r="J1192" s="0" t="n">
        <v>35</v>
      </c>
      <c r="K1192" s="0" t="n">
        <v>4.2</v>
      </c>
      <c r="L1192" s="3" t="s">
        <v>17</v>
      </c>
    </row>
    <row r="1193" customFormat="false" ht="15" hidden="false" customHeight="false" outlineLevel="0" collapsed="false">
      <c r="A1193" s="0" t="s">
        <v>1336</v>
      </c>
      <c r="B1193" s="0" t="s">
        <v>1337</v>
      </c>
      <c r="C1193" s="0" t="s">
        <v>27</v>
      </c>
      <c r="D1193" s="0" t="s">
        <v>20</v>
      </c>
      <c r="E1193" s="0" t="s">
        <v>21</v>
      </c>
      <c r="F1193" s="0" t="s">
        <v>22</v>
      </c>
      <c r="G1193" s="0" t="n">
        <v>776</v>
      </c>
      <c r="H1193" s="0" t="n">
        <v>81</v>
      </c>
      <c r="I1193" s="0" t="n">
        <v>0</v>
      </c>
      <c r="J1193" s="0" t="n">
        <v>50</v>
      </c>
      <c r="K1193" s="0" t="n">
        <v>3</v>
      </c>
      <c r="L1193" s="0" t="s">
        <v>17</v>
      </c>
    </row>
    <row r="1194" customFormat="false" ht="15" hidden="false" customHeight="false" outlineLevel="0" collapsed="false">
      <c r="A1194" s="0" t="s">
        <v>1338</v>
      </c>
      <c r="B1194" s="2" t="n">
        <v>45844</v>
      </c>
      <c r="C1194" s="3" t="s">
        <v>27</v>
      </c>
      <c r="D1194" s="3" t="s">
        <v>20</v>
      </c>
      <c r="E1194" s="3" t="s">
        <v>15</v>
      </c>
      <c r="F1194" s="3" t="s">
        <v>22</v>
      </c>
      <c r="G1194" s="0" t="n">
        <v>423</v>
      </c>
      <c r="H1194" s="0" t="n">
        <v>84</v>
      </c>
      <c r="I1194" s="0" t="n">
        <v>20</v>
      </c>
      <c r="J1194" s="0" t="n">
        <v>45</v>
      </c>
      <c r="L1194" s="3" t="s">
        <v>17</v>
      </c>
    </row>
    <row r="1195" customFormat="false" ht="15" hidden="false" customHeight="false" outlineLevel="0" collapsed="false">
      <c r="A1195" s="0" t="s">
        <v>1339</v>
      </c>
      <c r="B1195" s="2" t="n">
        <v>45808</v>
      </c>
      <c r="C1195" s="3" t="s">
        <v>30</v>
      </c>
      <c r="D1195" s="3" t="s">
        <v>78</v>
      </c>
      <c r="E1195" s="3" t="s">
        <v>21</v>
      </c>
      <c r="F1195" s="3" t="s">
        <v>54</v>
      </c>
      <c r="G1195" s="0" t="n">
        <v>375</v>
      </c>
      <c r="H1195" s="0" t="n">
        <v>0</v>
      </c>
      <c r="I1195" s="0" t="n">
        <v>40</v>
      </c>
      <c r="J1195" s="0" t="n">
        <v>38</v>
      </c>
      <c r="L1195" s="3" t="s">
        <v>17</v>
      </c>
    </row>
    <row r="1196" customFormat="false" ht="15" hidden="false" customHeight="false" outlineLevel="0" collapsed="false">
      <c r="A1196" s="0" t="s">
        <v>1340</v>
      </c>
      <c r="B1196" s="2" t="n">
        <v>45751</v>
      </c>
      <c r="C1196" s="3" t="s">
        <v>13</v>
      </c>
      <c r="D1196" s="3" t="s">
        <v>20</v>
      </c>
      <c r="E1196" s="3" t="s">
        <v>21</v>
      </c>
      <c r="F1196" s="3" t="s">
        <v>54</v>
      </c>
      <c r="G1196" s="0" t="n">
        <v>737</v>
      </c>
      <c r="H1196" s="0" t="n">
        <v>0</v>
      </c>
      <c r="I1196" s="0" t="n">
        <v>0</v>
      </c>
      <c r="J1196" s="0" t="n">
        <v>38</v>
      </c>
      <c r="K1196" s="0" t="n">
        <v>4.2</v>
      </c>
      <c r="L1196" s="3" t="s">
        <v>17</v>
      </c>
    </row>
    <row r="1197" customFormat="false" ht="15" hidden="false" customHeight="false" outlineLevel="0" collapsed="false">
      <c r="A1197" s="0" t="s">
        <v>1341</v>
      </c>
      <c r="B1197" s="2" t="n">
        <v>45746</v>
      </c>
      <c r="C1197" s="3" t="s">
        <v>24</v>
      </c>
      <c r="D1197" s="3" t="s">
        <v>49</v>
      </c>
      <c r="E1197" s="3" t="s">
        <v>21</v>
      </c>
      <c r="F1197" s="3" t="s">
        <v>22</v>
      </c>
      <c r="G1197" s="0" t="n">
        <v>729</v>
      </c>
      <c r="H1197" s="0" t="n">
        <v>0</v>
      </c>
      <c r="I1197" s="0" t="n">
        <v>0</v>
      </c>
      <c r="J1197" s="0" t="n">
        <v>51</v>
      </c>
      <c r="K1197" s="0" t="n">
        <v>4.2</v>
      </c>
      <c r="L1197" s="3" t="s">
        <v>17</v>
      </c>
    </row>
    <row r="1198" customFormat="false" ht="15" hidden="false" customHeight="false" outlineLevel="0" collapsed="false">
      <c r="A1198" s="0" t="s">
        <v>1342</v>
      </c>
      <c r="B1198" s="2" t="n">
        <v>45943</v>
      </c>
      <c r="C1198" s="3" t="s">
        <v>30</v>
      </c>
      <c r="D1198" s="3" t="s">
        <v>28</v>
      </c>
      <c r="E1198" s="3" t="s">
        <v>21</v>
      </c>
      <c r="F1198" s="3" t="s">
        <v>22</v>
      </c>
      <c r="G1198" s="0" t="n">
        <v>349</v>
      </c>
      <c r="H1198" s="0" t="n">
        <v>49</v>
      </c>
      <c r="I1198" s="0" t="n">
        <v>45</v>
      </c>
      <c r="J1198" s="0" t="n">
        <v>39</v>
      </c>
      <c r="K1198" s="0" t="n">
        <v>4.4</v>
      </c>
      <c r="L1198" s="3" t="s">
        <v>17</v>
      </c>
    </row>
    <row r="1199" customFormat="false" ht="15" hidden="false" customHeight="false" outlineLevel="0" collapsed="false">
      <c r="A1199" s="0" t="s">
        <v>1343</v>
      </c>
      <c r="B1199" s="2" t="n">
        <v>45709</v>
      </c>
      <c r="C1199" s="3" t="s">
        <v>45</v>
      </c>
      <c r="D1199" s="3" t="s">
        <v>31</v>
      </c>
      <c r="E1199" s="3" t="s">
        <v>21</v>
      </c>
      <c r="F1199" s="3" t="s">
        <v>16</v>
      </c>
      <c r="G1199" s="0" t="n">
        <v>664</v>
      </c>
      <c r="H1199" s="0" t="n">
        <v>0</v>
      </c>
      <c r="I1199" s="0" t="n">
        <v>0</v>
      </c>
      <c r="J1199" s="0" t="n">
        <v>25</v>
      </c>
      <c r="K1199" s="0" t="n">
        <v>4.5</v>
      </c>
      <c r="L1199" s="3" t="s">
        <v>17</v>
      </c>
    </row>
    <row r="1200" customFormat="false" ht="15" hidden="false" customHeight="false" outlineLevel="0" collapsed="false">
      <c r="A1200" s="0" t="s">
        <v>1344</v>
      </c>
      <c r="B1200" s="2" t="n">
        <v>45695</v>
      </c>
      <c r="C1200" s="3" t="s">
        <v>40</v>
      </c>
      <c r="D1200" s="3" t="s">
        <v>28</v>
      </c>
      <c r="E1200" s="3" t="s">
        <v>15</v>
      </c>
      <c r="F1200" s="3" t="s">
        <v>36</v>
      </c>
      <c r="G1200" s="0" t="n">
        <v>500</v>
      </c>
      <c r="H1200" s="0" t="n">
        <v>0</v>
      </c>
      <c r="I1200" s="0" t="n">
        <v>0</v>
      </c>
      <c r="J1200" s="0" t="n">
        <v>41</v>
      </c>
      <c r="L1200" s="3" t="s">
        <v>17</v>
      </c>
    </row>
    <row r="1201" customFormat="false" ht="15" hidden="false" customHeight="false" outlineLevel="0" collapsed="false">
      <c r="A1201" s="0" t="s">
        <v>1345</v>
      </c>
      <c r="B1201" s="2" t="n">
        <v>45733</v>
      </c>
      <c r="C1201" s="3" t="s">
        <v>800</v>
      </c>
      <c r="D1201" s="3" t="s">
        <v>56</v>
      </c>
      <c r="E1201" s="3" t="s">
        <v>21</v>
      </c>
      <c r="F1201" s="3" t="s">
        <v>22</v>
      </c>
      <c r="G1201" s="0" t="n">
        <v>300</v>
      </c>
      <c r="H1201" s="0" t="n">
        <v>0</v>
      </c>
      <c r="I1201" s="0" t="n">
        <v>20</v>
      </c>
      <c r="J1201" s="0" t="n">
        <v>38</v>
      </c>
      <c r="L1201" s="3" t="s">
        <v>17</v>
      </c>
    </row>
    <row r="1202" customFormat="false" ht="15" hidden="false" customHeight="false" outlineLevel="0" collapsed="false">
      <c r="A1202" s="0" t="s">
        <v>1346</v>
      </c>
      <c r="B1202" s="2" t="n">
        <v>45733</v>
      </c>
      <c r="C1202" s="3" t="s">
        <v>24</v>
      </c>
      <c r="D1202" s="3" t="s">
        <v>49</v>
      </c>
      <c r="E1202" s="3" t="s">
        <v>21</v>
      </c>
      <c r="F1202" s="3" t="s">
        <v>22</v>
      </c>
      <c r="G1202" s="0" t="n">
        <v>604</v>
      </c>
      <c r="H1202" s="0" t="n">
        <v>0</v>
      </c>
      <c r="I1202" s="0" t="n">
        <v>0</v>
      </c>
      <c r="J1202" s="0" t="n">
        <v>33</v>
      </c>
      <c r="K1202" s="0" t="n">
        <v>4</v>
      </c>
      <c r="L1202" s="3" t="s">
        <v>17</v>
      </c>
    </row>
    <row r="1203" customFormat="false" ht="15" hidden="false" customHeight="false" outlineLevel="0" collapsed="false">
      <c r="A1203" s="0" t="s">
        <v>1347</v>
      </c>
      <c r="B1203" s="2" t="n">
        <v>45967</v>
      </c>
      <c r="C1203" s="3" t="s">
        <v>13</v>
      </c>
      <c r="D1203" s="3" t="s">
        <v>14</v>
      </c>
      <c r="E1203" s="3" t="s">
        <v>15</v>
      </c>
      <c r="F1203" s="3" t="s">
        <v>22</v>
      </c>
      <c r="G1203" s="0" t="n">
        <v>234</v>
      </c>
      <c r="H1203" s="0" t="n">
        <v>41</v>
      </c>
      <c r="I1203" s="0" t="n">
        <v>20</v>
      </c>
      <c r="J1203" s="0" t="n">
        <v>23</v>
      </c>
      <c r="K1203" s="0" t="n">
        <v>4.4</v>
      </c>
      <c r="L1203" s="3" t="s">
        <v>17</v>
      </c>
    </row>
    <row r="1204" customFormat="false" ht="15" hidden="false" customHeight="false" outlineLevel="0" collapsed="false">
      <c r="A1204" s="0" t="s">
        <v>1348</v>
      </c>
      <c r="B1204" s="2" t="n">
        <v>45820</v>
      </c>
      <c r="C1204" s="3" t="s">
        <v>24</v>
      </c>
      <c r="D1204" s="3" t="s">
        <v>31</v>
      </c>
      <c r="E1204" s="3" t="s">
        <v>15</v>
      </c>
      <c r="F1204" s="3" t="s">
        <v>22</v>
      </c>
      <c r="G1204" s="0" t="n">
        <v>626</v>
      </c>
      <c r="H1204" s="0" t="n">
        <v>0</v>
      </c>
      <c r="I1204" s="0" t="n">
        <v>0</v>
      </c>
      <c r="J1204" s="0" t="n">
        <v>34</v>
      </c>
      <c r="K1204" s="0" t="n">
        <v>4.6</v>
      </c>
      <c r="L1204" s="3" t="s">
        <v>17</v>
      </c>
    </row>
    <row r="1205" customFormat="false" ht="15" hidden="false" customHeight="false" outlineLevel="0" collapsed="false">
      <c r="A1205" s="0" t="s">
        <v>1349</v>
      </c>
      <c r="B1205" s="0" t="s">
        <v>1350</v>
      </c>
      <c r="C1205" s="0" t="s">
        <v>13</v>
      </c>
      <c r="D1205" s="0" t="s">
        <v>31</v>
      </c>
      <c r="E1205" s="0" t="s">
        <v>15</v>
      </c>
      <c r="F1205" s="0" t="s">
        <v>22</v>
      </c>
      <c r="G1205" s="0" t="n">
        <v>726</v>
      </c>
      <c r="H1205" s="0" t="n">
        <v>0</v>
      </c>
      <c r="I1205" s="0" t="n">
        <v>0</v>
      </c>
      <c r="J1205" s="0" t="n">
        <v>37</v>
      </c>
      <c r="K1205" s="0" t="n">
        <v>4.4</v>
      </c>
      <c r="L1205" s="0" t="s">
        <v>17</v>
      </c>
    </row>
    <row r="1206" customFormat="false" ht="15" hidden="false" customHeight="false" outlineLevel="0" collapsed="false">
      <c r="A1206" s="0" t="s">
        <v>1351</v>
      </c>
      <c r="B1206" s="0" t="s">
        <v>1352</v>
      </c>
      <c r="C1206" s="0" t="s">
        <v>24</v>
      </c>
      <c r="D1206" s="0" t="s">
        <v>31</v>
      </c>
      <c r="E1206" s="0" t="s">
        <v>21</v>
      </c>
      <c r="F1206" s="0" t="s">
        <v>22</v>
      </c>
      <c r="H1206" s="0" t="n">
        <v>0</v>
      </c>
      <c r="I1206" s="0" t="n">
        <v>45</v>
      </c>
      <c r="J1206" s="0" t="n">
        <v>36</v>
      </c>
      <c r="K1206" s="0" t="n">
        <v>4.7</v>
      </c>
      <c r="L1206" s="0" t="s">
        <v>17</v>
      </c>
    </row>
    <row r="1207" customFormat="false" ht="15" hidden="false" customHeight="false" outlineLevel="0" collapsed="false">
      <c r="A1207" s="0" t="s">
        <v>1353</v>
      </c>
      <c r="B1207" s="2" t="n">
        <v>45911</v>
      </c>
      <c r="C1207" s="3" t="s">
        <v>27</v>
      </c>
      <c r="D1207" s="3" t="s">
        <v>56</v>
      </c>
      <c r="E1207" s="3" t="s">
        <v>21</v>
      </c>
      <c r="F1207" s="3" t="s">
        <v>34</v>
      </c>
      <c r="G1207" s="0" t="n">
        <v>320</v>
      </c>
      <c r="H1207" s="0" t="n">
        <v>0</v>
      </c>
      <c r="I1207" s="0" t="n">
        <v>20</v>
      </c>
      <c r="J1207" s="0" t="n">
        <v>34</v>
      </c>
      <c r="K1207" s="0" t="n">
        <v>4.1</v>
      </c>
      <c r="L1207" s="3" t="s">
        <v>17</v>
      </c>
    </row>
    <row r="1208" customFormat="false" ht="15" hidden="false" customHeight="false" outlineLevel="0" collapsed="false">
      <c r="A1208" s="0" t="s">
        <v>1354</v>
      </c>
      <c r="B1208" s="2" t="n">
        <v>45838</v>
      </c>
      <c r="C1208" s="3" t="s">
        <v>51</v>
      </c>
      <c r="D1208" s="3" t="s">
        <v>31</v>
      </c>
      <c r="E1208" s="3" t="s">
        <v>21</v>
      </c>
      <c r="F1208" s="3" t="s">
        <v>16</v>
      </c>
      <c r="G1208" s="0" t="n">
        <v>406</v>
      </c>
      <c r="H1208" s="0" t="n">
        <v>0</v>
      </c>
      <c r="I1208" s="0" t="n">
        <v>45</v>
      </c>
      <c r="J1208" s="0" t="n">
        <v>24</v>
      </c>
      <c r="K1208" s="0" t="n">
        <v>5</v>
      </c>
      <c r="L1208" s="3" t="s">
        <v>17</v>
      </c>
    </row>
    <row r="1209" customFormat="false" ht="15" hidden="false" customHeight="false" outlineLevel="0" collapsed="false">
      <c r="A1209" s="0" t="s">
        <v>1355</v>
      </c>
      <c r="B1209" s="2" t="n">
        <v>45818</v>
      </c>
      <c r="C1209" s="3" t="s">
        <v>24</v>
      </c>
      <c r="D1209" s="3" t="s">
        <v>28</v>
      </c>
      <c r="E1209" s="3" t="s">
        <v>15</v>
      </c>
      <c r="F1209" s="3" t="s">
        <v>22</v>
      </c>
      <c r="G1209" s="0" t="n">
        <v>523</v>
      </c>
      <c r="H1209" s="0" t="n">
        <v>0</v>
      </c>
      <c r="I1209" s="0" t="n">
        <v>0</v>
      </c>
      <c r="J1209" s="0" t="n">
        <v>51</v>
      </c>
      <c r="K1209" s="0" t="n">
        <v>4.2</v>
      </c>
      <c r="L1209" s="3" t="s">
        <v>17</v>
      </c>
    </row>
    <row r="1210" customFormat="false" ht="15" hidden="false" customHeight="false" outlineLevel="0" collapsed="false">
      <c r="A1210" s="0" t="s">
        <v>1356</v>
      </c>
      <c r="B1210" s="2" t="n">
        <v>45983</v>
      </c>
      <c r="C1210" s="3" t="s">
        <v>45</v>
      </c>
      <c r="D1210" s="3" t="s">
        <v>20</v>
      </c>
      <c r="E1210" s="3" t="s">
        <v>21</v>
      </c>
      <c r="F1210" s="3" t="s">
        <v>16</v>
      </c>
      <c r="G1210" s="0" t="n">
        <v>522</v>
      </c>
      <c r="H1210" s="0" t="n">
        <v>0</v>
      </c>
      <c r="I1210" s="0" t="n">
        <v>0</v>
      </c>
      <c r="J1210" s="0" t="n">
        <v>32</v>
      </c>
      <c r="K1210" s="0" t="n">
        <v>4.4</v>
      </c>
      <c r="L1210" s="3" t="s">
        <v>17</v>
      </c>
    </row>
    <row r="1211" customFormat="false" ht="15" hidden="false" customHeight="false" outlineLevel="0" collapsed="false">
      <c r="A1211" s="0" t="s">
        <v>1357</v>
      </c>
      <c r="B1211" s="2" t="n">
        <v>46015</v>
      </c>
      <c r="C1211" s="3" t="s">
        <v>19</v>
      </c>
      <c r="D1211" s="3" t="s">
        <v>14</v>
      </c>
      <c r="E1211" s="3" t="s">
        <v>21</v>
      </c>
      <c r="F1211" s="3" t="s">
        <v>16</v>
      </c>
      <c r="G1211" s="0" t="n">
        <v>251</v>
      </c>
      <c r="H1211" s="0" t="n">
        <v>0</v>
      </c>
      <c r="I1211" s="0" t="n">
        <v>45</v>
      </c>
      <c r="J1211" s="0" t="n">
        <v>22</v>
      </c>
      <c r="K1211" s="0" t="n">
        <v>4.9</v>
      </c>
      <c r="L1211" s="3" t="s">
        <v>17</v>
      </c>
    </row>
    <row r="1212" customFormat="false" ht="15" hidden="false" customHeight="false" outlineLevel="0" collapsed="false">
      <c r="A1212" s="0" t="s">
        <v>1358</v>
      </c>
      <c r="B1212" s="2" t="n">
        <v>45983</v>
      </c>
      <c r="C1212" s="3" t="s">
        <v>60</v>
      </c>
      <c r="D1212" s="3" t="s">
        <v>25</v>
      </c>
      <c r="E1212" s="3" t="s">
        <v>21</v>
      </c>
      <c r="F1212" s="3" t="s">
        <v>36</v>
      </c>
      <c r="G1212" s="0" t="n">
        <v>633</v>
      </c>
      <c r="H1212" s="0" t="n">
        <v>0</v>
      </c>
      <c r="I1212" s="0" t="n">
        <v>0</v>
      </c>
      <c r="J1212" s="0" t="n">
        <v>33</v>
      </c>
      <c r="K1212" s="0" t="n">
        <v>4</v>
      </c>
      <c r="L1212" s="3" t="s">
        <v>17</v>
      </c>
    </row>
    <row r="1213" customFormat="false" ht="15" hidden="false" customHeight="false" outlineLevel="0" collapsed="false">
      <c r="A1213" s="0" t="s">
        <v>1359</v>
      </c>
      <c r="B1213" s="2" t="n">
        <v>45739</v>
      </c>
      <c r="C1213" s="3" t="s">
        <v>40</v>
      </c>
      <c r="D1213" s="3" t="s">
        <v>56</v>
      </c>
      <c r="E1213" s="3" t="s">
        <v>15</v>
      </c>
      <c r="F1213" s="3" t="s">
        <v>54</v>
      </c>
      <c r="G1213" s="0" t="n">
        <v>309</v>
      </c>
      <c r="H1213" s="0" t="n">
        <v>0</v>
      </c>
      <c r="I1213" s="0" t="n">
        <v>45</v>
      </c>
      <c r="J1213" s="0" t="n">
        <v>53</v>
      </c>
      <c r="K1213" s="0" t="n">
        <v>2.8</v>
      </c>
      <c r="L1213" s="3" t="s">
        <v>17</v>
      </c>
    </row>
    <row r="1214" customFormat="false" ht="15" hidden="false" customHeight="false" outlineLevel="0" collapsed="false">
      <c r="A1214" s="0" t="s">
        <v>1360</v>
      </c>
      <c r="B1214" s="2" t="n">
        <v>45751</v>
      </c>
      <c r="C1214" s="3" t="s">
        <v>30</v>
      </c>
      <c r="D1214" s="3" t="s">
        <v>31</v>
      </c>
      <c r="E1214" s="3" t="s">
        <v>15</v>
      </c>
      <c r="F1214" s="3" t="s">
        <v>22</v>
      </c>
      <c r="G1214" s="0" t="n">
        <v>384</v>
      </c>
      <c r="H1214" s="0" t="n">
        <v>0</v>
      </c>
      <c r="I1214" s="0" t="n">
        <v>20</v>
      </c>
      <c r="J1214" s="0" t="n">
        <v>35</v>
      </c>
      <c r="K1214" s="0" t="n">
        <v>4</v>
      </c>
      <c r="L1214" s="3" t="s">
        <v>17</v>
      </c>
    </row>
    <row r="1215" customFormat="false" ht="15" hidden="false" customHeight="false" outlineLevel="0" collapsed="false">
      <c r="A1215" s="0" t="s">
        <v>1361</v>
      </c>
      <c r="B1215" s="2" t="n">
        <v>45912</v>
      </c>
      <c r="C1215" s="3" t="s">
        <v>40</v>
      </c>
      <c r="D1215" s="3" t="s">
        <v>14</v>
      </c>
      <c r="E1215" s="3" t="s">
        <v>21</v>
      </c>
      <c r="F1215" s="3" t="s">
        <v>54</v>
      </c>
      <c r="G1215" s="0" t="n">
        <v>194</v>
      </c>
      <c r="H1215" s="0" t="n">
        <v>0</v>
      </c>
      <c r="I1215" s="0" t="n">
        <v>40</v>
      </c>
      <c r="J1215" s="0" t="n">
        <v>18</v>
      </c>
      <c r="L1215" s="3" t="s">
        <v>17</v>
      </c>
    </row>
    <row r="1216" customFormat="false" ht="15" hidden="false" customHeight="false" outlineLevel="0" collapsed="false">
      <c r="A1216" s="0" t="s">
        <v>1362</v>
      </c>
      <c r="B1216" s="2" t="n">
        <v>45779</v>
      </c>
      <c r="C1216" s="3" t="s">
        <v>24</v>
      </c>
      <c r="D1216" s="3" t="s">
        <v>31</v>
      </c>
      <c r="E1216" s="3" t="s">
        <v>21</v>
      </c>
      <c r="F1216" s="3" t="s">
        <v>36</v>
      </c>
      <c r="G1216" s="0" t="n">
        <v>588</v>
      </c>
      <c r="H1216" s="0" t="n">
        <v>0</v>
      </c>
      <c r="I1216" s="0" t="n">
        <v>0</v>
      </c>
      <c r="J1216" s="0" t="n">
        <v>55</v>
      </c>
      <c r="K1216" s="0" t="n">
        <v>3.8</v>
      </c>
      <c r="L1216" s="3" t="s">
        <v>17</v>
      </c>
    </row>
    <row r="1217" customFormat="false" ht="15" hidden="false" customHeight="false" outlineLevel="0" collapsed="false">
      <c r="A1217" s="0" t="s">
        <v>1363</v>
      </c>
      <c r="B1217" s="2" t="n">
        <v>45938</v>
      </c>
      <c r="C1217" s="3" t="s">
        <v>45</v>
      </c>
      <c r="D1217" s="3" t="s">
        <v>31</v>
      </c>
      <c r="E1217" s="3" t="s">
        <v>15</v>
      </c>
      <c r="F1217" s="3" t="s">
        <v>36</v>
      </c>
      <c r="G1217" s="0" t="n">
        <v>404</v>
      </c>
      <c r="H1217" s="0" t="n">
        <v>68</v>
      </c>
      <c r="I1217" s="0" t="n">
        <v>40</v>
      </c>
      <c r="J1217" s="0" t="n">
        <v>17</v>
      </c>
      <c r="K1217" s="0" t="n">
        <v>4.7</v>
      </c>
      <c r="L1217" s="3" t="s">
        <v>17</v>
      </c>
    </row>
    <row r="1218" customFormat="false" ht="15" hidden="false" customHeight="false" outlineLevel="0" collapsed="false">
      <c r="A1218" s="0" t="s">
        <v>1364</v>
      </c>
      <c r="B1218" s="2" t="n">
        <v>45880</v>
      </c>
      <c r="C1218" s="3" t="s">
        <v>13</v>
      </c>
      <c r="D1218" s="3" t="s">
        <v>25</v>
      </c>
      <c r="E1218" s="3" t="s">
        <v>21</v>
      </c>
      <c r="F1218" s="3" t="s">
        <v>22</v>
      </c>
      <c r="G1218" s="0" t="n">
        <v>611</v>
      </c>
      <c r="H1218" s="0" t="n">
        <v>0</v>
      </c>
      <c r="I1218" s="0" t="n">
        <v>0</v>
      </c>
      <c r="J1218" s="0" t="n">
        <v>32</v>
      </c>
      <c r="L1218" s="3" t="s">
        <v>17</v>
      </c>
    </row>
    <row r="1219" customFormat="false" ht="15" hidden="false" customHeight="false" outlineLevel="0" collapsed="false">
      <c r="A1219" s="0" t="s">
        <v>1365</v>
      </c>
      <c r="B1219" s="2" t="n">
        <v>45875</v>
      </c>
      <c r="C1219" s="3" t="s">
        <v>27</v>
      </c>
      <c r="D1219" s="3" t="s">
        <v>14</v>
      </c>
      <c r="E1219" s="3" t="s">
        <v>15</v>
      </c>
      <c r="F1219" s="3" t="s">
        <v>22</v>
      </c>
      <c r="G1219" s="0" t="n">
        <v>221</v>
      </c>
      <c r="H1219" s="0" t="n">
        <v>0</v>
      </c>
      <c r="I1219" s="0" t="n">
        <v>40</v>
      </c>
      <c r="J1219" s="0" t="n">
        <v>34</v>
      </c>
      <c r="K1219" s="0" t="n">
        <v>3.3</v>
      </c>
      <c r="L1219" s="3" t="s">
        <v>17</v>
      </c>
    </row>
    <row r="1220" customFormat="false" ht="15" hidden="false" customHeight="false" outlineLevel="0" collapsed="false">
      <c r="A1220" s="0" t="s">
        <v>1366</v>
      </c>
      <c r="B1220" s="2" t="n">
        <v>45969</v>
      </c>
      <c r="C1220" s="3" t="s">
        <v>24</v>
      </c>
      <c r="D1220" s="3" t="s">
        <v>31</v>
      </c>
      <c r="E1220" s="3" t="s">
        <v>15</v>
      </c>
      <c r="F1220" s="3" t="s">
        <v>22</v>
      </c>
      <c r="G1220" s="0" t="n">
        <v>514</v>
      </c>
      <c r="H1220" s="0" t="n">
        <v>105</v>
      </c>
      <c r="I1220" s="0" t="n">
        <v>0</v>
      </c>
      <c r="L1220" s="3" t="s">
        <v>68</v>
      </c>
    </row>
    <row r="1221" customFormat="false" ht="15" hidden="false" customHeight="false" outlineLevel="0" collapsed="false">
      <c r="A1221" s="0" t="s">
        <v>1367</v>
      </c>
      <c r="B1221" s="2" t="n">
        <v>45930</v>
      </c>
      <c r="C1221" s="3" t="s">
        <v>30</v>
      </c>
      <c r="D1221" s="3" t="s">
        <v>20</v>
      </c>
      <c r="E1221" s="3" t="s">
        <v>21</v>
      </c>
      <c r="F1221" s="3" t="s">
        <v>54</v>
      </c>
      <c r="G1221" s="0" t="n">
        <v>546</v>
      </c>
      <c r="H1221" s="0" t="n">
        <v>0</v>
      </c>
      <c r="I1221" s="0" t="n">
        <v>0</v>
      </c>
      <c r="J1221" s="0" t="n">
        <v>33</v>
      </c>
      <c r="K1221" s="0" t="n">
        <v>4.2</v>
      </c>
      <c r="L1221" s="3" t="s">
        <v>17</v>
      </c>
    </row>
    <row r="1222" customFormat="false" ht="15" hidden="false" customHeight="false" outlineLevel="0" collapsed="false">
      <c r="A1222" s="0" t="s">
        <v>1368</v>
      </c>
      <c r="B1222" s="2" t="n">
        <v>45669</v>
      </c>
      <c r="C1222" s="3" t="s">
        <v>13</v>
      </c>
      <c r="D1222" s="3" t="s">
        <v>28</v>
      </c>
      <c r="E1222" s="3" t="s">
        <v>21</v>
      </c>
      <c r="F1222" s="3" t="s">
        <v>34</v>
      </c>
      <c r="G1222" s="0" t="n">
        <v>520</v>
      </c>
      <c r="H1222" s="0" t="n">
        <v>0</v>
      </c>
      <c r="I1222" s="0" t="n">
        <v>0</v>
      </c>
      <c r="J1222" s="0" t="n">
        <v>19</v>
      </c>
      <c r="K1222" s="0" t="n">
        <v>4.5</v>
      </c>
      <c r="L1222" s="3" t="s">
        <v>17</v>
      </c>
    </row>
    <row r="1223" customFormat="false" ht="15" hidden="false" customHeight="false" outlineLevel="0" collapsed="false">
      <c r="A1223" s="0" t="s">
        <v>1369</v>
      </c>
      <c r="B1223" s="2" t="n">
        <v>45679</v>
      </c>
      <c r="C1223" s="3" t="s">
        <v>27</v>
      </c>
      <c r="D1223" s="3" t="s">
        <v>28</v>
      </c>
      <c r="E1223" s="3" t="s">
        <v>21</v>
      </c>
      <c r="F1223" s="3" t="s">
        <v>22</v>
      </c>
      <c r="G1223" s="0" t="n">
        <v>464</v>
      </c>
      <c r="H1223" s="0" t="n">
        <v>0</v>
      </c>
      <c r="I1223" s="0" t="n">
        <v>40</v>
      </c>
      <c r="J1223" s="0" t="n">
        <v>41</v>
      </c>
      <c r="K1223" s="0" t="n">
        <v>3.8</v>
      </c>
      <c r="L1223" s="3" t="s">
        <v>17</v>
      </c>
    </row>
    <row r="1224" customFormat="false" ht="15" hidden="false" customHeight="false" outlineLevel="0" collapsed="false">
      <c r="A1224" s="0" t="s">
        <v>1370</v>
      </c>
      <c r="B1224" s="0" t="s">
        <v>320</v>
      </c>
      <c r="C1224" s="0" t="s">
        <v>45</v>
      </c>
      <c r="D1224" s="0" t="s">
        <v>31</v>
      </c>
      <c r="E1224" s="0" t="s">
        <v>21</v>
      </c>
      <c r="F1224" s="0" t="s">
        <v>16</v>
      </c>
      <c r="G1224" s="0" t="n">
        <v>576</v>
      </c>
      <c r="H1224" s="0" t="n">
        <v>0</v>
      </c>
      <c r="I1224" s="0" t="n">
        <v>0</v>
      </c>
      <c r="J1224" s="0" t="n">
        <v>38</v>
      </c>
      <c r="K1224" s="0" t="n">
        <v>4.8</v>
      </c>
      <c r="L1224" s="0" t="s">
        <v>17</v>
      </c>
    </row>
    <row r="1225" customFormat="false" ht="15" hidden="false" customHeight="false" outlineLevel="0" collapsed="false">
      <c r="A1225" s="0" t="s">
        <v>1371</v>
      </c>
      <c r="B1225" s="2" t="n">
        <v>45852</v>
      </c>
      <c r="C1225" s="3" t="s">
        <v>24</v>
      </c>
      <c r="D1225" s="3" t="s">
        <v>31</v>
      </c>
      <c r="E1225" s="3" t="s">
        <v>21</v>
      </c>
      <c r="F1225" s="3" t="s">
        <v>22</v>
      </c>
      <c r="G1225" s="0" t="n">
        <v>470</v>
      </c>
      <c r="H1225" s="0" t="n">
        <v>0</v>
      </c>
      <c r="I1225" s="0" t="n">
        <v>40</v>
      </c>
      <c r="J1225" s="0" t="n">
        <v>30</v>
      </c>
      <c r="K1225" s="0" t="n">
        <v>4.8</v>
      </c>
      <c r="L1225" s="3" t="s">
        <v>17</v>
      </c>
    </row>
    <row r="1226" customFormat="false" ht="15" hidden="false" customHeight="false" outlineLevel="0" collapsed="false">
      <c r="A1226" s="0" t="s">
        <v>1372</v>
      </c>
      <c r="B1226" s="0" t="s">
        <v>1373</v>
      </c>
      <c r="C1226" s="0" t="s">
        <v>40</v>
      </c>
      <c r="D1226" s="0" t="s">
        <v>56</v>
      </c>
      <c r="E1226" s="0" t="s">
        <v>15</v>
      </c>
      <c r="F1226" s="0" t="s">
        <v>22</v>
      </c>
      <c r="G1226" s="0" t="n">
        <v>387</v>
      </c>
      <c r="H1226" s="0" t="n">
        <v>85</v>
      </c>
      <c r="I1226" s="0" t="n">
        <v>20</v>
      </c>
      <c r="J1226" s="0" t="n">
        <v>28</v>
      </c>
      <c r="K1226" s="0" t="n">
        <v>4</v>
      </c>
      <c r="L1226" s="0" t="s">
        <v>17</v>
      </c>
    </row>
    <row r="1227" customFormat="false" ht="15" hidden="false" customHeight="false" outlineLevel="0" collapsed="false">
      <c r="A1227" s="0" t="s">
        <v>1374</v>
      </c>
      <c r="B1227" s="2" t="n">
        <v>45828</v>
      </c>
      <c r="C1227" s="3" t="s">
        <v>13</v>
      </c>
      <c r="D1227" s="3" t="s">
        <v>25</v>
      </c>
      <c r="E1227" s="3" t="s">
        <v>21</v>
      </c>
      <c r="F1227" s="3" t="s">
        <v>34</v>
      </c>
      <c r="G1227" s="0" t="n">
        <v>355</v>
      </c>
      <c r="H1227" s="0" t="n">
        <v>0</v>
      </c>
      <c r="I1227" s="0" t="n">
        <v>45</v>
      </c>
      <c r="J1227" s="0" t="n">
        <v>32</v>
      </c>
      <c r="K1227" s="0" t="n">
        <v>4.9</v>
      </c>
      <c r="L1227" s="3" t="s">
        <v>17</v>
      </c>
    </row>
    <row r="1228" customFormat="false" ht="15" hidden="false" customHeight="false" outlineLevel="0" collapsed="false">
      <c r="A1228" s="0" t="s">
        <v>1375</v>
      </c>
      <c r="B1228" s="2" t="n">
        <v>45946</v>
      </c>
      <c r="C1228" s="3" t="s">
        <v>19</v>
      </c>
      <c r="D1228" s="3" t="s">
        <v>28</v>
      </c>
      <c r="E1228" s="3" t="s">
        <v>21</v>
      </c>
      <c r="F1228" s="3" t="s">
        <v>16</v>
      </c>
      <c r="G1228" s="0" t="n">
        <v>546</v>
      </c>
      <c r="H1228" s="0" t="n">
        <v>121</v>
      </c>
      <c r="I1228" s="0" t="n">
        <v>0</v>
      </c>
      <c r="J1228" s="0" t="n">
        <v>26</v>
      </c>
      <c r="K1228" s="0" t="n">
        <v>4.4</v>
      </c>
      <c r="L1228" s="3" t="s">
        <v>17</v>
      </c>
    </row>
    <row r="1229" customFormat="false" ht="15" hidden="false" customHeight="false" outlineLevel="0" collapsed="false">
      <c r="A1229" s="0" t="s">
        <v>1376</v>
      </c>
      <c r="B1229" s="2" t="n">
        <v>45968</v>
      </c>
      <c r="C1229" s="3" t="s">
        <v>24</v>
      </c>
      <c r="D1229" s="3" t="s">
        <v>25</v>
      </c>
      <c r="E1229" s="3" t="s">
        <v>21</v>
      </c>
      <c r="F1229" s="3" t="s">
        <v>36</v>
      </c>
      <c r="G1229" s="0" t="n">
        <v>482</v>
      </c>
      <c r="H1229" s="0" t="n">
        <v>74</v>
      </c>
      <c r="I1229" s="0" t="n">
        <v>40</v>
      </c>
      <c r="J1229" s="0" t="n">
        <v>32</v>
      </c>
      <c r="K1229" s="0" t="n">
        <v>4</v>
      </c>
      <c r="L1229" s="3" t="s">
        <v>17</v>
      </c>
    </row>
    <row r="1230" customFormat="false" ht="15" hidden="false" customHeight="false" outlineLevel="0" collapsed="false">
      <c r="A1230" s="0" t="s">
        <v>1377</v>
      </c>
      <c r="B1230" s="2" t="n">
        <v>45879</v>
      </c>
      <c r="C1230" s="3" t="s">
        <v>24</v>
      </c>
      <c r="D1230" s="3" t="s">
        <v>56</v>
      </c>
      <c r="E1230" s="3" t="s">
        <v>21</v>
      </c>
      <c r="F1230" s="3" t="s">
        <v>34</v>
      </c>
      <c r="G1230" s="0" t="n">
        <v>385</v>
      </c>
      <c r="H1230" s="0" t="n">
        <v>0</v>
      </c>
      <c r="I1230" s="0" t="n">
        <v>30</v>
      </c>
      <c r="J1230" s="0" t="n">
        <v>28</v>
      </c>
      <c r="K1230" s="0" t="n">
        <v>4.3</v>
      </c>
      <c r="L1230" s="3" t="s">
        <v>17</v>
      </c>
    </row>
    <row r="1231" customFormat="false" ht="15" hidden="false" customHeight="false" outlineLevel="0" collapsed="false">
      <c r="A1231" s="0" t="s">
        <v>1378</v>
      </c>
      <c r="B1231" s="2" t="n">
        <v>45815</v>
      </c>
      <c r="C1231" s="3" t="s">
        <v>40</v>
      </c>
      <c r="D1231" s="3" t="s">
        <v>31</v>
      </c>
      <c r="E1231" s="3" t="s">
        <v>21</v>
      </c>
      <c r="F1231" s="3" t="s">
        <v>34</v>
      </c>
      <c r="G1231" s="0" t="n">
        <v>527</v>
      </c>
      <c r="H1231" s="0" t="n">
        <v>0</v>
      </c>
      <c r="I1231" s="0" t="n">
        <v>0</v>
      </c>
      <c r="J1231" s="0" t="n">
        <v>42</v>
      </c>
      <c r="K1231" s="0" t="n">
        <v>3.7</v>
      </c>
      <c r="L1231" s="3" t="s">
        <v>17</v>
      </c>
    </row>
    <row r="1232" customFormat="false" ht="15" hidden="false" customHeight="false" outlineLevel="0" collapsed="false">
      <c r="A1232" s="0" t="s">
        <v>1379</v>
      </c>
      <c r="B1232" s="2" t="n">
        <v>45771</v>
      </c>
      <c r="C1232" s="3" t="s">
        <v>45</v>
      </c>
      <c r="D1232" s="3" t="s">
        <v>20</v>
      </c>
      <c r="E1232" s="3" t="s">
        <v>15</v>
      </c>
      <c r="F1232" s="3" t="s">
        <v>36</v>
      </c>
      <c r="G1232" s="0" t="n">
        <v>514</v>
      </c>
      <c r="H1232" s="0" t="n">
        <v>116</v>
      </c>
      <c r="I1232" s="0" t="n">
        <v>0</v>
      </c>
      <c r="J1232" s="0" t="n">
        <v>34</v>
      </c>
      <c r="K1232" s="0" t="n">
        <v>3.6</v>
      </c>
      <c r="L1232" s="3" t="s">
        <v>17</v>
      </c>
    </row>
    <row r="1233" customFormat="false" ht="15" hidden="false" customHeight="false" outlineLevel="0" collapsed="false">
      <c r="A1233" s="0" t="s">
        <v>1380</v>
      </c>
      <c r="B1233" s="2" t="n">
        <v>45865</v>
      </c>
      <c r="C1233" s="3" t="s">
        <v>24</v>
      </c>
      <c r="D1233" s="3" t="s">
        <v>31</v>
      </c>
      <c r="E1233" s="3" t="s">
        <v>15</v>
      </c>
      <c r="F1233" s="3" t="s">
        <v>22</v>
      </c>
      <c r="G1233" s="0" t="n">
        <v>508</v>
      </c>
      <c r="H1233" s="0" t="n">
        <v>110</v>
      </c>
      <c r="I1233" s="0" t="n">
        <v>0</v>
      </c>
      <c r="J1233" s="0" t="n">
        <v>29</v>
      </c>
      <c r="K1233" s="0" t="n">
        <v>4.8</v>
      </c>
      <c r="L1233" s="3" t="s">
        <v>17</v>
      </c>
    </row>
    <row r="1234" customFormat="false" ht="15" hidden="false" customHeight="false" outlineLevel="0" collapsed="false">
      <c r="A1234" s="0" t="s">
        <v>1381</v>
      </c>
      <c r="B1234" s="2" t="n">
        <v>45788</v>
      </c>
      <c r="C1234" s="3" t="s">
        <v>27</v>
      </c>
      <c r="D1234" s="3" t="s">
        <v>28</v>
      </c>
      <c r="E1234" s="3" t="s">
        <v>21</v>
      </c>
      <c r="F1234" s="3" t="s">
        <v>36</v>
      </c>
      <c r="G1234" s="0" t="n">
        <v>459</v>
      </c>
      <c r="H1234" s="0" t="n">
        <v>0</v>
      </c>
      <c r="I1234" s="0" t="n">
        <v>30</v>
      </c>
      <c r="J1234" s="0" t="n">
        <v>36</v>
      </c>
      <c r="K1234" s="0" t="n">
        <v>4.1</v>
      </c>
      <c r="L1234" s="3" t="s">
        <v>17</v>
      </c>
    </row>
    <row r="1235" customFormat="false" ht="15" hidden="false" customHeight="false" outlineLevel="0" collapsed="false">
      <c r="A1235" s="0" t="s">
        <v>1382</v>
      </c>
      <c r="B1235" s="2" t="n">
        <v>45879</v>
      </c>
      <c r="C1235" s="3" t="s">
        <v>19</v>
      </c>
      <c r="D1235" s="3" t="s">
        <v>31</v>
      </c>
      <c r="E1235" s="3" t="s">
        <v>21</v>
      </c>
      <c r="F1235" s="3" t="s">
        <v>36</v>
      </c>
      <c r="G1235" s="0" t="n">
        <v>498</v>
      </c>
      <c r="H1235" s="0" t="n">
        <v>0</v>
      </c>
      <c r="I1235" s="0" t="n">
        <v>30</v>
      </c>
      <c r="J1235" s="0" t="n">
        <v>29</v>
      </c>
      <c r="K1235" s="0" t="n">
        <v>4.7</v>
      </c>
      <c r="L1235" s="3" t="s">
        <v>17</v>
      </c>
    </row>
    <row r="1236" customFormat="false" ht="15" hidden="false" customHeight="false" outlineLevel="0" collapsed="false">
      <c r="A1236" s="0" t="s">
        <v>1383</v>
      </c>
      <c r="B1236" s="2" t="n">
        <v>45919</v>
      </c>
      <c r="C1236" s="3" t="s">
        <v>40</v>
      </c>
      <c r="D1236" s="3" t="s">
        <v>78</v>
      </c>
      <c r="E1236" s="3" t="s">
        <v>15</v>
      </c>
      <c r="F1236" s="3" t="s">
        <v>22</v>
      </c>
      <c r="G1236" s="0" t="n">
        <v>248</v>
      </c>
      <c r="H1236" s="0" t="n">
        <v>0</v>
      </c>
      <c r="I1236" s="0" t="n">
        <v>30</v>
      </c>
      <c r="J1236" s="0" t="n">
        <v>31</v>
      </c>
      <c r="K1236" s="0" t="n">
        <v>4.5</v>
      </c>
      <c r="L1236" s="3" t="s">
        <v>17</v>
      </c>
    </row>
    <row r="1237" customFormat="false" ht="15" hidden="false" customHeight="false" outlineLevel="0" collapsed="false">
      <c r="A1237" s="0" t="s">
        <v>1384</v>
      </c>
      <c r="B1237" s="2" t="n">
        <v>45687</v>
      </c>
      <c r="C1237" s="3" t="s">
        <v>27</v>
      </c>
      <c r="D1237" s="3" t="s">
        <v>28</v>
      </c>
      <c r="E1237" s="3" t="s">
        <v>15</v>
      </c>
      <c r="F1237" s="3" t="s">
        <v>22</v>
      </c>
      <c r="G1237" s="0" t="n">
        <v>414</v>
      </c>
      <c r="H1237" s="0" t="n">
        <v>55</v>
      </c>
      <c r="I1237" s="0" t="n">
        <v>20</v>
      </c>
      <c r="J1237" s="0" t="n">
        <v>43</v>
      </c>
      <c r="K1237" s="0" t="n">
        <v>4.3</v>
      </c>
      <c r="L1237" s="3" t="s">
        <v>17</v>
      </c>
    </row>
    <row r="1238" customFormat="false" ht="15" hidden="false" customHeight="false" outlineLevel="0" collapsed="false">
      <c r="A1238" s="0" t="s">
        <v>1384</v>
      </c>
      <c r="B1238" s="2" t="n">
        <v>45687</v>
      </c>
      <c r="C1238" s="3" t="s">
        <v>27</v>
      </c>
      <c r="D1238" s="3" t="s">
        <v>28</v>
      </c>
      <c r="E1238" s="3" t="s">
        <v>15</v>
      </c>
      <c r="F1238" s="3" t="s">
        <v>22</v>
      </c>
      <c r="G1238" s="0" t="n">
        <v>414</v>
      </c>
      <c r="H1238" s="0" t="n">
        <v>55</v>
      </c>
      <c r="I1238" s="0" t="n">
        <v>20</v>
      </c>
      <c r="J1238" s="0" t="n">
        <v>43</v>
      </c>
      <c r="K1238" s="0" t="n">
        <v>4.3</v>
      </c>
      <c r="L1238" s="3" t="s">
        <v>17</v>
      </c>
    </row>
    <row r="1239" customFormat="false" ht="15" hidden="false" customHeight="false" outlineLevel="0" collapsed="false">
      <c r="A1239" s="0" t="s">
        <v>1385</v>
      </c>
      <c r="B1239" s="2" t="n">
        <v>45658</v>
      </c>
      <c r="C1239" s="3" t="s">
        <v>27</v>
      </c>
      <c r="D1239" s="3" t="s">
        <v>31</v>
      </c>
      <c r="E1239" s="3" t="s">
        <v>21</v>
      </c>
      <c r="F1239" s="3" t="s">
        <v>22</v>
      </c>
      <c r="G1239" s="0" t="n">
        <v>531</v>
      </c>
      <c r="H1239" s="0" t="n">
        <v>0</v>
      </c>
      <c r="I1239" s="0" t="n">
        <v>0</v>
      </c>
      <c r="J1239" s="0" t="n">
        <v>52</v>
      </c>
      <c r="K1239" s="0" t="n">
        <v>2.8</v>
      </c>
      <c r="L1239" s="3" t="s">
        <v>17</v>
      </c>
    </row>
    <row r="1240" customFormat="false" ht="15" hidden="false" customHeight="false" outlineLevel="0" collapsed="false">
      <c r="A1240" s="0" t="s">
        <v>1386</v>
      </c>
      <c r="B1240" s="2" t="n">
        <v>45748</v>
      </c>
      <c r="C1240" s="3" t="s">
        <v>30</v>
      </c>
      <c r="D1240" s="3" t="s">
        <v>31</v>
      </c>
      <c r="E1240" s="3" t="s">
        <v>15</v>
      </c>
      <c r="F1240" s="3" t="s">
        <v>22</v>
      </c>
      <c r="G1240" s="0" t="n">
        <v>413</v>
      </c>
      <c r="H1240" s="0" t="n">
        <v>0</v>
      </c>
      <c r="I1240" s="0" t="n">
        <v>20</v>
      </c>
      <c r="J1240" s="0" t="n">
        <v>31</v>
      </c>
      <c r="K1240" s="0" t="n">
        <v>3.9</v>
      </c>
      <c r="L1240" s="3" t="s">
        <v>17</v>
      </c>
    </row>
    <row r="1241" customFormat="false" ht="15" hidden="false" customHeight="false" outlineLevel="0" collapsed="false">
      <c r="A1241" s="0" t="s">
        <v>1387</v>
      </c>
      <c r="B1241" s="2" t="n">
        <v>45990</v>
      </c>
      <c r="C1241" s="3" t="s">
        <v>24</v>
      </c>
      <c r="D1241" s="3" t="s">
        <v>25</v>
      </c>
      <c r="E1241" s="3" t="s">
        <v>15</v>
      </c>
      <c r="F1241" s="3" t="s">
        <v>16</v>
      </c>
      <c r="G1241" s="0" t="n">
        <v>441</v>
      </c>
      <c r="H1241" s="0" t="n">
        <v>0</v>
      </c>
      <c r="I1241" s="0" t="n">
        <v>45</v>
      </c>
      <c r="J1241" s="0" t="n">
        <v>28</v>
      </c>
      <c r="K1241" s="0" t="n">
        <v>4.7</v>
      </c>
      <c r="L1241" s="3" t="s">
        <v>17</v>
      </c>
    </row>
    <row r="1242" customFormat="false" ht="15" hidden="false" customHeight="false" outlineLevel="0" collapsed="false">
      <c r="A1242" s="0" t="s">
        <v>1388</v>
      </c>
      <c r="B1242" s="2" t="n">
        <v>45908</v>
      </c>
      <c r="C1242" s="3" t="s">
        <v>27</v>
      </c>
      <c r="D1242" s="3" t="s">
        <v>31</v>
      </c>
      <c r="E1242" s="3" t="s">
        <v>21</v>
      </c>
      <c r="F1242" s="3" t="s">
        <v>22</v>
      </c>
      <c r="G1242" s="0" t="n">
        <v>635</v>
      </c>
      <c r="H1242" s="0" t="n">
        <v>0</v>
      </c>
      <c r="I1242" s="0" t="n">
        <v>0</v>
      </c>
      <c r="J1242" s="0" t="n">
        <v>45</v>
      </c>
      <c r="K1242" s="0" t="n">
        <v>3.4</v>
      </c>
      <c r="L1242" s="3" t="s">
        <v>17</v>
      </c>
    </row>
    <row r="1243" customFormat="false" ht="15" hidden="false" customHeight="false" outlineLevel="0" collapsed="false">
      <c r="A1243" s="0" t="s">
        <v>1389</v>
      </c>
      <c r="B1243" s="2" t="n">
        <v>45731</v>
      </c>
      <c r="C1243" s="3" t="s">
        <v>40</v>
      </c>
      <c r="D1243" s="3" t="s">
        <v>25</v>
      </c>
      <c r="E1243" s="3" t="s">
        <v>21</v>
      </c>
      <c r="F1243" s="3" t="s">
        <v>34</v>
      </c>
      <c r="G1243" s="0" t="n">
        <v>506</v>
      </c>
      <c r="H1243" s="0" t="n">
        <v>0</v>
      </c>
      <c r="I1243" s="0" t="n">
        <v>0</v>
      </c>
      <c r="J1243" s="0" t="n">
        <v>37</v>
      </c>
      <c r="K1243" s="0" t="n">
        <v>4.4</v>
      </c>
      <c r="L1243" s="3" t="s">
        <v>17</v>
      </c>
    </row>
    <row r="1244" customFormat="false" ht="15" hidden="false" customHeight="false" outlineLevel="0" collapsed="false">
      <c r="A1244" s="0" t="s">
        <v>1390</v>
      </c>
      <c r="B1244" s="2" t="n">
        <v>45988</v>
      </c>
      <c r="C1244" s="3" t="s">
        <v>13</v>
      </c>
      <c r="D1244" s="3" t="s">
        <v>14</v>
      </c>
      <c r="E1244" s="3" t="s">
        <v>21</v>
      </c>
      <c r="F1244" s="3" t="s">
        <v>22</v>
      </c>
      <c r="G1244" s="0" t="n">
        <v>323</v>
      </c>
      <c r="H1244" s="0" t="n">
        <v>66</v>
      </c>
      <c r="I1244" s="0" t="n">
        <v>30</v>
      </c>
      <c r="J1244" s="0" t="n">
        <v>32</v>
      </c>
      <c r="K1244" s="0" t="n">
        <v>3.7</v>
      </c>
      <c r="L1244" s="3" t="s">
        <v>17</v>
      </c>
    </row>
    <row r="1245" customFormat="false" ht="15" hidden="false" customHeight="false" outlineLevel="0" collapsed="false">
      <c r="A1245" s="0" t="s">
        <v>1391</v>
      </c>
      <c r="B1245" s="2" t="n">
        <v>45846</v>
      </c>
      <c r="C1245" s="3" t="s">
        <v>30</v>
      </c>
      <c r="D1245" s="3" t="s">
        <v>20</v>
      </c>
      <c r="E1245" s="3" t="s">
        <v>21</v>
      </c>
      <c r="F1245" s="3" t="s">
        <v>22</v>
      </c>
      <c r="G1245" s="0" t="n">
        <v>486</v>
      </c>
      <c r="H1245" s="0" t="n">
        <v>0</v>
      </c>
      <c r="I1245" s="0" t="n">
        <v>30</v>
      </c>
      <c r="J1245" s="0" t="n">
        <v>34</v>
      </c>
      <c r="K1245" s="0" t="n">
        <v>4.3</v>
      </c>
      <c r="L1245" s="3" t="s">
        <v>17</v>
      </c>
    </row>
    <row r="1246" customFormat="false" ht="15" hidden="false" customHeight="false" outlineLevel="0" collapsed="false">
      <c r="A1246" s="0" t="s">
        <v>1392</v>
      </c>
      <c r="B1246" s="2" t="n">
        <v>45849</v>
      </c>
      <c r="C1246" s="3" t="s">
        <v>40</v>
      </c>
      <c r="D1246" s="3" t="s">
        <v>31</v>
      </c>
      <c r="E1246" s="3" t="s">
        <v>15</v>
      </c>
      <c r="F1246" s="3" t="s">
        <v>22</v>
      </c>
      <c r="G1246" s="0" t="n">
        <v>295</v>
      </c>
      <c r="H1246" s="0" t="n">
        <v>55</v>
      </c>
      <c r="I1246" s="0" t="n">
        <v>45</v>
      </c>
      <c r="J1246" s="0" t="n">
        <v>43</v>
      </c>
      <c r="K1246" s="0" t="n">
        <v>4.9</v>
      </c>
      <c r="L1246" s="3" t="s">
        <v>17</v>
      </c>
    </row>
    <row r="1247" customFormat="false" ht="15" hidden="false" customHeight="false" outlineLevel="0" collapsed="false">
      <c r="A1247" s="0" t="s">
        <v>1393</v>
      </c>
      <c r="B1247" s="2" t="n">
        <v>46003</v>
      </c>
      <c r="C1247" s="3" t="s">
        <v>24</v>
      </c>
      <c r="D1247" s="3" t="s">
        <v>20</v>
      </c>
      <c r="E1247" s="3" t="s">
        <v>21</v>
      </c>
      <c r="F1247" s="3" t="s">
        <v>22</v>
      </c>
      <c r="G1247" s="0" t="n">
        <v>690</v>
      </c>
      <c r="H1247" s="0" t="n">
        <v>0</v>
      </c>
      <c r="I1247" s="0" t="n">
        <v>0</v>
      </c>
      <c r="J1247" s="0" t="n">
        <v>36</v>
      </c>
      <c r="K1247" s="0" t="n">
        <v>4.6</v>
      </c>
      <c r="L1247" s="3" t="s">
        <v>17</v>
      </c>
    </row>
    <row r="1248" customFormat="false" ht="15" hidden="false" customHeight="false" outlineLevel="0" collapsed="false">
      <c r="A1248" s="0" t="s">
        <v>1394</v>
      </c>
      <c r="B1248" s="2" t="n">
        <v>45684</v>
      </c>
      <c r="C1248" s="3" t="s">
        <v>45</v>
      </c>
      <c r="D1248" s="3" t="s">
        <v>25</v>
      </c>
      <c r="E1248" s="3" t="s">
        <v>15</v>
      </c>
      <c r="F1248" s="3" t="s">
        <v>54</v>
      </c>
      <c r="G1248" s="0" t="n">
        <v>446</v>
      </c>
      <c r="H1248" s="0" t="n">
        <v>76</v>
      </c>
      <c r="I1248" s="0" t="n">
        <v>30</v>
      </c>
      <c r="J1248" s="0" t="n">
        <v>30</v>
      </c>
      <c r="K1248" s="0" t="n">
        <v>3.5</v>
      </c>
      <c r="L1248" s="3" t="s">
        <v>17</v>
      </c>
    </row>
    <row r="1249" customFormat="false" ht="15" hidden="false" customHeight="false" outlineLevel="0" collapsed="false">
      <c r="A1249" s="0" t="s">
        <v>1395</v>
      </c>
      <c r="B1249" s="2" t="n">
        <v>45749</v>
      </c>
      <c r="C1249" s="3" t="s">
        <v>40</v>
      </c>
      <c r="D1249" s="3" t="s">
        <v>78</v>
      </c>
      <c r="E1249" s="3" t="s">
        <v>15</v>
      </c>
      <c r="F1249" s="3" t="s">
        <v>22</v>
      </c>
      <c r="G1249" s="0" t="n">
        <v>317</v>
      </c>
      <c r="H1249" s="0" t="n">
        <v>73</v>
      </c>
      <c r="I1249" s="0" t="n">
        <v>45</v>
      </c>
      <c r="J1249" s="0" t="n">
        <v>52</v>
      </c>
      <c r="K1249" s="0" t="n">
        <v>4.3</v>
      </c>
      <c r="L1249" s="3" t="s">
        <v>17</v>
      </c>
    </row>
    <row r="1250" customFormat="false" ht="15" hidden="false" customHeight="false" outlineLevel="0" collapsed="false">
      <c r="A1250" s="0" t="s">
        <v>1396</v>
      </c>
      <c r="B1250" s="2" t="n">
        <v>45887</v>
      </c>
      <c r="C1250" s="3" t="s">
        <v>24</v>
      </c>
      <c r="D1250" s="3" t="s">
        <v>31</v>
      </c>
      <c r="E1250" s="3" t="s">
        <v>21</v>
      </c>
      <c r="F1250" s="3" t="s">
        <v>22</v>
      </c>
      <c r="G1250" s="0" t="n">
        <v>557</v>
      </c>
      <c r="H1250" s="0" t="n">
        <v>110</v>
      </c>
      <c r="I1250" s="0" t="n">
        <v>0</v>
      </c>
      <c r="L1250" s="3" t="s">
        <v>68</v>
      </c>
    </row>
    <row r="1251" customFormat="false" ht="15" hidden="false" customHeight="false" outlineLevel="0" collapsed="false">
      <c r="A1251" s="0" t="s">
        <v>1397</v>
      </c>
      <c r="B1251" s="0" t="s">
        <v>1398</v>
      </c>
      <c r="C1251" s="0" t="s">
        <v>27</v>
      </c>
      <c r="D1251" s="0" t="s">
        <v>28</v>
      </c>
      <c r="E1251" s="0" t="s">
        <v>21</v>
      </c>
      <c r="F1251" s="0" t="s">
        <v>22</v>
      </c>
      <c r="G1251" s="0" t="n">
        <v>521</v>
      </c>
      <c r="H1251" s="0" t="n">
        <v>59</v>
      </c>
      <c r="I1251" s="0" t="n">
        <v>0</v>
      </c>
      <c r="J1251" s="0" t="n">
        <v>48</v>
      </c>
      <c r="L1251" s="0" t="s">
        <v>17</v>
      </c>
    </row>
    <row r="1252" customFormat="false" ht="15" hidden="false" customHeight="false" outlineLevel="0" collapsed="false">
      <c r="A1252" s="0" t="s">
        <v>1399</v>
      </c>
      <c r="B1252" s="2" t="n">
        <v>45919</v>
      </c>
      <c r="C1252" s="3" t="s">
        <v>47</v>
      </c>
      <c r="D1252" s="3" t="s">
        <v>28</v>
      </c>
      <c r="E1252" s="3" t="s">
        <v>21</v>
      </c>
      <c r="F1252" s="3" t="s">
        <v>22</v>
      </c>
      <c r="G1252" s="0" t="n">
        <v>462</v>
      </c>
      <c r="H1252" s="0" t="n">
        <v>102</v>
      </c>
      <c r="I1252" s="0" t="n">
        <v>30</v>
      </c>
      <c r="J1252" s="0" t="n">
        <v>37</v>
      </c>
      <c r="K1252" s="0" t="n">
        <v>4.5</v>
      </c>
      <c r="L1252" s="3" t="s">
        <v>17</v>
      </c>
    </row>
    <row r="1253" customFormat="false" ht="15" hidden="false" customHeight="false" outlineLevel="0" collapsed="false">
      <c r="A1253" s="0" t="s">
        <v>1400</v>
      </c>
      <c r="B1253" s="2" t="n">
        <v>45749</v>
      </c>
      <c r="C1253" s="3" t="s">
        <v>24</v>
      </c>
      <c r="D1253" s="3" t="s">
        <v>31</v>
      </c>
      <c r="E1253" s="3" t="s">
        <v>15</v>
      </c>
      <c r="F1253" s="3" t="s">
        <v>34</v>
      </c>
      <c r="G1253" s="0" t="n">
        <v>534</v>
      </c>
      <c r="H1253" s="0" t="n">
        <v>0</v>
      </c>
      <c r="I1253" s="0" t="n">
        <v>0</v>
      </c>
      <c r="J1253" s="0" t="n">
        <v>29</v>
      </c>
      <c r="L1253" s="3" t="s">
        <v>17</v>
      </c>
    </row>
    <row r="1254" customFormat="false" ht="15" hidden="false" customHeight="false" outlineLevel="0" collapsed="false">
      <c r="A1254" s="0" t="s">
        <v>1401</v>
      </c>
      <c r="B1254" s="2" t="n">
        <v>45701</v>
      </c>
      <c r="C1254" s="3" t="s">
        <v>27</v>
      </c>
      <c r="D1254" s="3" t="s">
        <v>31</v>
      </c>
      <c r="E1254" s="3" t="s">
        <v>21</v>
      </c>
      <c r="F1254" s="3" t="s">
        <v>36</v>
      </c>
      <c r="G1254" s="0" t="n">
        <v>523</v>
      </c>
      <c r="H1254" s="0" t="n">
        <v>104</v>
      </c>
      <c r="I1254" s="0" t="n">
        <v>0</v>
      </c>
      <c r="J1254" s="0" t="n">
        <v>50</v>
      </c>
      <c r="K1254" s="0" t="n">
        <v>4.1</v>
      </c>
      <c r="L1254" s="3" t="s">
        <v>17</v>
      </c>
    </row>
    <row r="1255" customFormat="false" ht="15" hidden="false" customHeight="false" outlineLevel="0" collapsed="false">
      <c r="A1255" s="0" t="s">
        <v>1402</v>
      </c>
      <c r="B1255" s="2" t="n">
        <v>45746</v>
      </c>
      <c r="C1255" s="3" t="s">
        <v>40</v>
      </c>
      <c r="D1255" s="3" t="s">
        <v>56</v>
      </c>
      <c r="E1255" s="3" t="s">
        <v>21</v>
      </c>
      <c r="F1255" s="3" t="s">
        <v>22</v>
      </c>
      <c r="G1255" s="0" t="n">
        <v>364</v>
      </c>
      <c r="H1255" s="0" t="n">
        <v>46</v>
      </c>
      <c r="I1255" s="0" t="n">
        <v>20</v>
      </c>
      <c r="J1255" s="0" t="n">
        <v>39</v>
      </c>
      <c r="K1255" s="0" t="n">
        <v>5</v>
      </c>
      <c r="L1255" s="3" t="s">
        <v>17</v>
      </c>
    </row>
    <row r="1256" customFormat="false" ht="15" hidden="false" customHeight="false" outlineLevel="0" collapsed="false">
      <c r="A1256" s="0" t="s">
        <v>1403</v>
      </c>
      <c r="B1256" s="2" t="n">
        <v>45829</v>
      </c>
      <c r="C1256" s="3" t="s">
        <v>27</v>
      </c>
      <c r="D1256" s="3" t="s">
        <v>14</v>
      </c>
      <c r="E1256" s="3" t="s">
        <v>21</v>
      </c>
      <c r="F1256" s="3" t="s">
        <v>34</v>
      </c>
      <c r="G1256" s="0" t="n">
        <v>359</v>
      </c>
      <c r="H1256" s="0" t="n">
        <v>0</v>
      </c>
      <c r="I1256" s="0" t="n">
        <v>40</v>
      </c>
      <c r="J1256" s="0" t="n">
        <v>38</v>
      </c>
      <c r="K1256" s="0" t="n">
        <v>4.1</v>
      </c>
      <c r="L1256" s="3" t="s">
        <v>17</v>
      </c>
    </row>
    <row r="1257" customFormat="false" ht="15" hidden="false" customHeight="false" outlineLevel="0" collapsed="false">
      <c r="A1257" s="0" t="s">
        <v>1404</v>
      </c>
      <c r="B1257" s="0" t="s">
        <v>1405</v>
      </c>
      <c r="C1257" s="0" t="s">
        <v>13</v>
      </c>
      <c r="D1257" s="0" t="s">
        <v>20</v>
      </c>
      <c r="E1257" s="0" t="s">
        <v>21</v>
      </c>
      <c r="F1257" s="0" t="s">
        <v>16</v>
      </c>
      <c r="G1257" s="0" t="n">
        <v>657</v>
      </c>
      <c r="H1257" s="0" t="n">
        <v>152</v>
      </c>
      <c r="I1257" s="0" t="n">
        <v>0</v>
      </c>
      <c r="J1257" s="0" t="n">
        <v>31</v>
      </c>
      <c r="K1257" s="0" t="n">
        <v>4.9</v>
      </c>
      <c r="L1257" s="0" t="s">
        <v>17</v>
      </c>
    </row>
    <row r="1258" customFormat="false" ht="15" hidden="false" customHeight="false" outlineLevel="0" collapsed="false">
      <c r="A1258" s="0" t="s">
        <v>1406</v>
      </c>
      <c r="B1258" s="0" t="s">
        <v>1407</v>
      </c>
      <c r="C1258" s="0" t="s">
        <v>164</v>
      </c>
      <c r="D1258" s="0" t="s">
        <v>20</v>
      </c>
      <c r="E1258" s="0" t="s">
        <v>21</v>
      </c>
      <c r="F1258" s="0" t="s">
        <v>36</v>
      </c>
      <c r="G1258" s="0" t="n">
        <v>471</v>
      </c>
      <c r="H1258" s="0" t="n">
        <v>0</v>
      </c>
      <c r="I1258" s="0" t="n">
        <v>40</v>
      </c>
      <c r="J1258" s="0" t="n">
        <v>35</v>
      </c>
      <c r="K1258" s="0" t="n">
        <v>3.9</v>
      </c>
      <c r="L1258" s="0" t="s">
        <v>17</v>
      </c>
    </row>
    <row r="1259" customFormat="false" ht="15" hidden="false" customHeight="false" outlineLevel="0" collapsed="false">
      <c r="A1259" s="0" t="s">
        <v>1408</v>
      </c>
      <c r="B1259" s="2" t="n">
        <v>45978</v>
      </c>
      <c r="C1259" s="3" t="s">
        <v>40</v>
      </c>
      <c r="D1259" s="3" t="s">
        <v>28</v>
      </c>
      <c r="E1259" s="3" t="s">
        <v>21</v>
      </c>
      <c r="F1259" s="3" t="s">
        <v>16</v>
      </c>
      <c r="G1259" s="0" t="n">
        <v>327</v>
      </c>
      <c r="H1259" s="0" t="n">
        <v>0</v>
      </c>
      <c r="I1259" s="0" t="n">
        <v>40</v>
      </c>
      <c r="J1259" s="0" t="n">
        <v>45</v>
      </c>
      <c r="K1259" s="0" t="n">
        <v>4.2</v>
      </c>
      <c r="L1259" s="3" t="s">
        <v>17</v>
      </c>
    </row>
    <row r="1260" customFormat="false" ht="15" hidden="false" customHeight="false" outlineLevel="0" collapsed="false">
      <c r="A1260" s="0" t="s">
        <v>1409</v>
      </c>
      <c r="B1260" s="2" t="n">
        <v>45790</v>
      </c>
      <c r="C1260" s="3" t="s">
        <v>45</v>
      </c>
      <c r="D1260" s="3" t="s">
        <v>14</v>
      </c>
      <c r="E1260" s="3" t="s">
        <v>21</v>
      </c>
      <c r="F1260" s="3" t="s">
        <v>22</v>
      </c>
      <c r="G1260" s="0" t="n">
        <v>333</v>
      </c>
      <c r="H1260" s="0" t="n">
        <v>0</v>
      </c>
      <c r="I1260" s="0" t="n">
        <v>20</v>
      </c>
      <c r="J1260" s="0" t="n">
        <v>35</v>
      </c>
      <c r="K1260" s="0" t="n">
        <v>3</v>
      </c>
      <c r="L1260" s="3" t="s">
        <v>17</v>
      </c>
    </row>
    <row r="1261" customFormat="false" ht="15" hidden="false" customHeight="false" outlineLevel="0" collapsed="false">
      <c r="A1261" s="0" t="s">
        <v>1410</v>
      </c>
      <c r="B1261" s="2" t="n">
        <v>45806</v>
      </c>
      <c r="C1261" s="3" t="s">
        <v>185</v>
      </c>
      <c r="D1261" s="3" t="s">
        <v>56</v>
      </c>
      <c r="E1261" s="3" t="s">
        <v>21</v>
      </c>
      <c r="F1261" s="3" t="s">
        <v>36</v>
      </c>
      <c r="G1261" s="0" t="n">
        <v>325</v>
      </c>
      <c r="H1261" s="0" t="n">
        <v>0</v>
      </c>
      <c r="I1261" s="0" t="n">
        <v>45</v>
      </c>
      <c r="J1261" s="0" t="n">
        <v>39</v>
      </c>
      <c r="K1261" s="0" t="n">
        <v>3.7</v>
      </c>
      <c r="L1261" s="3" t="s">
        <v>17</v>
      </c>
    </row>
    <row r="1262" customFormat="false" ht="15" hidden="false" customHeight="false" outlineLevel="0" collapsed="false">
      <c r="A1262" s="0" t="s">
        <v>1411</v>
      </c>
      <c r="B1262" s="2" t="n">
        <v>45682</v>
      </c>
      <c r="C1262" s="3" t="s">
        <v>761</v>
      </c>
      <c r="D1262" s="3" t="s">
        <v>56</v>
      </c>
      <c r="E1262" s="3" t="s">
        <v>21</v>
      </c>
      <c r="F1262" s="3" t="s">
        <v>36</v>
      </c>
      <c r="G1262" s="0" t="n">
        <v>349</v>
      </c>
      <c r="H1262" s="0" t="n">
        <v>78</v>
      </c>
      <c r="I1262" s="0" t="n">
        <v>40</v>
      </c>
      <c r="J1262" s="0" t="n">
        <v>31</v>
      </c>
      <c r="K1262" s="0" t="n">
        <v>4.4</v>
      </c>
      <c r="L1262" s="3" t="s">
        <v>17</v>
      </c>
    </row>
    <row r="1263" customFormat="false" ht="15" hidden="false" customHeight="false" outlineLevel="0" collapsed="false">
      <c r="A1263" s="0" t="s">
        <v>1412</v>
      </c>
      <c r="B1263" s="2" t="n">
        <v>45805</v>
      </c>
      <c r="C1263" s="3" t="s">
        <v>24</v>
      </c>
      <c r="D1263" s="3" t="s">
        <v>28</v>
      </c>
      <c r="E1263" s="3" t="s">
        <v>21</v>
      </c>
      <c r="F1263" s="3" t="s">
        <v>16</v>
      </c>
      <c r="G1263" s="0" t="n">
        <v>482</v>
      </c>
      <c r="H1263" s="0" t="n">
        <v>0</v>
      </c>
      <c r="I1263" s="0" t="n">
        <v>40</v>
      </c>
      <c r="J1263" s="0" t="n">
        <v>31</v>
      </c>
      <c r="K1263" s="0" t="n">
        <v>4.2</v>
      </c>
      <c r="L1263" s="3" t="s">
        <v>17</v>
      </c>
    </row>
    <row r="1264" customFormat="false" ht="15" hidden="false" customHeight="false" outlineLevel="0" collapsed="false">
      <c r="A1264" s="0" t="s">
        <v>1413</v>
      </c>
      <c r="B1264" s="2" t="n">
        <v>45769</v>
      </c>
      <c r="C1264" s="3" t="s">
        <v>30</v>
      </c>
      <c r="D1264" s="3" t="s">
        <v>25</v>
      </c>
      <c r="E1264" s="3" t="s">
        <v>15</v>
      </c>
      <c r="F1264" s="3" t="s">
        <v>54</v>
      </c>
      <c r="G1264" s="0" t="n">
        <v>604</v>
      </c>
      <c r="H1264" s="0" t="n">
        <v>0</v>
      </c>
      <c r="I1264" s="0" t="n">
        <v>0</v>
      </c>
      <c r="J1264" s="0" t="n">
        <v>16</v>
      </c>
      <c r="K1264" s="0" t="n">
        <v>4.1</v>
      </c>
      <c r="L1264" s="3" t="s">
        <v>17</v>
      </c>
    </row>
    <row r="1265" customFormat="false" ht="15" hidden="false" customHeight="false" outlineLevel="0" collapsed="false">
      <c r="A1265" s="0" t="s">
        <v>1414</v>
      </c>
      <c r="B1265" s="2" t="n">
        <v>45896</v>
      </c>
      <c r="C1265" s="3" t="s">
        <v>24</v>
      </c>
      <c r="D1265" s="3" t="s">
        <v>14</v>
      </c>
      <c r="E1265" s="3" t="s">
        <v>15</v>
      </c>
      <c r="F1265" s="3" t="s">
        <v>54</v>
      </c>
      <c r="G1265" s="0" t="n">
        <v>320</v>
      </c>
      <c r="H1265" s="0" t="n">
        <v>54</v>
      </c>
      <c r="I1265" s="0" t="n">
        <v>45</v>
      </c>
      <c r="J1265" s="0" t="n">
        <v>26</v>
      </c>
      <c r="K1265" s="0" t="n">
        <v>4.3</v>
      </c>
      <c r="L1265" s="3" t="s">
        <v>17</v>
      </c>
    </row>
    <row r="1266" customFormat="false" ht="15" hidden="false" customHeight="false" outlineLevel="0" collapsed="false">
      <c r="A1266" s="0" t="s">
        <v>1415</v>
      </c>
      <c r="B1266" s="2" t="n">
        <v>45745</v>
      </c>
      <c r="C1266" s="3" t="s">
        <v>40</v>
      </c>
      <c r="D1266" s="3" t="s">
        <v>31</v>
      </c>
      <c r="E1266" s="3" t="s">
        <v>21</v>
      </c>
      <c r="F1266" s="3" t="s">
        <v>22</v>
      </c>
      <c r="G1266" s="0" t="n">
        <v>441</v>
      </c>
      <c r="H1266" s="0" t="n">
        <v>0</v>
      </c>
      <c r="I1266" s="0" t="n">
        <v>40</v>
      </c>
      <c r="L1266" s="3" t="s">
        <v>68</v>
      </c>
    </row>
    <row r="1267" customFormat="false" ht="15" hidden="false" customHeight="false" outlineLevel="0" collapsed="false">
      <c r="A1267" s="0" t="s">
        <v>1415</v>
      </c>
      <c r="B1267" s="2" t="n">
        <v>45745</v>
      </c>
      <c r="C1267" s="3" t="s">
        <v>40</v>
      </c>
      <c r="D1267" s="3" t="s">
        <v>31</v>
      </c>
      <c r="E1267" s="3" t="s">
        <v>21</v>
      </c>
      <c r="F1267" s="3" t="s">
        <v>22</v>
      </c>
      <c r="G1267" s="0" t="n">
        <v>441</v>
      </c>
      <c r="H1267" s="0" t="n">
        <v>0</v>
      </c>
      <c r="I1267" s="0" t="n">
        <v>40</v>
      </c>
      <c r="L1267" s="3" t="s">
        <v>68</v>
      </c>
    </row>
    <row r="1268" customFormat="false" ht="15" hidden="false" customHeight="false" outlineLevel="0" collapsed="false">
      <c r="A1268" s="0" t="s">
        <v>1416</v>
      </c>
      <c r="B1268" s="2" t="n">
        <v>45988</v>
      </c>
      <c r="C1268" s="3" t="s">
        <v>27</v>
      </c>
      <c r="D1268" s="3" t="s">
        <v>31</v>
      </c>
      <c r="E1268" s="3" t="s">
        <v>21</v>
      </c>
      <c r="F1268" s="3" t="s">
        <v>36</v>
      </c>
      <c r="G1268" s="0" t="n">
        <v>514</v>
      </c>
      <c r="H1268" s="0" t="n">
        <v>0</v>
      </c>
      <c r="I1268" s="0" t="n">
        <v>0</v>
      </c>
      <c r="J1268" s="0" t="n">
        <v>36</v>
      </c>
      <c r="K1268" s="0" t="n">
        <v>4.2</v>
      </c>
      <c r="L1268" s="3" t="s">
        <v>17</v>
      </c>
    </row>
    <row r="1269" customFormat="false" ht="15" hidden="false" customHeight="false" outlineLevel="0" collapsed="false">
      <c r="A1269" s="0" t="s">
        <v>1417</v>
      </c>
      <c r="B1269" s="2" t="n">
        <v>46001</v>
      </c>
      <c r="C1269" s="3" t="s">
        <v>40</v>
      </c>
      <c r="D1269" s="3" t="s">
        <v>14</v>
      </c>
      <c r="E1269" s="3" t="s">
        <v>21</v>
      </c>
      <c r="F1269" s="3" t="s">
        <v>34</v>
      </c>
      <c r="G1269" s="0" t="n">
        <v>403</v>
      </c>
      <c r="H1269" s="0" t="n">
        <v>0</v>
      </c>
      <c r="I1269" s="0" t="n">
        <v>45</v>
      </c>
      <c r="J1269" s="0" t="n">
        <v>40</v>
      </c>
      <c r="K1269" s="0" t="n">
        <v>4.2</v>
      </c>
      <c r="L1269" s="3" t="s">
        <v>17</v>
      </c>
    </row>
    <row r="1270" customFormat="false" ht="15" hidden="false" customHeight="false" outlineLevel="0" collapsed="false">
      <c r="A1270" s="0" t="s">
        <v>1418</v>
      </c>
      <c r="B1270" s="2" t="n">
        <v>45701</v>
      </c>
      <c r="C1270" s="3" t="s">
        <v>24</v>
      </c>
      <c r="D1270" s="3" t="s">
        <v>25</v>
      </c>
      <c r="E1270" s="3" t="s">
        <v>15</v>
      </c>
      <c r="F1270" s="3" t="s">
        <v>16</v>
      </c>
      <c r="G1270" s="0" t="n">
        <v>368</v>
      </c>
      <c r="H1270" s="0" t="n">
        <v>0</v>
      </c>
      <c r="I1270" s="0" t="n">
        <v>40</v>
      </c>
      <c r="J1270" s="0" t="n">
        <v>42</v>
      </c>
      <c r="K1270" s="0" t="n">
        <v>4.5</v>
      </c>
      <c r="L1270" s="3" t="s">
        <v>17</v>
      </c>
    </row>
    <row r="1271" customFormat="false" ht="15" hidden="false" customHeight="false" outlineLevel="0" collapsed="false">
      <c r="A1271" s="0" t="s">
        <v>1419</v>
      </c>
      <c r="B1271" s="2" t="n">
        <v>45704</v>
      </c>
      <c r="C1271" s="3" t="s">
        <v>13</v>
      </c>
      <c r="D1271" s="3" t="s">
        <v>31</v>
      </c>
      <c r="E1271" s="3" t="s">
        <v>21</v>
      </c>
      <c r="F1271" s="3" t="s">
        <v>16</v>
      </c>
      <c r="G1271" s="0" t="n">
        <v>469</v>
      </c>
      <c r="H1271" s="0" t="n">
        <v>53</v>
      </c>
      <c r="I1271" s="0" t="n">
        <v>45</v>
      </c>
      <c r="J1271" s="0" t="n">
        <v>32</v>
      </c>
      <c r="K1271" s="0" t="n">
        <v>4.2</v>
      </c>
      <c r="L1271" s="3" t="s">
        <v>17</v>
      </c>
    </row>
    <row r="1272" customFormat="false" ht="15" hidden="false" customHeight="false" outlineLevel="0" collapsed="false">
      <c r="A1272" s="0" t="s">
        <v>1420</v>
      </c>
      <c r="B1272" s="2" t="n">
        <v>45708</v>
      </c>
      <c r="C1272" s="3" t="s">
        <v>30</v>
      </c>
      <c r="D1272" s="3" t="s">
        <v>31</v>
      </c>
      <c r="E1272" s="3" t="s">
        <v>21</v>
      </c>
      <c r="F1272" s="3" t="s">
        <v>36</v>
      </c>
      <c r="G1272" s="0" t="n">
        <v>400</v>
      </c>
      <c r="H1272" s="0" t="n">
        <v>0</v>
      </c>
      <c r="I1272" s="0" t="n">
        <v>45</v>
      </c>
      <c r="J1272" s="0" t="n">
        <v>41</v>
      </c>
      <c r="K1272" s="0" t="n">
        <v>4.8</v>
      </c>
      <c r="L1272" s="3" t="s">
        <v>17</v>
      </c>
    </row>
    <row r="1273" customFormat="false" ht="15" hidden="false" customHeight="false" outlineLevel="0" collapsed="false">
      <c r="A1273" s="0" t="s">
        <v>1421</v>
      </c>
      <c r="B1273" s="2" t="n">
        <v>45899</v>
      </c>
      <c r="C1273" s="3" t="s">
        <v>40</v>
      </c>
      <c r="D1273" s="3" t="s">
        <v>20</v>
      </c>
      <c r="E1273" s="3" t="s">
        <v>21</v>
      </c>
      <c r="F1273" s="3" t="s">
        <v>34</v>
      </c>
      <c r="G1273" s="0" t="n">
        <v>545</v>
      </c>
      <c r="H1273" s="0" t="n">
        <v>0</v>
      </c>
      <c r="I1273" s="0" t="n">
        <v>0</v>
      </c>
      <c r="J1273" s="0" t="n">
        <v>33</v>
      </c>
      <c r="K1273" s="0" t="n">
        <v>3.8</v>
      </c>
      <c r="L1273" s="3" t="s">
        <v>17</v>
      </c>
    </row>
    <row r="1274" customFormat="false" ht="15" hidden="false" customHeight="false" outlineLevel="0" collapsed="false">
      <c r="A1274" s="0" t="s">
        <v>1422</v>
      </c>
      <c r="B1274" s="0" t="s">
        <v>1423</v>
      </c>
      <c r="C1274" s="0" t="s">
        <v>45</v>
      </c>
      <c r="D1274" s="0" t="s">
        <v>14</v>
      </c>
      <c r="E1274" s="0" t="s">
        <v>15</v>
      </c>
      <c r="F1274" s="0" t="s">
        <v>16</v>
      </c>
      <c r="G1274" s="0" t="n">
        <v>374</v>
      </c>
      <c r="H1274" s="0" t="n">
        <v>0</v>
      </c>
      <c r="I1274" s="0" t="n">
        <v>45</v>
      </c>
      <c r="J1274" s="0" t="n">
        <v>29</v>
      </c>
      <c r="K1274" s="0" t="n">
        <v>5</v>
      </c>
      <c r="L1274" s="0" t="s">
        <v>17</v>
      </c>
    </row>
    <row r="1275" customFormat="false" ht="15" hidden="false" customHeight="false" outlineLevel="0" collapsed="false">
      <c r="A1275" s="0" t="s">
        <v>1424</v>
      </c>
      <c r="B1275" s="2" t="n">
        <v>45976</v>
      </c>
      <c r="C1275" s="3" t="s">
        <v>209</v>
      </c>
      <c r="D1275" s="3" t="s">
        <v>31</v>
      </c>
      <c r="E1275" s="3" t="s">
        <v>21</v>
      </c>
      <c r="G1275" s="0" t="n">
        <v>626</v>
      </c>
      <c r="H1275" s="0" t="n">
        <v>67</v>
      </c>
      <c r="I1275" s="0" t="n">
        <v>0</v>
      </c>
      <c r="J1275" s="0" t="n">
        <v>31</v>
      </c>
      <c r="K1275" s="0" t="n">
        <v>4.9</v>
      </c>
      <c r="L1275" s="3" t="s">
        <v>17</v>
      </c>
    </row>
    <row r="1276" customFormat="false" ht="15" hidden="false" customHeight="false" outlineLevel="0" collapsed="false">
      <c r="A1276" s="0" t="s">
        <v>1425</v>
      </c>
      <c r="B1276" s="2" t="n">
        <v>45944</v>
      </c>
      <c r="C1276" s="3" t="s">
        <v>45</v>
      </c>
      <c r="D1276" s="3" t="s">
        <v>31</v>
      </c>
      <c r="E1276" s="3" t="s">
        <v>15</v>
      </c>
      <c r="F1276" s="3" t="s">
        <v>16</v>
      </c>
      <c r="G1276" s="0" t="n">
        <v>525</v>
      </c>
      <c r="H1276" s="0" t="n">
        <v>0</v>
      </c>
      <c r="I1276" s="0" t="n">
        <v>0</v>
      </c>
      <c r="J1276" s="0" t="n">
        <v>38</v>
      </c>
      <c r="K1276" s="0" t="n">
        <v>4</v>
      </c>
      <c r="L1276" s="3" t="s">
        <v>17</v>
      </c>
    </row>
    <row r="1277" customFormat="false" ht="15" hidden="false" customHeight="false" outlineLevel="0" collapsed="false">
      <c r="A1277" s="0" t="s">
        <v>1426</v>
      </c>
      <c r="B1277" s="0" t="s">
        <v>1302</v>
      </c>
      <c r="C1277" s="0" t="s">
        <v>13</v>
      </c>
      <c r="D1277" s="0" t="s">
        <v>56</v>
      </c>
      <c r="E1277" s="0" t="s">
        <v>58</v>
      </c>
      <c r="F1277" s="0" t="s">
        <v>54</v>
      </c>
      <c r="G1277" s="0" t="n">
        <v>450</v>
      </c>
      <c r="H1277" s="0" t="n">
        <v>0</v>
      </c>
      <c r="I1277" s="0" t="n">
        <v>45</v>
      </c>
      <c r="J1277" s="0" t="n">
        <v>34</v>
      </c>
      <c r="K1277" s="0" t="n">
        <v>4.2</v>
      </c>
      <c r="L1277" s="0" t="s">
        <v>17</v>
      </c>
    </row>
    <row r="1278" customFormat="false" ht="15" hidden="false" customHeight="false" outlineLevel="0" collapsed="false">
      <c r="A1278" s="0" t="s">
        <v>1427</v>
      </c>
      <c r="B1278" s="2" t="n">
        <v>45866</v>
      </c>
      <c r="C1278" s="3" t="s">
        <v>13</v>
      </c>
      <c r="D1278" s="3" t="s">
        <v>78</v>
      </c>
      <c r="E1278" s="3" t="s">
        <v>15</v>
      </c>
      <c r="F1278" s="3" t="s">
        <v>36</v>
      </c>
      <c r="G1278" s="0" t="n">
        <v>368</v>
      </c>
      <c r="H1278" s="0" t="n">
        <v>84</v>
      </c>
      <c r="I1278" s="0" t="n">
        <v>30</v>
      </c>
      <c r="J1278" s="0" t="n">
        <v>34</v>
      </c>
      <c r="L1278" s="3" t="s">
        <v>17</v>
      </c>
    </row>
    <row r="1279" customFormat="false" ht="15" hidden="false" customHeight="false" outlineLevel="0" collapsed="false">
      <c r="A1279" s="0" t="s">
        <v>1428</v>
      </c>
      <c r="B1279" s="2" t="n">
        <v>46021</v>
      </c>
      <c r="C1279" s="3" t="s">
        <v>27</v>
      </c>
      <c r="D1279" s="3" t="s">
        <v>25</v>
      </c>
      <c r="E1279" s="3" t="s">
        <v>15</v>
      </c>
      <c r="F1279" s="3" t="s">
        <v>22</v>
      </c>
      <c r="G1279" s="0" t="n">
        <v>270</v>
      </c>
      <c r="H1279" s="0" t="n">
        <v>0</v>
      </c>
      <c r="I1279" s="0" t="n">
        <v>45</v>
      </c>
      <c r="J1279" s="0" t="n">
        <v>30</v>
      </c>
      <c r="K1279" s="0" t="n">
        <v>4.7</v>
      </c>
      <c r="L1279" s="3" t="s">
        <v>17</v>
      </c>
    </row>
    <row r="1280" customFormat="false" ht="15" hidden="false" customHeight="false" outlineLevel="0" collapsed="false">
      <c r="A1280" s="0" t="s">
        <v>1429</v>
      </c>
      <c r="B1280" s="2" t="n">
        <v>45677</v>
      </c>
      <c r="C1280" s="3" t="s">
        <v>13</v>
      </c>
      <c r="D1280" s="3" t="s">
        <v>78</v>
      </c>
      <c r="E1280" s="3" t="s">
        <v>15</v>
      </c>
      <c r="F1280" s="3" t="s">
        <v>54</v>
      </c>
      <c r="G1280" s="0" t="n">
        <v>368</v>
      </c>
      <c r="H1280" s="0" t="n">
        <v>37</v>
      </c>
      <c r="I1280" s="0" t="n">
        <v>20</v>
      </c>
      <c r="J1280" s="0" t="n">
        <v>27</v>
      </c>
      <c r="K1280" s="0" t="n">
        <v>5</v>
      </c>
      <c r="L1280" s="3" t="s">
        <v>17</v>
      </c>
    </row>
    <row r="1281" customFormat="false" ht="15" hidden="false" customHeight="false" outlineLevel="0" collapsed="false">
      <c r="A1281" s="0" t="s">
        <v>1430</v>
      </c>
      <c r="B1281" s="2" t="n">
        <v>45821</v>
      </c>
      <c r="C1281" s="3" t="s">
        <v>51</v>
      </c>
      <c r="D1281" s="3" t="s">
        <v>14</v>
      </c>
      <c r="E1281" s="3" t="s">
        <v>21</v>
      </c>
      <c r="F1281" s="3" t="s">
        <v>36</v>
      </c>
      <c r="G1281" s="0" t="n">
        <v>399</v>
      </c>
      <c r="H1281" s="0" t="n">
        <v>0</v>
      </c>
      <c r="I1281" s="0" t="n">
        <v>30</v>
      </c>
      <c r="J1281" s="0" t="n">
        <v>43</v>
      </c>
      <c r="K1281" s="0" t="n">
        <v>3.4</v>
      </c>
      <c r="L1281" s="3" t="s">
        <v>17</v>
      </c>
    </row>
    <row r="1282" customFormat="false" ht="15" hidden="false" customHeight="false" outlineLevel="0" collapsed="false">
      <c r="A1282" s="0" t="s">
        <v>1431</v>
      </c>
      <c r="B1282" s="2" t="n">
        <v>45792</v>
      </c>
      <c r="C1282" s="3" t="s">
        <v>40</v>
      </c>
      <c r="D1282" s="3" t="s">
        <v>25</v>
      </c>
      <c r="E1282" s="3" t="s">
        <v>21</v>
      </c>
      <c r="F1282" s="3" t="s">
        <v>16</v>
      </c>
      <c r="G1282" s="0" t="n">
        <v>326</v>
      </c>
      <c r="H1282" s="0" t="n">
        <v>0</v>
      </c>
      <c r="I1282" s="0" t="n">
        <v>30</v>
      </c>
      <c r="J1282" s="0" t="n">
        <v>23</v>
      </c>
      <c r="L1282" s="3" t="s">
        <v>17</v>
      </c>
    </row>
    <row r="1283" customFormat="false" ht="15" hidden="false" customHeight="false" outlineLevel="0" collapsed="false">
      <c r="A1283" s="0" t="s">
        <v>1432</v>
      </c>
      <c r="B1283" s="2" t="n">
        <v>46006</v>
      </c>
      <c r="C1283" s="3" t="s">
        <v>24</v>
      </c>
      <c r="D1283" s="3" t="s">
        <v>14</v>
      </c>
      <c r="E1283" s="3" t="s">
        <v>21</v>
      </c>
      <c r="F1283" s="3" t="s">
        <v>22</v>
      </c>
      <c r="G1283" s="0" t="n">
        <v>381</v>
      </c>
      <c r="H1283" s="0" t="n">
        <v>78</v>
      </c>
      <c r="I1283" s="0" t="n">
        <v>30</v>
      </c>
      <c r="J1283" s="0" t="n">
        <v>45</v>
      </c>
      <c r="K1283" s="0" t="n">
        <v>3</v>
      </c>
      <c r="L1283" s="3" t="s">
        <v>17</v>
      </c>
    </row>
    <row r="1284" customFormat="false" ht="15" hidden="false" customHeight="false" outlineLevel="0" collapsed="false">
      <c r="A1284" s="0" t="s">
        <v>1433</v>
      </c>
      <c r="B1284" s="2" t="n">
        <v>45884</v>
      </c>
      <c r="C1284" s="3" t="s">
        <v>40</v>
      </c>
      <c r="D1284" s="3" t="s">
        <v>28</v>
      </c>
      <c r="E1284" s="3" t="s">
        <v>21</v>
      </c>
      <c r="F1284" s="3" t="s">
        <v>16</v>
      </c>
      <c r="G1284" s="0" t="n">
        <v>525</v>
      </c>
      <c r="H1284" s="0" t="n">
        <v>0</v>
      </c>
      <c r="I1284" s="0" t="n">
        <v>0</v>
      </c>
      <c r="J1284" s="0" t="n">
        <v>41</v>
      </c>
      <c r="L1284" s="3" t="s">
        <v>17</v>
      </c>
    </row>
    <row r="1285" customFormat="false" ht="15" hidden="false" customHeight="false" outlineLevel="0" collapsed="false">
      <c r="A1285" s="0" t="s">
        <v>1434</v>
      </c>
      <c r="B1285" s="0" t="s">
        <v>90</v>
      </c>
      <c r="C1285" s="0" t="s">
        <v>51</v>
      </c>
      <c r="D1285" s="0" t="s">
        <v>56</v>
      </c>
      <c r="E1285" s="0" t="s">
        <v>21</v>
      </c>
      <c r="F1285" s="0" t="s">
        <v>22</v>
      </c>
      <c r="G1285" s="0" t="n">
        <v>506</v>
      </c>
      <c r="H1285" s="0" t="n">
        <v>0</v>
      </c>
      <c r="I1285" s="0" t="n">
        <v>0</v>
      </c>
      <c r="J1285" s="0" t="n">
        <v>30</v>
      </c>
      <c r="K1285" s="0" t="n">
        <v>5</v>
      </c>
      <c r="L1285" s="0" t="s">
        <v>17</v>
      </c>
    </row>
    <row r="1286" customFormat="false" ht="15" hidden="false" customHeight="false" outlineLevel="0" collapsed="false">
      <c r="A1286" s="0" t="s">
        <v>1435</v>
      </c>
      <c r="B1286" s="2" t="n">
        <v>45731</v>
      </c>
      <c r="C1286" s="3" t="s">
        <v>27</v>
      </c>
      <c r="D1286" s="3" t="s">
        <v>56</v>
      </c>
      <c r="E1286" s="3" t="s">
        <v>21</v>
      </c>
      <c r="F1286" s="3" t="s">
        <v>22</v>
      </c>
      <c r="G1286" s="0" t="n">
        <v>360</v>
      </c>
      <c r="H1286" s="0" t="n">
        <v>0</v>
      </c>
      <c r="I1286" s="0" t="n">
        <v>40</v>
      </c>
      <c r="J1286" s="0" t="n">
        <v>36</v>
      </c>
      <c r="K1286" s="0" t="n">
        <v>3.5</v>
      </c>
      <c r="L1286" s="3" t="s">
        <v>17</v>
      </c>
    </row>
    <row r="1287" customFormat="false" ht="15" hidden="false" customHeight="false" outlineLevel="0" collapsed="false">
      <c r="A1287" s="0" t="s">
        <v>1436</v>
      </c>
      <c r="B1287" s="2" t="n">
        <v>46016</v>
      </c>
      <c r="C1287" s="3" t="s">
        <v>13</v>
      </c>
      <c r="D1287" s="3" t="s">
        <v>14</v>
      </c>
      <c r="E1287" s="3" t="s">
        <v>21</v>
      </c>
      <c r="F1287" s="3" t="s">
        <v>34</v>
      </c>
      <c r="G1287" s="0" t="n">
        <v>379</v>
      </c>
      <c r="H1287" s="0" t="n">
        <v>0</v>
      </c>
      <c r="I1287" s="0" t="n">
        <v>20</v>
      </c>
      <c r="J1287" s="0" t="n">
        <v>46</v>
      </c>
      <c r="K1287" s="0" t="n">
        <v>3.2</v>
      </c>
      <c r="L1287" s="3" t="s">
        <v>17</v>
      </c>
    </row>
    <row r="1288" customFormat="false" ht="15" hidden="false" customHeight="false" outlineLevel="0" collapsed="false">
      <c r="A1288" s="0" t="s">
        <v>1437</v>
      </c>
      <c r="B1288" s="2" t="n">
        <v>45857</v>
      </c>
      <c r="C1288" s="3" t="s">
        <v>45</v>
      </c>
      <c r="D1288" s="3" t="s">
        <v>14</v>
      </c>
      <c r="E1288" s="3" t="s">
        <v>58</v>
      </c>
      <c r="F1288" s="3" t="s">
        <v>54</v>
      </c>
      <c r="G1288" s="0" t="n">
        <v>353</v>
      </c>
      <c r="H1288" s="0" t="n">
        <v>41</v>
      </c>
      <c r="I1288" s="0" t="n">
        <v>30</v>
      </c>
      <c r="J1288" s="0" t="n">
        <v>40</v>
      </c>
      <c r="K1288" s="0" t="n">
        <v>4.3</v>
      </c>
      <c r="L1288" s="3" t="s">
        <v>17</v>
      </c>
    </row>
    <row r="1289" customFormat="false" ht="15" hidden="false" customHeight="false" outlineLevel="0" collapsed="false">
      <c r="A1289" s="0" t="s">
        <v>1438</v>
      </c>
      <c r="B1289" s="2" t="n">
        <v>45855</v>
      </c>
      <c r="C1289" s="3" t="s">
        <v>19</v>
      </c>
      <c r="D1289" s="3" t="s">
        <v>28</v>
      </c>
      <c r="E1289" s="3" t="s">
        <v>21</v>
      </c>
      <c r="F1289" s="3" t="s">
        <v>22</v>
      </c>
      <c r="G1289" s="0" t="n">
        <v>484</v>
      </c>
      <c r="H1289" s="0" t="n">
        <v>0</v>
      </c>
      <c r="I1289" s="0" t="n">
        <v>40</v>
      </c>
      <c r="J1289" s="0" t="n">
        <v>27</v>
      </c>
      <c r="K1289" s="0" t="n">
        <v>5</v>
      </c>
      <c r="L1289" s="3" t="s">
        <v>17</v>
      </c>
    </row>
    <row r="1290" customFormat="false" ht="15" hidden="false" customHeight="false" outlineLevel="0" collapsed="false">
      <c r="A1290" s="0" t="s">
        <v>1439</v>
      </c>
      <c r="B1290" s="2" t="n">
        <v>46013</v>
      </c>
      <c r="C1290" s="3" t="s">
        <v>40</v>
      </c>
      <c r="D1290" s="3" t="s">
        <v>78</v>
      </c>
      <c r="E1290" s="3" t="s">
        <v>21</v>
      </c>
      <c r="F1290" s="3" t="s">
        <v>36</v>
      </c>
      <c r="G1290" s="0" t="n">
        <v>404</v>
      </c>
      <c r="H1290" s="0" t="n">
        <v>0</v>
      </c>
      <c r="I1290" s="0" t="n">
        <v>30</v>
      </c>
      <c r="J1290" s="0" t="n">
        <v>39</v>
      </c>
      <c r="K1290" s="0" t="n">
        <v>4.3</v>
      </c>
      <c r="L1290" s="3" t="s">
        <v>17</v>
      </c>
    </row>
    <row r="1291" customFormat="false" ht="15" hidden="false" customHeight="false" outlineLevel="0" collapsed="false">
      <c r="A1291" s="0" t="s">
        <v>1440</v>
      </c>
      <c r="B1291" s="2" t="n">
        <v>45814</v>
      </c>
      <c r="C1291" s="3" t="s">
        <v>30</v>
      </c>
      <c r="D1291" s="3" t="s">
        <v>56</v>
      </c>
      <c r="E1291" s="3" t="s">
        <v>21</v>
      </c>
      <c r="F1291" s="3" t="s">
        <v>54</v>
      </c>
      <c r="G1291" s="0" t="n">
        <v>278</v>
      </c>
      <c r="H1291" s="0" t="n">
        <v>0</v>
      </c>
      <c r="I1291" s="0" t="n">
        <v>30</v>
      </c>
      <c r="J1291" s="0" t="n">
        <v>26</v>
      </c>
      <c r="K1291" s="0" t="n">
        <v>3.5</v>
      </c>
      <c r="L1291" s="3" t="s">
        <v>17</v>
      </c>
    </row>
    <row r="1292" customFormat="false" ht="15" hidden="false" customHeight="false" outlineLevel="0" collapsed="false">
      <c r="A1292" s="0" t="s">
        <v>1441</v>
      </c>
      <c r="B1292" s="0" t="s">
        <v>290</v>
      </c>
      <c r="C1292" s="0" t="s">
        <v>45</v>
      </c>
      <c r="D1292" s="0" t="s">
        <v>14</v>
      </c>
      <c r="E1292" s="0" t="s">
        <v>15</v>
      </c>
      <c r="F1292" s="0" t="s">
        <v>22</v>
      </c>
      <c r="G1292" s="0" t="n">
        <v>427</v>
      </c>
      <c r="H1292" s="0" t="n">
        <v>0</v>
      </c>
      <c r="I1292" s="0" t="n">
        <v>40</v>
      </c>
      <c r="J1292" s="0" t="n">
        <v>31</v>
      </c>
      <c r="K1292" s="0" t="n">
        <v>3.5</v>
      </c>
      <c r="L1292" s="0" t="s">
        <v>17</v>
      </c>
    </row>
    <row r="1293" customFormat="false" ht="15" hidden="false" customHeight="false" outlineLevel="0" collapsed="false">
      <c r="A1293" s="0" t="s">
        <v>1442</v>
      </c>
      <c r="B1293" s="2" t="n">
        <v>45887</v>
      </c>
      <c r="C1293" s="3" t="s">
        <v>40</v>
      </c>
      <c r="D1293" s="3" t="s">
        <v>14</v>
      </c>
      <c r="E1293" s="3" t="s">
        <v>21</v>
      </c>
      <c r="F1293" s="3" t="s">
        <v>22</v>
      </c>
      <c r="G1293" s="0" t="n">
        <v>319</v>
      </c>
      <c r="H1293" s="0" t="n">
        <v>0</v>
      </c>
      <c r="I1293" s="0" t="n">
        <v>20</v>
      </c>
      <c r="J1293" s="0" t="n">
        <v>33</v>
      </c>
      <c r="K1293" s="0" t="n">
        <v>4.4</v>
      </c>
      <c r="L1293" s="3" t="s">
        <v>17</v>
      </c>
    </row>
    <row r="1294" customFormat="false" ht="15" hidden="false" customHeight="false" outlineLevel="0" collapsed="false">
      <c r="A1294" s="0" t="s">
        <v>1443</v>
      </c>
      <c r="B1294" s="2" t="n">
        <v>45713</v>
      </c>
      <c r="C1294" s="3" t="s">
        <v>13</v>
      </c>
      <c r="D1294" s="3" t="s">
        <v>25</v>
      </c>
      <c r="E1294" s="3" t="s">
        <v>15</v>
      </c>
      <c r="F1294" s="3" t="s">
        <v>36</v>
      </c>
      <c r="G1294" s="0" t="n">
        <v>368</v>
      </c>
      <c r="H1294" s="0" t="n">
        <v>74</v>
      </c>
      <c r="I1294" s="0" t="n">
        <v>45</v>
      </c>
      <c r="J1294" s="0" t="n">
        <v>32</v>
      </c>
      <c r="K1294" s="0" t="n">
        <v>3.8</v>
      </c>
      <c r="L1294" s="3" t="s">
        <v>17</v>
      </c>
    </row>
    <row r="1295" customFormat="false" ht="15" hidden="false" customHeight="false" outlineLevel="0" collapsed="false">
      <c r="A1295" s="0" t="s">
        <v>1444</v>
      </c>
      <c r="B1295" s="2" t="n">
        <v>45791</v>
      </c>
      <c r="C1295" s="3" t="s">
        <v>24</v>
      </c>
      <c r="D1295" s="3" t="s">
        <v>31</v>
      </c>
      <c r="E1295" s="3" t="s">
        <v>15</v>
      </c>
      <c r="F1295" s="3" t="s">
        <v>36</v>
      </c>
      <c r="G1295" s="0" t="n">
        <v>597</v>
      </c>
      <c r="H1295" s="0" t="n">
        <v>0</v>
      </c>
      <c r="I1295" s="0" t="n">
        <v>0</v>
      </c>
      <c r="J1295" s="0" t="n">
        <v>49</v>
      </c>
      <c r="K1295" s="0" t="n">
        <v>4</v>
      </c>
      <c r="L1295" s="3" t="s">
        <v>17</v>
      </c>
    </row>
    <row r="1296" customFormat="false" ht="15" hidden="false" customHeight="false" outlineLevel="0" collapsed="false">
      <c r="A1296" s="0" t="s">
        <v>1445</v>
      </c>
      <c r="B1296" s="2" t="n">
        <v>45740</v>
      </c>
      <c r="C1296" s="3" t="s">
        <v>13</v>
      </c>
      <c r="D1296" s="3" t="s">
        <v>56</v>
      </c>
      <c r="E1296" s="3" t="s">
        <v>21</v>
      </c>
      <c r="F1296" s="3" t="s">
        <v>22</v>
      </c>
      <c r="G1296" s="0" t="n">
        <v>484</v>
      </c>
      <c r="H1296" s="0" t="n">
        <v>100</v>
      </c>
      <c r="I1296" s="0" t="n">
        <v>45</v>
      </c>
      <c r="J1296" s="0" t="n">
        <v>32</v>
      </c>
      <c r="K1296" s="0" t="n">
        <v>4.4</v>
      </c>
      <c r="L1296" s="3" t="s">
        <v>17</v>
      </c>
    </row>
    <row r="1297" customFormat="false" ht="15" hidden="false" customHeight="false" outlineLevel="0" collapsed="false">
      <c r="A1297" s="0" t="s">
        <v>1446</v>
      </c>
      <c r="B1297" s="2" t="n">
        <v>45703</v>
      </c>
      <c r="C1297" s="3" t="s">
        <v>27</v>
      </c>
      <c r="D1297" s="3" t="s">
        <v>14</v>
      </c>
      <c r="E1297" s="3" t="s">
        <v>21</v>
      </c>
      <c r="F1297" s="3" t="s">
        <v>34</v>
      </c>
      <c r="H1297" s="0" t="n">
        <v>0</v>
      </c>
      <c r="I1297" s="0" t="n">
        <v>30</v>
      </c>
      <c r="J1297" s="0" t="n">
        <v>35</v>
      </c>
      <c r="K1297" s="0" t="n">
        <v>4</v>
      </c>
      <c r="L1297" s="3" t="s">
        <v>17</v>
      </c>
    </row>
    <row r="1298" customFormat="false" ht="15" hidden="false" customHeight="false" outlineLevel="0" collapsed="false">
      <c r="A1298" s="0" t="s">
        <v>1447</v>
      </c>
      <c r="B1298" s="2" t="n">
        <v>45981</v>
      </c>
      <c r="C1298" s="3" t="s">
        <v>24</v>
      </c>
      <c r="D1298" s="3" t="s">
        <v>25</v>
      </c>
      <c r="E1298" s="3" t="s">
        <v>21</v>
      </c>
      <c r="F1298" s="3" t="s">
        <v>34</v>
      </c>
      <c r="G1298" s="0" t="n">
        <v>556</v>
      </c>
      <c r="H1298" s="0" t="n">
        <v>0</v>
      </c>
      <c r="I1298" s="0" t="n">
        <v>0</v>
      </c>
      <c r="J1298" s="0" t="n">
        <v>26</v>
      </c>
      <c r="K1298" s="0" t="n">
        <v>5</v>
      </c>
      <c r="L1298" s="3" t="s">
        <v>17</v>
      </c>
    </row>
    <row r="1299" customFormat="false" ht="15" hidden="false" customHeight="false" outlineLevel="0" collapsed="false">
      <c r="A1299" s="0" t="s">
        <v>1448</v>
      </c>
      <c r="B1299" s="2" t="n">
        <v>45888</v>
      </c>
      <c r="C1299" s="3" t="s">
        <v>40</v>
      </c>
      <c r="D1299" s="3" t="s">
        <v>28</v>
      </c>
      <c r="E1299" s="3" t="s">
        <v>15</v>
      </c>
      <c r="F1299" s="3" t="s">
        <v>36</v>
      </c>
      <c r="G1299" s="0" t="n">
        <v>555</v>
      </c>
      <c r="H1299" s="0" t="n">
        <v>0</v>
      </c>
      <c r="I1299" s="0" t="n">
        <v>0</v>
      </c>
      <c r="J1299" s="0" t="n">
        <v>39</v>
      </c>
      <c r="K1299" s="0" t="n">
        <v>4.5</v>
      </c>
      <c r="L1299" s="3" t="s">
        <v>17</v>
      </c>
    </row>
    <row r="1300" customFormat="false" ht="15" hidden="false" customHeight="false" outlineLevel="0" collapsed="false">
      <c r="A1300" s="0" t="s">
        <v>1449</v>
      </c>
      <c r="B1300" s="2" t="n">
        <v>45805</v>
      </c>
      <c r="C1300" s="3" t="s">
        <v>40</v>
      </c>
      <c r="D1300" s="3" t="s">
        <v>31</v>
      </c>
      <c r="E1300" s="3" t="s">
        <v>21</v>
      </c>
      <c r="F1300" s="3" t="s">
        <v>36</v>
      </c>
      <c r="G1300" s="0" t="n">
        <v>351</v>
      </c>
      <c r="H1300" s="0" t="n">
        <v>0</v>
      </c>
      <c r="I1300" s="0" t="n">
        <v>40</v>
      </c>
      <c r="J1300" s="0" t="n">
        <v>33</v>
      </c>
      <c r="K1300" s="0" t="n">
        <v>4.9</v>
      </c>
      <c r="L1300" s="3" t="s">
        <v>17</v>
      </c>
    </row>
    <row r="1301" customFormat="false" ht="15" hidden="false" customHeight="false" outlineLevel="0" collapsed="false">
      <c r="A1301" s="0" t="s">
        <v>1450</v>
      </c>
      <c r="B1301" s="2" t="n">
        <v>45823</v>
      </c>
      <c r="C1301" s="3" t="s">
        <v>40</v>
      </c>
      <c r="D1301" s="3" t="s">
        <v>25</v>
      </c>
      <c r="E1301" s="3" t="s">
        <v>21</v>
      </c>
      <c r="F1301" s="3" t="s">
        <v>22</v>
      </c>
      <c r="G1301" s="0" t="n">
        <v>428</v>
      </c>
      <c r="H1301" s="0" t="n">
        <v>79</v>
      </c>
      <c r="I1301" s="0" t="n">
        <v>45</v>
      </c>
      <c r="J1301" s="0" t="n">
        <v>40</v>
      </c>
      <c r="K1301" s="0" t="n">
        <v>4.6</v>
      </c>
      <c r="L1301" s="3" t="s">
        <v>17</v>
      </c>
    </row>
    <row r="1302" customFormat="false" ht="15" hidden="false" customHeight="false" outlineLevel="0" collapsed="false">
      <c r="A1302" s="0" t="s">
        <v>1451</v>
      </c>
      <c r="B1302" s="2" t="n">
        <v>45832</v>
      </c>
      <c r="C1302" s="3" t="s">
        <v>13</v>
      </c>
      <c r="D1302" s="3" t="s">
        <v>20</v>
      </c>
      <c r="E1302" s="3" t="s">
        <v>21</v>
      </c>
      <c r="F1302" s="3" t="s">
        <v>22</v>
      </c>
      <c r="G1302" s="0" t="n">
        <v>443</v>
      </c>
      <c r="H1302" s="0" t="n">
        <v>0</v>
      </c>
      <c r="I1302" s="0" t="n">
        <v>20</v>
      </c>
      <c r="J1302" s="0" t="n">
        <v>22</v>
      </c>
      <c r="K1302" s="0" t="n">
        <v>4.5</v>
      </c>
      <c r="L1302" s="3" t="s">
        <v>17</v>
      </c>
    </row>
    <row r="1303" customFormat="false" ht="15" hidden="false" customHeight="false" outlineLevel="0" collapsed="false">
      <c r="A1303" s="0" t="s">
        <v>1452</v>
      </c>
      <c r="B1303" s="2" t="n">
        <v>45904</v>
      </c>
      <c r="C1303" s="3" t="s">
        <v>24</v>
      </c>
      <c r="D1303" s="3" t="s">
        <v>31</v>
      </c>
      <c r="E1303" s="3" t="s">
        <v>21</v>
      </c>
      <c r="F1303" s="3" t="s">
        <v>22</v>
      </c>
      <c r="G1303" s="0" t="n">
        <v>620</v>
      </c>
      <c r="H1303" s="0" t="n">
        <v>0</v>
      </c>
      <c r="I1303" s="0" t="n">
        <v>0</v>
      </c>
      <c r="J1303" s="0" t="n">
        <v>41</v>
      </c>
      <c r="K1303" s="0" t="n">
        <v>4</v>
      </c>
      <c r="L1303" s="3" t="s">
        <v>17</v>
      </c>
    </row>
    <row r="1304" customFormat="false" ht="15" hidden="false" customHeight="false" outlineLevel="0" collapsed="false">
      <c r="A1304" s="0" t="s">
        <v>1453</v>
      </c>
      <c r="B1304" s="2" t="n">
        <v>46000</v>
      </c>
      <c r="C1304" s="3" t="s">
        <v>24</v>
      </c>
      <c r="D1304" s="3" t="s">
        <v>49</v>
      </c>
      <c r="E1304" s="3" t="s">
        <v>15</v>
      </c>
      <c r="F1304" s="3" t="s">
        <v>54</v>
      </c>
      <c r="G1304" s="0" t="n">
        <v>362</v>
      </c>
      <c r="H1304" s="0" t="n">
        <v>0</v>
      </c>
      <c r="I1304" s="0" t="n">
        <v>40</v>
      </c>
      <c r="J1304" s="0" t="n">
        <v>29</v>
      </c>
      <c r="K1304" s="0" t="n">
        <v>4.3</v>
      </c>
      <c r="L1304" s="3" t="s">
        <v>17</v>
      </c>
    </row>
    <row r="1305" customFormat="false" ht="15" hidden="false" customHeight="false" outlineLevel="0" collapsed="false">
      <c r="A1305" s="0" t="s">
        <v>1454</v>
      </c>
      <c r="B1305" s="2" t="n">
        <v>46002</v>
      </c>
      <c r="C1305" s="3" t="s">
        <v>13</v>
      </c>
      <c r="D1305" s="3" t="s">
        <v>31</v>
      </c>
      <c r="E1305" s="3" t="s">
        <v>21</v>
      </c>
      <c r="F1305" s="3" t="s">
        <v>54</v>
      </c>
      <c r="G1305" s="0" t="n">
        <v>551</v>
      </c>
      <c r="H1305" s="0" t="n">
        <v>0</v>
      </c>
      <c r="I1305" s="0" t="n">
        <v>0</v>
      </c>
      <c r="J1305" s="0" t="n">
        <v>33</v>
      </c>
      <c r="K1305" s="0" t="n">
        <v>4.7</v>
      </c>
      <c r="L1305" s="3" t="s">
        <v>17</v>
      </c>
    </row>
    <row r="1306" customFormat="false" ht="15" hidden="false" customHeight="false" outlineLevel="0" collapsed="false">
      <c r="A1306" s="0" t="s">
        <v>1455</v>
      </c>
      <c r="B1306" s="2" t="n">
        <v>45817</v>
      </c>
      <c r="C1306" s="3" t="s">
        <v>13</v>
      </c>
      <c r="D1306" s="3" t="s">
        <v>49</v>
      </c>
      <c r="E1306" s="3" t="s">
        <v>21</v>
      </c>
      <c r="F1306" s="3" t="s">
        <v>36</v>
      </c>
      <c r="G1306" s="0" t="n">
        <v>596</v>
      </c>
      <c r="H1306" s="0" t="n">
        <v>0</v>
      </c>
      <c r="I1306" s="0" t="n">
        <v>0</v>
      </c>
      <c r="J1306" s="0" t="n">
        <v>31</v>
      </c>
      <c r="K1306" s="0" t="n">
        <v>4</v>
      </c>
      <c r="L1306" s="3" t="s">
        <v>17</v>
      </c>
    </row>
    <row r="1307" customFormat="false" ht="15" hidden="false" customHeight="false" outlineLevel="0" collapsed="false">
      <c r="A1307" s="0" t="s">
        <v>1456</v>
      </c>
      <c r="B1307" s="2" t="n">
        <v>45794</v>
      </c>
      <c r="C1307" s="3" t="s">
        <v>27</v>
      </c>
      <c r="D1307" s="3" t="s">
        <v>25</v>
      </c>
      <c r="E1307" s="3" t="s">
        <v>21</v>
      </c>
      <c r="F1307" s="3" t="s">
        <v>22</v>
      </c>
      <c r="G1307" s="0" t="n">
        <v>365</v>
      </c>
      <c r="H1307" s="0" t="n">
        <v>0</v>
      </c>
      <c r="I1307" s="0" t="n">
        <v>20</v>
      </c>
      <c r="J1307" s="0" t="n">
        <v>54</v>
      </c>
      <c r="L1307" s="3" t="s">
        <v>17</v>
      </c>
    </row>
    <row r="1308" customFormat="false" ht="15" hidden="false" customHeight="false" outlineLevel="0" collapsed="false">
      <c r="A1308" s="0" t="s">
        <v>1457</v>
      </c>
      <c r="B1308" s="2" t="n">
        <v>45839</v>
      </c>
      <c r="C1308" s="3" t="s">
        <v>51</v>
      </c>
      <c r="D1308" s="3" t="s">
        <v>78</v>
      </c>
      <c r="E1308" s="3" t="s">
        <v>21</v>
      </c>
      <c r="F1308" s="3" t="s">
        <v>34</v>
      </c>
      <c r="G1308" s="0" t="n">
        <v>399</v>
      </c>
      <c r="H1308" s="0" t="n">
        <v>0</v>
      </c>
      <c r="I1308" s="0" t="n">
        <v>20</v>
      </c>
      <c r="J1308" s="0" t="n">
        <v>36</v>
      </c>
      <c r="K1308" s="0" t="n">
        <v>3.9</v>
      </c>
      <c r="L1308" s="3" t="s">
        <v>17</v>
      </c>
    </row>
    <row r="1309" customFormat="false" ht="15" hidden="false" customHeight="false" outlineLevel="0" collapsed="false">
      <c r="A1309" s="0" t="s">
        <v>1458</v>
      </c>
      <c r="B1309" s="2" t="n">
        <v>45881</v>
      </c>
      <c r="C1309" s="3" t="s">
        <v>24</v>
      </c>
      <c r="D1309" s="3" t="s">
        <v>20</v>
      </c>
      <c r="E1309" s="3" t="s">
        <v>21</v>
      </c>
      <c r="F1309" s="3" t="s">
        <v>22</v>
      </c>
      <c r="G1309" s="0" t="n">
        <v>705</v>
      </c>
      <c r="H1309" s="0" t="n">
        <v>0</v>
      </c>
      <c r="I1309" s="0" t="n">
        <v>0</v>
      </c>
      <c r="J1309" s="0" t="n">
        <v>50</v>
      </c>
      <c r="K1309" s="0" t="n">
        <v>4</v>
      </c>
      <c r="L1309" s="3" t="s">
        <v>17</v>
      </c>
    </row>
    <row r="1310" customFormat="false" ht="15" hidden="false" customHeight="false" outlineLevel="0" collapsed="false">
      <c r="A1310" s="0" t="s">
        <v>1459</v>
      </c>
      <c r="B1310" s="2" t="n">
        <v>45843</v>
      </c>
      <c r="C1310" s="3" t="s">
        <v>30</v>
      </c>
      <c r="D1310" s="3" t="s">
        <v>31</v>
      </c>
      <c r="E1310" s="3" t="s">
        <v>21</v>
      </c>
      <c r="F1310" s="3" t="s">
        <v>22</v>
      </c>
      <c r="G1310" s="0" t="n">
        <v>589</v>
      </c>
      <c r="H1310" s="0" t="n">
        <v>0</v>
      </c>
      <c r="I1310" s="0" t="n">
        <v>0</v>
      </c>
      <c r="J1310" s="0" t="n">
        <v>35</v>
      </c>
      <c r="K1310" s="0" t="n">
        <v>4.2</v>
      </c>
      <c r="L1310" s="3" t="s">
        <v>17</v>
      </c>
    </row>
    <row r="1311" customFormat="false" ht="15" hidden="false" customHeight="false" outlineLevel="0" collapsed="false">
      <c r="A1311" s="0" t="s">
        <v>1460</v>
      </c>
      <c r="B1311" s="2" t="n">
        <v>45912</v>
      </c>
      <c r="C1311" s="3" t="s">
        <v>40</v>
      </c>
      <c r="D1311" s="3" t="s">
        <v>31</v>
      </c>
      <c r="E1311" s="3" t="s">
        <v>21</v>
      </c>
      <c r="F1311" s="3" t="s">
        <v>22</v>
      </c>
      <c r="G1311" s="0" t="n">
        <v>532</v>
      </c>
      <c r="H1311" s="0" t="n">
        <v>0</v>
      </c>
      <c r="I1311" s="0" t="n">
        <v>0</v>
      </c>
      <c r="J1311" s="0" t="n">
        <v>48</v>
      </c>
      <c r="L1311" s="3" t="s">
        <v>17</v>
      </c>
    </row>
    <row r="1312" customFormat="false" ht="15" hidden="false" customHeight="false" outlineLevel="0" collapsed="false">
      <c r="A1312" s="0" t="s">
        <v>1461</v>
      </c>
      <c r="B1312" s="2" t="n">
        <v>45877</v>
      </c>
      <c r="C1312" s="3" t="s">
        <v>13</v>
      </c>
      <c r="D1312" s="3" t="s">
        <v>31</v>
      </c>
      <c r="E1312" s="3" t="s">
        <v>15</v>
      </c>
      <c r="F1312" s="3" t="s">
        <v>36</v>
      </c>
      <c r="G1312" s="0" t="n">
        <v>497</v>
      </c>
      <c r="H1312" s="0" t="n">
        <v>0</v>
      </c>
      <c r="I1312" s="0" t="n">
        <v>20</v>
      </c>
      <c r="J1312" s="0" t="n">
        <v>32</v>
      </c>
      <c r="K1312" s="0" t="n">
        <v>5</v>
      </c>
      <c r="L1312" s="3" t="s">
        <v>17</v>
      </c>
    </row>
    <row r="1313" customFormat="false" ht="15" hidden="false" customHeight="false" outlineLevel="0" collapsed="false">
      <c r="A1313" s="0" t="s">
        <v>1462</v>
      </c>
      <c r="B1313" s="2" t="n">
        <v>45790</v>
      </c>
      <c r="C1313" s="3" t="s">
        <v>19</v>
      </c>
      <c r="D1313" s="3" t="s">
        <v>20</v>
      </c>
      <c r="E1313" s="3" t="s">
        <v>15</v>
      </c>
      <c r="F1313" s="3" t="s">
        <v>22</v>
      </c>
      <c r="G1313" s="0" t="n">
        <v>584</v>
      </c>
      <c r="H1313" s="0" t="n">
        <v>106</v>
      </c>
      <c r="I1313" s="0" t="n">
        <v>0</v>
      </c>
      <c r="J1313" s="0" t="n">
        <v>30</v>
      </c>
      <c r="K1313" s="0" t="n">
        <v>4.2</v>
      </c>
      <c r="L1313" s="3" t="s">
        <v>17</v>
      </c>
    </row>
    <row r="1314" customFormat="false" ht="15" hidden="false" customHeight="false" outlineLevel="0" collapsed="false">
      <c r="A1314" s="0" t="s">
        <v>1463</v>
      </c>
      <c r="B1314" s="2" t="n">
        <v>45800</v>
      </c>
      <c r="C1314" s="3" t="s">
        <v>45</v>
      </c>
      <c r="D1314" s="3" t="s">
        <v>14</v>
      </c>
      <c r="E1314" s="3" t="s">
        <v>21</v>
      </c>
      <c r="F1314" s="3" t="s">
        <v>34</v>
      </c>
      <c r="G1314" s="0" t="n">
        <v>393</v>
      </c>
      <c r="H1314" s="0" t="n">
        <v>0</v>
      </c>
      <c r="I1314" s="0" t="n">
        <v>30</v>
      </c>
      <c r="J1314" s="0" t="n">
        <v>39</v>
      </c>
      <c r="K1314" s="0" t="n">
        <v>4</v>
      </c>
      <c r="L1314" s="3" t="s">
        <v>17</v>
      </c>
    </row>
    <row r="1315" customFormat="false" ht="15" hidden="false" customHeight="false" outlineLevel="0" collapsed="false">
      <c r="A1315" s="0" t="s">
        <v>1464</v>
      </c>
      <c r="B1315" s="2" t="n">
        <v>45813</v>
      </c>
      <c r="C1315" s="3" t="s">
        <v>27</v>
      </c>
      <c r="D1315" s="3" t="s">
        <v>56</v>
      </c>
      <c r="E1315" s="3" t="s">
        <v>21</v>
      </c>
      <c r="F1315" s="3" t="s">
        <v>54</v>
      </c>
      <c r="G1315" s="0" t="n">
        <v>357</v>
      </c>
      <c r="H1315" s="0" t="n">
        <v>0</v>
      </c>
      <c r="I1315" s="0" t="n">
        <v>30</v>
      </c>
      <c r="J1315" s="0" t="n">
        <v>48</v>
      </c>
      <c r="K1315" s="0" t="n">
        <v>3.6</v>
      </c>
      <c r="L1315" s="3" t="s">
        <v>17</v>
      </c>
    </row>
    <row r="1316" customFormat="false" ht="15" hidden="false" customHeight="false" outlineLevel="0" collapsed="false">
      <c r="A1316" s="0" t="s">
        <v>1465</v>
      </c>
      <c r="B1316" s="2" t="n">
        <v>45699</v>
      </c>
      <c r="C1316" s="3" t="s">
        <v>13</v>
      </c>
      <c r="D1316" s="3" t="s">
        <v>56</v>
      </c>
      <c r="E1316" s="3" t="s">
        <v>21</v>
      </c>
      <c r="F1316" s="3" t="s">
        <v>36</v>
      </c>
      <c r="G1316" s="0" t="n">
        <v>370</v>
      </c>
      <c r="H1316" s="0" t="n">
        <v>0</v>
      </c>
      <c r="I1316" s="0" t="n">
        <v>20</v>
      </c>
      <c r="J1316" s="0" t="n">
        <v>37</v>
      </c>
      <c r="K1316" s="0" t="n">
        <v>4.2</v>
      </c>
      <c r="L1316" s="3" t="s">
        <v>17</v>
      </c>
    </row>
    <row r="1317" customFormat="false" ht="15" hidden="false" customHeight="false" outlineLevel="0" collapsed="false">
      <c r="A1317" s="0" t="s">
        <v>1466</v>
      </c>
      <c r="B1317" s="2" t="n">
        <v>45729</v>
      </c>
      <c r="C1317" s="3" t="s">
        <v>279</v>
      </c>
      <c r="D1317" s="3" t="s">
        <v>20</v>
      </c>
      <c r="E1317" s="3" t="s">
        <v>21</v>
      </c>
      <c r="F1317" s="3" t="s">
        <v>22</v>
      </c>
      <c r="G1317" s="0" t="n">
        <v>576</v>
      </c>
      <c r="H1317" s="0" t="n">
        <v>0</v>
      </c>
      <c r="I1317" s="0" t="n">
        <v>0</v>
      </c>
      <c r="J1317" s="0" t="n">
        <v>34</v>
      </c>
      <c r="K1317" s="0" t="n">
        <v>4.2</v>
      </c>
      <c r="L1317" s="3" t="s">
        <v>17</v>
      </c>
    </row>
    <row r="1318" customFormat="false" ht="15" hidden="false" customHeight="false" outlineLevel="0" collapsed="false">
      <c r="A1318" s="0" t="s">
        <v>1467</v>
      </c>
      <c r="B1318" s="2" t="n">
        <v>45934</v>
      </c>
      <c r="C1318" s="3" t="s">
        <v>13</v>
      </c>
      <c r="D1318" s="3" t="s">
        <v>20</v>
      </c>
      <c r="E1318" s="3" t="s">
        <v>21</v>
      </c>
      <c r="F1318" s="3" t="s">
        <v>54</v>
      </c>
      <c r="G1318" s="0" t="n">
        <v>569</v>
      </c>
      <c r="H1318" s="0" t="n">
        <v>0</v>
      </c>
      <c r="I1318" s="0" t="n">
        <v>0</v>
      </c>
      <c r="J1318" s="0" t="n">
        <v>32</v>
      </c>
      <c r="K1318" s="0" t="n">
        <v>3.8</v>
      </c>
      <c r="L1318" s="3" t="s">
        <v>17</v>
      </c>
    </row>
    <row r="1319" customFormat="false" ht="15" hidden="false" customHeight="false" outlineLevel="0" collapsed="false">
      <c r="A1319" s="0" t="s">
        <v>1468</v>
      </c>
      <c r="B1319" s="2" t="n">
        <v>45816</v>
      </c>
      <c r="C1319" s="3" t="s">
        <v>30</v>
      </c>
      <c r="D1319" s="3" t="s">
        <v>28</v>
      </c>
      <c r="E1319" s="3" t="s">
        <v>21</v>
      </c>
      <c r="F1319" s="3" t="s">
        <v>34</v>
      </c>
      <c r="G1319" s="0" t="n">
        <v>346</v>
      </c>
      <c r="H1319" s="0" t="n">
        <v>55</v>
      </c>
      <c r="I1319" s="0" t="n">
        <v>20</v>
      </c>
      <c r="J1319" s="0" t="n">
        <v>39</v>
      </c>
      <c r="K1319" s="0" t="n">
        <v>4</v>
      </c>
      <c r="L1319" s="3" t="s">
        <v>17</v>
      </c>
    </row>
    <row r="1320" customFormat="false" ht="15" hidden="false" customHeight="false" outlineLevel="0" collapsed="false">
      <c r="A1320" s="0" t="s">
        <v>1469</v>
      </c>
      <c r="B1320" s="2" t="n">
        <v>45749</v>
      </c>
      <c r="C1320" s="3" t="s">
        <v>670</v>
      </c>
      <c r="D1320" s="3" t="s">
        <v>56</v>
      </c>
      <c r="E1320" s="3" t="s">
        <v>21</v>
      </c>
      <c r="F1320" s="3" t="s">
        <v>16</v>
      </c>
      <c r="G1320" s="0" t="n">
        <v>422</v>
      </c>
      <c r="H1320" s="0" t="n">
        <v>76</v>
      </c>
      <c r="I1320" s="0" t="n">
        <v>20</v>
      </c>
      <c r="J1320" s="0" t="n">
        <v>37</v>
      </c>
      <c r="K1320" s="0" t="n">
        <v>4.5</v>
      </c>
      <c r="L1320" s="3" t="s">
        <v>17</v>
      </c>
    </row>
    <row r="1321" customFormat="false" ht="15" hidden="false" customHeight="false" outlineLevel="0" collapsed="false">
      <c r="A1321" s="0" t="s">
        <v>1470</v>
      </c>
      <c r="B1321" s="2" t="n">
        <v>45879</v>
      </c>
      <c r="C1321" s="3" t="s">
        <v>27</v>
      </c>
      <c r="D1321" s="3" t="s">
        <v>28</v>
      </c>
      <c r="E1321" s="3" t="s">
        <v>58</v>
      </c>
      <c r="F1321" s="3" t="s">
        <v>34</v>
      </c>
      <c r="G1321" s="0" t="n">
        <v>468</v>
      </c>
      <c r="H1321" s="0" t="n">
        <v>0</v>
      </c>
      <c r="I1321" s="0" t="n">
        <v>20</v>
      </c>
      <c r="J1321" s="0" t="n">
        <v>38</v>
      </c>
      <c r="K1321" s="0" t="n">
        <v>4.7</v>
      </c>
      <c r="L1321" s="3" t="s">
        <v>17</v>
      </c>
    </row>
    <row r="1322" customFormat="false" ht="15" hidden="false" customHeight="false" outlineLevel="0" collapsed="false">
      <c r="A1322" s="0" t="s">
        <v>1471</v>
      </c>
      <c r="B1322" s="2" t="n">
        <v>45945</v>
      </c>
      <c r="C1322" s="3" t="s">
        <v>40</v>
      </c>
      <c r="D1322" s="3" t="s">
        <v>78</v>
      </c>
      <c r="E1322" s="3" t="s">
        <v>21</v>
      </c>
      <c r="F1322" s="3" t="s">
        <v>54</v>
      </c>
      <c r="G1322" s="0" t="n">
        <v>336</v>
      </c>
      <c r="H1322" s="0" t="n">
        <v>0</v>
      </c>
      <c r="I1322" s="0" t="n">
        <v>20</v>
      </c>
      <c r="L1322" s="3" t="s">
        <v>68</v>
      </c>
    </row>
    <row r="1323" customFormat="false" ht="15" hidden="false" customHeight="false" outlineLevel="0" collapsed="false">
      <c r="A1323" s="0" t="s">
        <v>1472</v>
      </c>
      <c r="B1323" s="2" t="n">
        <v>45766</v>
      </c>
      <c r="C1323" s="3" t="s">
        <v>27</v>
      </c>
      <c r="D1323" s="3" t="s">
        <v>25</v>
      </c>
      <c r="E1323" s="3" t="s">
        <v>21</v>
      </c>
      <c r="F1323" s="3" t="s">
        <v>16</v>
      </c>
      <c r="G1323" s="0" t="n">
        <v>345</v>
      </c>
      <c r="H1323" s="0" t="n">
        <v>0</v>
      </c>
      <c r="I1323" s="0" t="n">
        <v>30</v>
      </c>
      <c r="J1323" s="0" t="n">
        <v>36</v>
      </c>
      <c r="K1323" s="0" t="n">
        <v>4.3</v>
      </c>
      <c r="L1323" s="3" t="s">
        <v>17</v>
      </c>
    </row>
    <row r="1324" customFormat="false" ht="15" hidden="false" customHeight="false" outlineLevel="0" collapsed="false">
      <c r="A1324" s="0" t="s">
        <v>1473</v>
      </c>
      <c r="B1324" s="2" t="n">
        <v>45968</v>
      </c>
      <c r="C1324" s="3" t="s">
        <v>40</v>
      </c>
      <c r="D1324" s="3" t="s">
        <v>31</v>
      </c>
      <c r="E1324" s="3" t="s">
        <v>21</v>
      </c>
      <c r="F1324" s="3" t="s">
        <v>16</v>
      </c>
      <c r="G1324" s="0" t="n">
        <v>358</v>
      </c>
      <c r="H1324" s="0" t="n">
        <v>0</v>
      </c>
      <c r="I1324" s="0" t="n">
        <v>20</v>
      </c>
      <c r="L1324" s="3" t="s">
        <v>68</v>
      </c>
    </row>
    <row r="1325" customFormat="false" ht="15" hidden="false" customHeight="false" outlineLevel="0" collapsed="false">
      <c r="A1325" s="0" t="s">
        <v>1474</v>
      </c>
      <c r="B1325" s="2" t="n">
        <v>46000</v>
      </c>
      <c r="C1325" s="3" t="s">
        <v>24</v>
      </c>
      <c r="D1325" s="3" t="s">
        <v>31</v>
      </c>
      <c r="E1325" s="3" t="s">
        <v>21</v>
      </c>
      <c r="F1325" s="3" t="s">
        <v>16</v>
      </c>
      <c r="G1325" s="0" t="n">
        <v>479</v>
      </c>
      <c r="H1325" s="0" t="n">
        <v>0</v>
      </c>
      <c r="I1325" s="0" t="n">
        <v>30</v>
      </c>
      <c r="J1325" s="0" t="n">
        <v>29</v>
      </c>
      <c r="K1325" s="0" t="n">
        <v>4.2</v>
      </c>
      <c r="L1325" s="3" t="s">
        <v>17</v>
      </c>
    </row>
    <row r="1326" customFormat="false" ht="15" hidden="false" customHeight="false" outlineLevel="0" collapsed="false">
      <c r="A1326" s="0" t="s">
        <v>1475</v>
      </c>
      <c r="B1326" s="2" t="n">
        <v>45891</v>
      </c>
      <c r="C1326" s="3" t="s">
        <v>24</v>
      </c>
      <c r="D1326" s="3" t="s">
        <v>20</v>
      </c>
      <c r="E1326" s="3" t="s">
        <v>21</v>
      </c>
      <c r="F1326" s="3" t="s">
        <v>22</v>
      </c>
      <c r="G1326" s="0" t="n">
        <v>744</v>
      </c>
      <c r="H1326" s="0" t="n">
        <v>84</v>
      </c>
      <c r="I1326" s="0" t="n">
        <v>0</v>
      </c>
      <c r="J1326" s="0" t="n">
        <v>42</v>
      </c>
      <c r="K1326" s="0" t="n">
        <v>3.6</v>
      </c>
      <c r="L1326" s="3" t="s">
        <v>17</v>
      </c>
    </row>
    <row r="1327" customFormat="false" ht="15" hidden="false" customHeight="false" outlineLevel="0" collapsed="false">
      <c r="A1327" s="0" t="s">
        <v>1476</v>
      </c>
      <c r="B1327" s="2" t="n">
        <v>45916</v>
      </c>
      <c r="C1327" s="3" t="s">
        <v>13</v>
      </c>
      <c r="D1327" s="3" t="s">
        <v>25</v>
      </c>
      <c r="E1327" s="3" t="s">
        <v>21</v>
      </c>
      <c r="F1327" s="3" t="s">
        <v>36</v>
      </c>
      <c r="G1327" s="0" t="n">
        <v>393</v>
      </c>
      <c r="H1327" s="0" t="n">
        <v>57</v>
      </c>
      <c r="I1327" s="0" t="n">
        <v>40</v>
      </c>
      <c r="J1327" s="0" t="n">
        <v>37</v>
      </c>
      <c r="K1327" s="0" t="n">
        <v>3.4</v>
      </c>
      <c r="L1327" s="3" t="s">
        <v>17</v>
      </c>
    </row>
    <row r="1328" customFormat="false" ht="15" hidden="false" customHeight="false" outlineLevel="0" collapsed="false">
      <c r="A1328" s="0" t="s">
        <v>1477</v>
      </c>
      <c r="B1328" s="2" t="n">
        <v>45681</v>
      </c>
      <c r="C1328" s="3" t="s">
        <v>40</v>
      </c>
      <c r="D1328" s="3" t="s">
        <v>49</v>
      </c>
      <c r="E1328" s="3" t="s">
        <v>15</v>
      </c>
      <c r="F1328" s="3" t="s">
        <v>22</v>
      </c>
      <c r="G1328" s="0" t="n">
        <v>407</v>
      </c>
      <c r="H1328" s="0" t="n">
        <v>0</v>
      </c>
      <c r="I1328" s="0" t="n">
        <v>30</v>
      </c>
      <c r="J1328" s="0" t="n">
        <v>34</v>
      </c>
      <c r="K1328" s="0" t="n">
        <v>3.9</v>
      </c>
      <c r="L1328" s="3" t="s">
        <v>17</v>
      </c>
    </row>
    <row r="1329" customFormat="false" ht="15" hidden="false" customHeight="false" outlineLevel="0" collapsed="false">
      <c r="A1329" s="0" t="s">
        <v>1478</v>
      </c>
      <c r="B1329" s="2" t="n">
        <v>46005</v>
      </c>
      <c r="C1329" s="3" t="s">
        <v>40</v>
      </c>
      <c r="D1329" s="3" t="s">
        <v>20</v>
      </c>
      <c r="E1329" s="3" t="s">
        <v>21</v>
      </c>
      <c r="F1329" s="3" t="s">
        <v>22</v>
      </c>
      <c r="G1329" s="0" t="n">
        <v>745</v>
      </c>
      <c r="H1329" s="0" t="n">
        <v>103</v>
      </c>
      <c r="I1329" s="0" t="n">
        <v>0</v>
      </c>
      <c r="L1329" s="3" t="s">
        <v>68</v>
      </c>
    </row>
    <row r="1330" customFormat="false" ht="15" hidden="false" customHeight="false" outlineLevel="0" collapsed="false">
      <c r="A1330" s="0" t="s">
        <v>1479</v>
      </c>
      <c r="B1330" s="2" t="n">
        <v>45818</v>
      </c>
      <c r="C1330" s="3" t="s">
        <v>40</v>
      </c>
      <c r="D1330" s="3" t="s">
        <v>56</v>
      </c>
      <c r="E1330" s="3" t="s">
        <v>21</v>
      </c>
      <c r="F1330" s="3" t="s">
        <v>22</v>
      </c>
      <c r="G1330" s="0" t="n">
        <v>383</v>
      </c>
      <c r="H1330" s="0" t="n">
        <v>0</v>
      </c>
      <c r="I1330" s="0" t="n">
        <v>20</v>
      </c>
      <c r="J1330" s="0" t="n">
        <v>28</v>
      </c>
      <c r="K1330" s="0" t="n">
        <v>4.2</v>
      </c>
      <c r="L1330" s="3" t="s">
        <v>17</v>
      </c>
    </row>
    <row r="1331" customFormat="false" ht="15" hidden="false" customHeight="false" outlineLevel="0" collapsed="false">
      <c r="A1331" s="0" t="s">
        <v>1480</v>
      </c>
      <c r="B1331" s="0" t="s">
        <v>1481</v>
      </c>
      <c r="C1331" s="0" t="s">
        <v>45</v>
      </c>
      <c r="D1331" s="0" t="s">
        <v>14</v>
      </c>
      <c r="E1331" s="0" t="s">
        <v>15</v>
      </c>
      <c r="F1331" s="0" t="s">
        <v>22</v>
      </c>
      <c r="G1331" s="0" t="n">
        <v>291</v>
      </c>
      <c r="H1331" s="0" t="n">
        <v>44</v>
      </c>
      <c r="I1331" s="0" t="n">
        <v>30</v>
      </c>
      <c r="J1331" s="0" t="n">
        <v>42</v>
      </c>
      <c r="K1331" s="0" t="n">
        <v>3.9</v>
      </c>
      <c r="L1331" s="0" t="s">
        <v>17</v>
      </c>
    </row>
    <row r="1332" customFormat="false" ht="15" hidden="false" customHeight="false" outlineLevel="0" collapsed="false">
      <c r="A1332" s="0" t="s">
        <v>1482</v>
      </c>
      <c r="B1332" s="2" t="n">
        <v>45885</v>
      </c>
      <c r="C1332" s="3" t="s">
        <v>13</v>
      </c>
      <c r="D1332" s="3" t="s">
        <v>25</v>
      </c>
      <c r="E1332" s="3" t="s">
        <v>21</v>
      </c>
      <c r="F1332" s="3" t="s">
        <v>22</v>
      </c>
      <c r="G1332" s="0" t="n">
        <v>465</v>
      </c>
      <c r="H1332" s="0" t="n">
        <v>99</v>
      </c>
      <c r="I1332" s="0" t="n">
        <v>40</v>
      </c>
      <c r="J1332" s="0" t="n">
        <v>35</v>
      </c>
      <c r="K1332" s="0" t="n">
        <v>4.1</v>
      </c>
      <c r="L1332" s="3" t="s">
        <v>17</v>
      </c>
    </row>
    <row r="1333" customFormat="false" ht="15" hidden="false" customHeight="false" outlineLevel="0" collapsed="false">
      <c r="A1333" s="0" t="s">
        <v>1483</v>
      </c>
      <c r="B1333" s="2" t="n">
        <v>45660</v>
      </c>
      <c r="C1333" s="3" t="s">
        <v>185</v>
      </c>
      <c r="D1333" s="3" t="s">
        <v>14</v>
      </c>
      <c r="E1333" s="3" t="s">
        <v>58</v>
      </c>
      <c r="F1333" s="3" t="s">
        <v>34</v>
      </c>
      <c r="G1333" s="0" t="n">
        <v>301</v>
      </c>
      <c r="H1333" s="0" t="n">
        <v>73</v>
      </c>
      <c r="I1333" s="0" t="n">
        <v>20</v>
      </c>
      <c r="J1333" s="0" t="n">
        <v>23</v>
      </c>
      <c r="K1333" s="0" t="n">
        <v>5</v>
      </c>
      <c r="L1333" s="3" t="s">
        <v>17</v>
      </c>
    </row>
    <row r="1334" customFormat="false" ht="15" hidden="false" customHeight="false" outlineLevel="0" collapsed="false">
      <c r="A1334" s="0" t="s">
        <v>1484</v>
      </c>
      <c r="B1334" s="2" t="n">
        <v>45675</v>
      </c>
      <c r="C1334" s="3" t="s">
        <v>185</v>
      </c>
      <c r="D1334" s="3" t="s">
        <v>31</v>
      </c>
      <c r="E1334" s="3" t="s">
        <v>21</v>
      </c>
      <c r="F1334" s="3" t="s">
        <v>22</v>
      </c>
      <c r="G1334" s="0" t="n">
        <v>325</v>
      </c>
      <c r="H1334" s="0" t="n">
        <v>50</v>
      </c>
      <c r="I1334" s="0" t="n">
        <v>30</v>
      </c>
      <c r="J1334" s="0" t="n">
        <v>49</v>
      </c>
      <c r="K1334" s="0" t="n">
        <v>3.5</v>
      </c>
      <c r="L1334" s="3" t="s">
        <v>17</v>
      </c>
    </row>
    <row r="1335" customFormat="false" ht="15" hidden="false" customHeight="false" outlineLevel="0" collapsed="false">
      <c r="A1335" s="0" t="s">
        <v>1485</v>
      </c>
      <c r="B1335" s="2" t="n">
        <v>45920</v>
      </c>
      <c r="C1335" s="3" t="s">
        <v>27</v>
      </c>
      <c r="D1335" s="3" t="s">
        <v>20</v>
      </c>
      <c r="E1335" s="3" t="s">
        <v>21</v>
      </c>
      <c r="F1335" s="3" t="s">
        <v>22</v>
      </c>
      <c r="G1335" s="0" t="n">
        <v>396</v>
      </c>
      <c r="H1335" s="0" t="n">
        <v>0</v>
      </c>
      <c r="I1335" s="0" t="n">
        <v>40</v>
      </c>
      <c r="J1335" s="0" t="n">
        <v>49</v>
      </c>
      <c r="K1335" s="0" t="n">
        <v>4.1</v>
      </c>
      <c r="L1335" s="3" t="s">
        <v>17</v>
      </c>
    </row>
    <row r="1336" customFormat="false" ht="15" hidden="false" customHeight="false" outlineLevel="0" collapsed="false">
      <c r="A1336" s="0" t="s">
        <v>1486</v>
      </c>
      <c r="B1336" s="2" t="n">
        <v>45879</v>
      </c>
      <c r="C1336" s="3" t="s">
        <v>24</v>
      </c>
      <c r="D1336" s="3" t="s">
        <v>49</v>
      </c>
      <c r="E1336" s="3" t="s">
        <v>15</v>
      </c>
      <c r="F1336" s="3" t="s">
        <v>36</v>
      </c>
      <c r="G1336" s="0" t="n">
        <v>438</v>
      </c>
      <c r="H1336" s="0" t="n">
        <v>0</v>
      </c>
      <c r="I1336" s="0" t="n">
        <v>30</v>
      </c>
      <c r="J1336" s="0" t="n">
        <v>33</v>
      </c>
      <c r="K1336" s="0" t="n">
        <v>4.3</v>
      </c>
      <c r="L1336" s="3" t="s">
        <v>17</v>
      </c>
    </row>
    <row r="1337" customFormat="false" ht="15" hidden="false" customHeight="false" outlineLevel="0" collapsed="false">
      <c r="A1337" s="0" t="s">
        <v>1487</v>
      </c>
      <c r="B1337" s="2" t="n">
        <v>45669</v>
      </c>
      <c r="C1337" s="3" t="s">
        <v>27</v>
      </c>
      <c r="D1337" s="3" t="s">
        <v>28</v>
      </c>
      <c r="E1337" s="3" t="s">
        <v>15</v>
      </c>
      <c r="F1337" s="3" t="s">
        <v>54</v>
      </c>
      <c r="G1337" s="0" t="n">
        <v>520</v>
      </c>
      <c r="H1337" s="0" t="n">
        <v>79</v>
      </c>
      <c r="I1337" s="0" t="n">
        <v>0</v>
      </c>
      <c r="J1337" s="0" t="n">
        <v>35</v>
      </c>
      <c r="K1337" s="0" t="n">
        <v>4.3</v>
      </c>
      <c r="L1337" s="3" t="s">
        <v>17</v>
      </c>
    </row>
    <row r="1338" customFormat="false" ht="15" hidden="false" customHeight="false" outlineLevel="0" collapsed="false">
      <c r="A1338" s="0" t="s">
        <v>1488</v>
      </c>
      <c r="B1338" s="2" t="n">
        <v>45941</v>
      </c>
      <c r="C1338" s="3" t="s">
        <v>27</v>
      </c>
      <c r="D1338" s="3" t="s">
        <v>14</v>
      </c>
      <c r="E1338" s="3" t="s">
        <v>21</v>
      </c>
      <c r="F1338" s="3" t="s">
        <v>16</v>
      </c>
      <c r="G1338" s="0" t="n">
        <v>397</v>
      </c>
      <c r="H1338" s="0" t="n">
        <v>0</v>
      </c>
      <c r="I1338" s="0" t="n">
        <v>30</v>
      </c>
      <c r="J1338" s="0" t="n">
        <v>31</v>
      </c>
      <c r="K1338" s="0" t="n">
        <v>4.5</v>
      </c>
      <c r="L1338" s="3" t="s">
        <v>17</v>
      </c>
    </row>
    <row r="1339" customFormat="false" ht="15" hidden="false" customHeight="false" outlineLevel="0" collapsed="false">
      <c r="A1339" s="0" t="s">
        <v>1489</v>
      </c>
      <c r="B1339" s="2" t="n">
        <v>45976</v>
      </c>
      <c r="C1339" s="3" t="s">
        <v>51</v>
      </c>
      <c r="D1339" s="3" t="s">
        <v>56</v>
      </c>
      <c r="E1339" s="3" t="s">
        <v>21</v>
      </c>
      <c r="G1339" s="0" t="n">
        <v>372</v>
      </c>
      <c r="H1339" s="0" t="n">
        <v>0</v>
      </c>
      <c r="I1339" s="0" t="n">
        <v>20</v>
      </c>
      <c r="J1339" s="0" t="n">
        <v>52</v>
      </c>
      <c r="K1339" s="0" t="n">
        <v>3.9</v>
      </c>
      <c r="L1339" s="3" t="s">
        <v>17</v>
      </c>
    </row>
    <row r="1340" customFormat="false" ht="15" hidden="false" customHeight="false" outlineLevel="0" collapsed="false">
      <c r="A1340" s="0" t="s">
        <v>1490</v>
      </c>
      <c r="B1340" s="2" t="n">
        <v>45856</v>
      </c>
      <c r="C1340" s="3" t="s">
        <v>24</v>
      </c>
      <c r="D1340" s="3" t="s">
        <v>14</v>
      </c>
      <c r="E1340" s="3" t="s">
        <v>21</v>
      </c>
      <c r="F1340" s="3" t="s">
        <v>22</v>
      </c>
      <c r="G1340" s="0" t="n">
        <v>396</v>
      </c>
      <c r="H1340" s="0" t="n">
        <v>0</v>
      </c>
      <c r="I1340" s="0" t="n">
        <v>45</v>
      </c>
      <c r="J1340" s="0" t="n">
        <v>30</v>
      </c>
      <c r="K1340" s="0" t="n">
        <v>4.8</v>
      </c>
      <c r="L1340" s="3" t="s">
        <v>17</v>
      </c>
    </row>
    <row r="1341" customFormat="false" ht="15" hidden="false" customHeight="false" outlineLevel="0" collapsed="false">
      <c r="A1341" s="0" t="s">
        <v>1491</v>
      </c>
      <c r="B1341" s="2" t="n">
        <v>45844</v>
      </c>
      <c r="C1341" s="3" t="s">
        <v>13</v>
      </c>
      <c r="D1341" s="3" t="s">
        <v>20</v>
      </c>
      <c r="E1341" s="3" t="s">
        <v>21</v>
      </c>
      <c r="F1341" s="3" t="s">
        <v>22</v>
      </c>
      <c r="G1341" s="0" t="n">
        <v>754</v>
      </c>
      <c r="H1341" s="0" t="n">
        <v>179</v>
      </c>
      <c r="I1341" s="0" t="n">
        <v>0</v>
      </c>
      <c r="J1341" s="0" t="n">
        <v>24</v>
      </c>
      <c r="K1341" s="0" t="n">
        <v>4.5</v>
      </c>
      <c r="L1341" s="3" t="s">
        <v>17</v>
      </c>
    </row>
    <row r="1342" customFormat="false" ht="15" hidden="false" customHeight="false" outlineLevel="0" collapsed="false">
      <c r="A1342" s="0" t="s">
        <v>1492</v>
      </c>
      <c r="B1342" s="2" t="n">
        <v>45660</v>
      </c>
      <c r="C1342" s="3" t="s">
        <v>40</v>
      </c>
      <c r="D1342" s="3" t="s">
        <v>20</v>
      </c>
      <c r="E1342" s="3" t="s">
        <v>21</v>
      </c>
      <c r="F1342" s="3" t="s">
        <v>22</v>
      </c>
      <c r="G1342" s="0" t="n">
        <v>693</v>
      </c>
      <c r="H1342" s="0" t="n">
        <v>0</v>
      </c>
      <c r="I1342" s="0" t="n">
        <v>0</v>
      </c>
      <c r="J1342" s="0" t="n">
        <v>40</v>
      </c>
      <c r="K1342" s="0" t="n">
        <v>5</v>
      </c>
      <c r="L1342" s="3" t="s">
        <v>17</v>
      </c>
    </row>
    <row r="1343" customFormat="false" ht="15" hidden="false" customHeight="false" outlineLevel="0" collapsed="false">
      <c r="A1343" s="0" t="s">
        <v>1493</v>
      </c>
      <c r="B1343" s="0" t="s">
        <v>1494</v>
      </c>
      <c r="C1343" s="0" t="s">
        <v>51</v>
      </c>
      <c r="D1343" s="0" t="s">
        <v>31</v>
      </c>
      <c r="E1343" s="0" t="s">
        <v>15</v>
      </c>
      <c r="F1343" s="0" t="s">
        <v>54</v>
      </c>
      <c r="G1343" s="0" t="n">
        <v>453</v>
      </c>
      <c r="H1343" s="0" t="n">
        <v>62</v>
      </c>
      <c r="I1343" s="0" t="n">
        <v>20</v>
      </c>
      <c r="J1343" s="0" t="n">
        <v>24</v>
      </c>
      <c r="K1343" s="0" t="n">
        <v>4.6</v>
      </c>
      <c r="L1343" s="0" t="s">
        <v>17</v>
      </c>
    </row>
    <row r="1344" customFormat="false" ht="15" hidden="false" customHeight="false" outlineLevel="0" collapsed="false">
      <c r="A1344" s="0" t="s">
        <v>1495</v>
      </c>
      <c r="B1344" s="2" t="n">
        <v>45794</v>
      </c>
      <c r="C1344" s="3" t="s">
        <v>19</v>
      </c>
      <c r="D1344" s="3" t="s">
        <v>25</v>
      </c>
      <c r="E1344" s="3" t="s">
        <v>21</v>
      </c>
      <c r="F1344" s="3" t="s">
        <v>36</v>
      </c>
      <c r="G1344" s="0" t="n">
        <v>449</v>
      </c>
      <c r="H1344" s="0" t="n">
        <v>0</v>
      </c>
      <c r="I1344" s="0" t="n">
        <v>20</v>
      </c>
      <c r="J1344" s="0" t="n">
        <v>21</v>
      </c>
      <c r="K1344" s="0" t="n">
        <v>3.8</v>
      </c>
      <c r="L1344" s="3" t="s">
        <v>17</v>
      </c>
    </row>
    <row r="1345" customFormat="false" ht="15" hidden="false" customHeight="false" outlineLevel="0" collapsed="false">
      <c r="A1345" s="0" t="s">
        <v>1496</v>
      </c>
      <c r="B1345" s="2" t="n">
        <v>45984</v>
      </c>
      <c r="C1345" s="3" t="s">
        <v>13</v>
      </c>
      <c r="D1345" s="3" t="s">
        <v>20</v>
      </c>
      <c r="E1345" s="3" t="s">
        <v>15</v>
      </c>
      <c r="F1345" s="3" t="s">
        <v>22</v>
      </c>
      <c r="H1345" s="0" t="n">
        <v>125</v>
      </c>
      <c r="I1345" s="0" t="n">
        <v>0</v>
      </c>
      <c r="J1345" s="0" t="n">
        <v>40</v>
      </c>
      <c r="K1345" s="0" t="n">
        <v>4.5</v>
      </c>
      <c r="L1345" s="3" t="s">
        <v>17</v>
      </c>
    </row>
    <row r="1346" customFormat="false" ht="15" hidden="false" customHeight="false" outlineLevel="0" collapsed="false">
      <c r="A1346" s="0" t="s">
        <v>1497</v>
      </c>
      <c r="B1346" s="2" t="n">
        <v>45810</v>
      </c>
      <c r="C1346" s="3" t="s">
        <v>27</v>
      </c>
      <c r="D1346" s="3" t="s">
        <v>31</v>
      </c>
      <c r="E1346" s="3" t="s">
        <v>21</v>
      </c>
      <c r="F1346" s="3" t="s">
        <v>54</v>
      </c>
      <c r="G1346" s="0" t="n">
        <v>659</v>
      </c>
      <c r="H1346" s="0" t="n">
        <v>108</v>
      </c>
      <c r="I1346" s="0" t="n">
        <v>0</v>
      </c>
      <c r="J1346" s="0" t="n">
        <v>45</v>
      </c>
      <c r="K1346" s="0" t="n">
        <v>4.2</v>
      </c>
      <c r="L1346" s="3" t="s">
        <v>17</v>
      </c>
    </row>
    <row r="1347" customFormat="false" ht="15" hidden="false" customHeight="false" outlineLevel="0" collapsed="false">
      <c r="A1347" s="0" t="s">
        <v>1498</v>
      </c>
      <c r="B1347" s="0" t="s">
        <v>1499</v>
      </c>
      <c r="C1347" s="0" t="s">
        <v>24</v>
      </c>
      <c r="D1347" s="0" t="s">
        <v>28</v>
      </c>
      <c r="E1347" s="0" t="s">
        <v>15</v>
      </c>
      <c r="F1347" s="0" t="s">
        <v>16</v>
      </c>
      <c r="G1347" s="0" t="n">
        <v>508</v>
      </c>
      <c r="H1347" s="0" t="n">
        <v>125</v>
      </c>
      <c r="I1347" s="0" t="n">
        <v>0</v>
      </c>
      <c r="J1347" s="0" t="n">
        <v>33</v>
      </c>
      <c r="K1347" s="0" t="n">
        <v>4.3</v>
      </c>
      <c r="L1347" s="0" t="s">
        <v>17</v>
      </c>
    </row>
    <row r="1348" customFormat="false" ht="15" hidden="false" customHeight="false" outlineLevel="0" collapsed="false">
      <c r="A1348" s="0" t="s">
        <v>1500</v>
      </c>
      <c r="B1348" s="2" t="n">
        <v>45771</v>
      </c>
      <c r="C1348" s="3" t="s">
        <v>30</v>
      </c>
      <c r="D1348" s="3" t="s">
        <v>14</v>
      </c>
      <c r="E1348" s="3" t="s">
        <v>21</v>
      </c>
      <c r="F1348" s="3" t="s">
        <v>22</v>
      </c>
      <c r="G1348" s="0" t="n">
        <v>381</v>
      </c>
      <c r="H1348" s="0" t="n">
        <v>54</v>
      </c>
      <c r="I1348" s="0" t="n">
        <v>40</v>
      </c>
      <c r="J1348" s="0" t="n">
        <v>31</v>
      </c>
      <c r="K1348" s="0" t="n">
        <v>4.2</v>
      </c>
      <c r="L1348" s="3" t="s">
        <v>17</v>
      </c>
    </row>
    <row r="1349" customFormat="false" ht="15" hidden="false" customHeight="false" outlineLevel="0" collapsed="false">
      <c r="A1349" s="0" t="s">
        <v>1501</v>
      </c>
      <c r="B1349" s="0" t="s">
        <v>1502</v>
      </c>
      <c r="C1349" s="0" t="s">
        <v>13</v>
      </c>
      <c r="D1349" s="0" t="s">
        <v>49</v>
      </c>
      <c r="E1349" s="0" t="s">
        <v>21</v>
      </c>
      <c r="F1349" s="0" t="s">
        <v>16</v>
      </c>
      <c r="G1349" s="0" t="n">
        <v>383</v>
      </c>
      <c r="H1349" s="0" t="n">
        <v>0</v>
      </c>
      <c r="I1349" s="0" t="n">
        <v>20</v>
      </c>
      <c r="J1349" s="0" t="n">
        <v>30</v>
      </c>
      <c r="K1349" s="0" t="n">
        <v>3.3</v>
      </c>
      <c r="L1349" s="0" t="s">
        <v>17</v>
      </c>
    </row>
    <row r="1350" customFormat="false" ht="15" hidden="false" customHeight="false" outlineLevel="0" collapsed="false">
      <c r="A1350" s="0" t="s">
        <v>1503</v>
      </c>
      <c r="B1350" s="2" t="n">
        <v>45951</v>
      </c>
      <c r="C1350" s="3" t="s">
        <v>24</v>
      </c>
      <c r="D1350" s="3" t="s">
        <v>31</v>
      </c>
      <c r="E1350" s="3" t="s">
        <v>21</v>
      </c>
      <c r="F1350" s="3" t="s">
        <v>22</v>
      </c>
      <c r="G1350" s="0" t="n">
        <v>425</v>
      </c>
      <c r="H1350" s="0" t="n">
        <v>0</v>
      </c>
      <c r="I1350" s="0" t="n">
        <v>45</v>
      </c>
      <c r="J1350" s="0" t="n">
        <v>36</v>
      </c>
      <c r="K1350" s="0" t="n">
        <v>3.3</v>
      </c>
      <c r="L1350" s="3" t="s">
        <v>17</v>
      </c>
    </row>
    <row r="1351" customFormat="false" ht="15" hidden="false" customHeight="false" outlineLevel="0" collapsed="false">
      <c r="A1351" s="0" t="s">
        <v>1504</v>
      </c>
      <c r="B1351" s="2" t="n">
        <v>45856</v>
      </c>
      <c r="C1351" s="3" t="s">
        <v>27</v>
      </c>
      <c r="D1351" s="3" t="s">
        <v>49</v>
      </c>
      <c r="E1351" s="3" t="s">
        <v>15</v>
      </c>
      <c r="F1351" s="3" t="s">
        <v>54</v>
      </c>
      <c r="G1351" s="0" t="n">
        <v>351</v>
      </c>
      <c r="H1351" s="0" t="n">
        <v>0</v>
      </c>
      <c r="I1351" s="0" t="n">
        <v>30</v>
      </c>
      <c r="J1351" s="0" t="n">
        <v>37</v>
      </c>
      <c r="K1351" s="0" t="n">
        <v>5</v>
      </c>
      <c r="L1351" s="3" t="s">
        <v>17</v>
      </c>
    </row>
    <row r="1352" customFormat="false" ht="15" hidden="false" customHeight="false" outlineLevel="0" collapsed="false">
      <c r="A1352" s="0" t="s">
        <v>1505</v>
      </c>
      <c r="B1352" s="0" t="s">
        <v>1110</v>
      </c>
      <c r="C1352" s="0" t="s">
        <v>27</v>
      </c>
      <c r="D1352" s="0" t="s">
        <v>31</v>
      </c>
      <c r="E1352" s="0" t="s">
        <v>15</v>
      </c>
      <c r="F1352" s="0" t="s">
        <v>22</v>
      </c>
      <c r="G1352" s="0" t="n">
        <v>642</v>
      </c>
      <c r="H1352" s="0" t="n">
        <v>122</v>
      </c>
      <c r="I1352" s="0" t="n">
        <v>0</v>
      </c>
      <c r="J1352" s="0" t="n">
        <v>38</v>
      </c>
      <c r="K1352" s="0" t="n">
        <v>3.9</v>
      </c>
      <c r="L1352" s="0" t="s">
        <v>17</v>
      </c>
    </row>
    <row r="1353" customFormat="false" ht="15" hidden="false" customHeight="false" outlineLevel="0" collapsed="false">
      <c r="A1353" s="0" t="s">
        <v>1506</v>
      </c>
      <c r="B1353" s="2" t="n">
        <v>46012</v>
      </c>
      <c r="C1353" s="3" t="s">
        <v>30</v>
      </c>
      <c r="D1353" s="3" t="s">
        <v>56</v>
      </c>
      <c r="E1353" s="3" t="s">
        <v>21</v>
      </c>
      <c r="F1353" s="3" t="s">
        <v>34</v>
      </c>
      <c r="G1353" s="0" t="n">
        <v>365</v>
      </c>
      <c r="H1353" s="0" t="n">
        <v>0</v>
      </c>
      <c r="I1353" s="0" t="n">
        <v>45</v>
      </c>
      <c r="J1353" s="0" t="n">
        <v>27</v>
      </c>
      <c r="K1353" s="0" t="n">
        <v>5</v>
      </c>
      <c r="L1353" s="3" t="s">
        <v>17</v>
      </c>
    </row>
    <row r="1354" customFormat="false" ht="15" hidden="false" customHeight="false" outlineLevel="0" collapsed="false">
      <c r="A1354" s="0" t="s">
        <v>1507</v>
      </c>
      <c r="B1354" s="2" t="n">
        <v>46011</v>
      </c>
      <c r="C1354" s="3" t="s">
        <v>13</v>
      </c>
      <c r="D1354" s="3" t="s">
        <v>14</v>
      </c>
      <c r="E1354" s="3" t="s">
        <v>21</v>
      </c>
      <c r="F1354" s="3" t="s">
        <v>22</v>
      </c>
      <c r="G1354" s="0" t="n">
        <v>334</v>
      </c>
      <c r="H1354" s="0" t="n">
        <v>0</v>
      </c>
      <c r="I1354" s="0" t="n">
        <v>45</v>
      </c>
      <c r="J1354" s="0" t="n">
        <v>28</v>
      </c>
      <c r="K1354" s="0" t="n">
        <v>3.6</v>
      </c>
      <c r="L1354" s="3" t="s">
        <v>17</v>
      </c>
    </row>
    <row r="1355" customFormat="false" ht="15" hidden="false" customHeight="false" outlineLevel="0" collapsed="false">
      <c r="A1355" s="0" t="s">
        <v>1508</v>
      </c>
      <c r="B1355" s="2" t="n">
        <v>45977</v>
      </c>
      <c r="C1355" s="3" t="s">
        <v>13</v>
      </c>
      <c r="D1355" s="3" t="s">
        <v>31</v>
      </c>
      <c r="E1355" s="3" t="s">
        <v>15</v>
      </c>
      <c r="F1355" s="3" t="s">
        <v>54</v>
      </c>
      <c r="G1355" s="0" t="n">
        <v>439</v>
      </c>
      <c r="H1355" s="0" t="n">
        <v>0</v>
      </c>
      <c r="I1355" s="0" t="n">
        <v>30</v>
      </c>
      <c r="J1355" s="0" t="n">
        <v>40</v>
      </c>
      <c r="K1355" s="0" t="n">
        <v>3.6</v>
      </c>
      <c r="L1355" s="3" t="s">
        <v>17</v>
      </c>
    </row>
    <row r="1356" customFormat="false" ht="15" hidden="false" customHeight="false" outlineLevel="0" collapsed="false">
      <c r="A1356" s="0" t="s">
        <v>1509</v>
      </c>
      <c r="B1356" s="2" t="n">
        <v>45738</v>
      </c>
      <c r="C1356" s="3" t="s">
        <v>13</v>
      </c>
      <c r="D1356" s="3" t="s">
        <v>31</v>
      </c>
      <c r="E1356" s="3" t="s">
        <v>21</v>
      </c>
      <c r="F1356" s="3" t="s">
        <v>34</v>
      </c>
      <c r="G1356" s="0" t="n">
        <v>596</v>
      </c>
      <c r="H1356" s="0" t="n">
        <v>0</v>
      </c>
      <c r="I1356" s="0" t="n">
        <v>0</v>
      </c>
      <c r="J1356" s="0" t="n">
        <v>38</v>
      </c>
      <c r="K1356" s="0" t="n">
        <v>4.5</v>
      </c>
      <c r="L1356" s="3" t="s">
        <v>17</v>
      </c>
    </row>
    <row r="1357" customFormat="false" ht="15" hidden="false" customHeight="false" outlineLevel="0" collapsed="false">
      <c r="A1357" s="0" t="s">
        <v>1510</v>
      </c>
      <c r="B1357" s="2" t="n">
        <v>45890</v>
      </c>
      <c r="C1357" s="3" t="s">
        <v>24</v>
      </c>
      <c r="D1357" s="3" t="s">
        <v>31</v>
      </c>
      <c r="E1357" s="3" t="s">
        <v>21</v>
      </c>
      <c r="F1357" s="3" t="s">
        <v>16</v>
      </c>
      <c r="G1357" s="0" t="n">
        <v>554</v>
      </c>
      <c r="H1357" s="0" t="n">
        <v>0</v>
      </c>
      <c r="I1357" s="0" t="n">
        <v>0</v>
      </c>
      <c r="J1357" s="0" t="n">
        <v>29</v>
      </c>
      <c r="K1357" s="0" t="n">
        <v>4.4</v>
      </c>
      <c r="L1357" s="3" t="s">
        <v>17</v>
      </c>
    </row>
    <row r="1358" customFormat="false" ht="15" hidden="false" customHeight="false" outlineLevel="0" collapsed="false">
      <c r="A1358" s="0" t="s">
        <v>1511</v>
      </c>
      <c r="B1358" s="2" t="n">
        <v>45984</v>
      </c>
      <c r="C1358" s="3" t="s">
        <v>24</v>
      </c>
      <c r="D1358" s="3" t="s">
        <v>56</v>
      </c>
      <c r="E1358" s="3" t="s">
        <v>21</v>
      </c>
      <c r="F1358" s="3" t="s">
        <v>22</v>
      </c>
      <c r="G1358" s="0" t="n">
        <v>292</v>
      </c>
      <c r="H1358" s="0" t="n">
        <v>0</v>
      </c>
      <c r="I1358" s="0" t="n">
        <v>30</v>
      </c>
      <c r="J1358" s="0" t="n">
        <v>28</v>
      </c>
      <c r="K1358" s="0" t="n">
        <v>4.7</v>
      </c>
      <c r="L1358" s="3" t="s">
        <v>17</v>
      </c>
    </row>
    <row r="1359" customFormat="false" ht="15" hidden="false" customHeight="false" outlineLevel="0" collapsed="false">
      <c r="A1359" s="0" t="s">
        <v>1512</v>
      </c>
      <c r="B1359" s="2" t="n">
        <v>45811</v>
      </c>
      <c r="C1359" s="3" t="s">
        <v>40</v>
      </c>
      <c r="D1359" s="3" t="s">
        <v>14</v>
      </c>
      <c r="E1359" s="3" t="s">
        <v>15</v>
      </c>
      <c r="F1359" s="3" t="s">
        <v>54</v>
      </c>
      <c r="G1359" s="0" t="n">
        <v>269</v>
      </c>
      <c r="H1359" s="0" t="n">
        <v>58</v>
      </c>
      <c r="I1359" s="0" t="n">
        <v>40</v>
      </c>
      <c r="J1359" s="0" t="n">
        <v>37</v>
      </c>
      <c r="K1359" s="0" t="n">
        <v>4.2</v>
      </c>
      <c r="L1359" s="3" t="s">
        <v>17</v>
      </c>
    </row>
    <row r="1360" customFormat="false" ht="15" hidden="false" customHeight="false" outlineLevel="0" collapsed="false">
      <c r="A1360" s="0" t="s">
        <v>1513</v>
      </c>
      <c r="B1360" s="0" t="s">
        <v>367</v>
      </c>
      <c r="C1360" s="0" t="s">
        <v>209</v>
      </c>
      <c r="D1360" s="0" t="s">
        <v>31</v>
      </c>
      <c r="E1360" s="0" t="s">
        <v>21</v>
      </c>
      <c r="F1360" s="0" t="s">
        <v>16</v>
      </c>
      <c r="G1360" s="0" t="n">
        <v>480</v>
      </c>
      <c r="H1360" s="0" t="n">
        <v>0</v>
      </c>
      <c r="I1360" s="0" t="n">
        <v>40</v>
      </c>
      <c r="J1360" s="0" t="n">
        <v>46</v>
      </c>
      <c r="L1360" s="0" t="s">
        <v>17</v>
      </c>
    </row>
    <row r="1361" customFormat="false" ht="15" hidden="false" customHeight="false" outlineLevel="0" collapsed="false">
      <c r="A1361" s="0" t="s">
        <v>1514</v>
      </c>
      <c r="B1361" s="2" t="n">
        <v>45963</v>
      </c>
      <c r="C1361" s="3" t="s">
        <v>27</v>
      </c>
      <c r="D1361" s="3" t="s">
        <v>31</v>
      </c>
      <c r="E1361" s="3" t="s">
        <v>15</v>
      </c>
      <c r="F1361" s="3" t="s">
        <v>22</v>
      </c>
      <c r="G1361" s="0" t="n">
        <v>413</v>
      </c>
      <c r="H1361" s="0" t="n">
        <v>95</v>
      </c>
      <c r="I1361" s="0" t="n">
        <v>30</v>
      </c>
      <c r="J1361" s="0" t="n">
        <v>35</v>
      </c>
      <c r="K1361" s="0" t="n">
        <v>3.9</v>
      </c>
      <c r="L1361" s="3" t="s">
        <v>17</v>
      </c>
    </row>
    <row r="1362" customFormat="false" ht="15" hidden="false" customHeight="false" outlineLevel="0" collapsed="false">
      <c r="A1362" s="0" t="s">
        <v>1515</v>
      </c>
      <c r="B1362" s="0" t="s">
        <v>1516</v>
      </c>
      <c r="C1362" s="0" t="s">
        <v>27</v>
      </c>
      <c r="D1362" s="0" t="s">
        <v>20</v>
      </c>
      <c r="E1362" s="0" t="s">
        <v>15</v>
      </c>
      <c r="F1362" s="0" t="s">
        <v>54</v>
      </c>
      <c r="G1362" s="0" t="n">
        <v>719</v>
      </c>
      <c r="H1362" s="0" t="n">
        <v>0</v>
      </c>
      <c r="I1362" s="0" t="n">
        <v>0</v>
      </c>
      <c r="J1362" s="0" t="n">
        <v>41</v>
      </c>
      <c r="K1362" s="0" t="n">
        <v>3.5</v>
      </c>
      <c r="L1362" s="0" t="s">
        <v>17</v>
      </c>
    </row>
    <row r="1363" customFormat="false" ht="15" hidden="false" customHeight="false" outlineLevel="0" collapsed="false">
      <c r="A1363" s="0" t="s">
        <v>1517</v>
      </c>
      <c r="B1363" s="0" t="s">
        <v>1499</v>
      </c>
      <c r="C1363" s="0" t="s">
        <v>24</v>
      </c>
      <c r="D1363" s="0" t="s">
        <v>25</v>
      </c>
      <c r="E1363" s="0" t="s">
        <v>21</v>
      </c>
      <c r="F1363" s="0" t="s">
        <v>22</v>
      </c>
      <c r="G1363" s="0" t="n">
        <v>532</v>
      </c>
      <c r="H1363" s="0" t="n">
        <v>0</v>
      </c>
      <c r="I1363" s="0" t="n">
        <v>0</v>
      </c>
      <c r="J1363" s="0" t="n">
        <v>37</v>
      </c>
      <c r="K1363" s="0" t="n">
        <v>4.9</v>
      </c>
      <c r="L1363" s="0" t="s">
        <v>17</v>
      </c>
    </row>
    <row r="1364" customFormat="false" ht="15" hidden="false" customHeight="false" outlineLevel="0" collapsed="false">
      <c r="A1364" s="0" t="s">
        <v>1518</v>
      </c>
      <c r="B1364" s="2" t="n">
        <v>46017</v>
      </c>
      <c r="C1364" s="3" t="s">
        <v>24</v>
      </c>
      <c r="D1364" s="3" t="s">
        <v>28</v>
      </c>
      <c r="E1364" s="3" t="s">
        <v>21</v>
      </c>
      <c r="F1364" s="3" t="s">
        <v>22</v>
      </c>
      <c r="G1364" s="0" t="n">
        <v>531</v>
      </c>
      <c r="H1364" s="0" t="n">
        <v>103</v>
      </c>
      <c r="I1364" s="0" t="n">
        <v>0</v>
      </c>
      <c r="J1364" s="0" t="n">
        <v>35</v>
      </c>
      <c r="K1364" s="0" t="n">
        <v>5</v>
      </c>
      <c r="L1364" s="3" t="s">
        <v>17</v>
      </c>
    </row>
    <row r="1365" customFormat="false" ht="15" hidden="false" customHeight="false" outlineLevel="0" collapsed="false">
      <c r="A1365" s="0" t="s">
        <v>1519</v>
      </c>
      <c r="B1365" s="2" t="n">
        <v>45895</v>
      </c>
      <c r="C1365" s="3" t="s">
        <v>27</v>
      </c>
      <c r="D1365" s="3" t="s">
        <v>49</v>
      </c>
      <c r="E1365" s="3" t="s">
        <v>21</v>
      </c>
      <c r="F1365" s="3" t="s">
        <v>16</v>
      </c>
      <c r="G1365" s="0" t="n">
        <v>418</v>
      </c>
      <c r="H1365" s="0" t="n">
        <v>0</v>
      </c>
      <c r="I1365" s="0" t="n">
        <v>45</v>
      </c>
      <c r="J1365" s="0" t="n">
        <v>39</v>
      </c>
      <c r="K1365" s="0" t="n">
        <v>3.7</v>
      </c>
      <c r="L1365" s="3" t="s">
        <v>17</v>
      </c>
    </row>
    <row r="1366" customFormat="false" ht="15" hidden="false" customHeight="false" outlineLevel="0" collapsed="false">
      <c r="A1366" s="0" t="s">
        <v>1520</v>
      </c>
      <c r="B1366" s="2" t="n">
        <v>45830</v>
      </c>
      <c r="C1366" s="3" t="s">
        <v>24</v>
      </c>
      <c r="D1366" s="3" t="s">
        <v>28</v>
      </c>
      <c r="E1366" s="3" t="s">
        <v>21</v>
      </c>
      <c r="F1366" s="3" t="s">
        <v>22</v>
      </c>
      <c r="G1366" s="0" t="n">
        <v>409</v>
      </c>
      <c r="H1366" s="0" t="n">
        <v>100</v>
      </c>
      <c r="I1366" s="0" t="n">
        <v>20</v>
      </c>
      <c r="J1366" s="0" t="n">
        <v>44</v>
      </c>
      <c r="K1366" s="0" t="n">
        <v>3.5</v>
      </c>
      <c r="L1366" s="3" t="s">
        <v>17</v>
      </c>
    </row>
    <row r="1367" customFormat="false" ht="15" hidden="false" customHeight="false" outlineLevel="0" collapsed="false">
      <c r="A1367" s="0" t="s">
        <v>1521</v>
      </c>
      <c r="B1367" s="2" t="n">
        <v>45809</v>
      </c>
      <c r="C1367" s="3" t="s">
        <v>40</v>
      </c>
      <c r="D1367" s="3" t="s">
        <v>14</v>
      </c>
      <c r="E1367" s="3" t="s">
        <v>15</v>
      </c>
      <c r="F1367" s="3" t="s">
        <v>16</v>
      </c>
      <c r="G1367" s="0" t="n">
        <v>413</v>
      </c>
      <c r="H1367" s="0" t="n">
        <v>0</v>
      </c>
      <c r="I1367" s="0" t="n">
        <v>40</v>
      </c>
      <c r="J1367" s="0" t="n">
        <v>41</v>
      </c>
      <c r="L1367" s="3" t="s">
        <v>17</v>
      </c>
    </row>
    <row r="1368" customFormat="false" ht="15" hidden="false" customHeight="false" outlineLevel="0" collapsed="false">
      <c r="A1368" s="0" t="s">
        <v>1522</v>
      </c>
      <c r="B1368" s="2" t="n">
        <v>45827</v>
      </c>
      <c r="C1368" s="3" t="s">
        <v>30</v>
      </c>
      <c r="D1368" s="3" t="s">
        <v>56</v>
      </c>
      <c r="E1368" s="3" t="s">
        <v>15</v>
      </c>
      <c r="F1368" s="3" t="s">
        <v>22</v>
      </c>
      <c r="G1368" s="0" t="n">
        <v>337</v>
      </c>
      <c r="H1368" s="0" t="n">
        <v>66</v>
      </c>
      <c r="I1368" s="0" t="n">
        <v>30</v>
      </c>
      <c r="J1368" s="0" t="n">
        <v>37</v>
      </c>
      <c r="K1368" s="0" t="n">
        <v>4.4</v>
      </c>
      <c r="L1368" s="3" t="s">
        <v>17</v>
      </c>
    </row>
    <row r="1369" customFormat="false" ht="15" hidden="false" customHeight="false" outlineLevel="0" collapsed="false">
      <c r="A1369" s="0" t="s">
        <v>1523</v>
      </c>
      <c r="B1369" s="2" t="n">
        <v>45709</v>
      </c>
      <c r="C1369" s="3" t="s">
        <v>24</v>
      </c>
      <c r="D1369" s="3" t="s">
        <v>14</v>
      </c>
      <c r="E1369" s="3" t="s">
        <v>21</v>
      </c>
      <c r="F1369" s="3" t="s">
        <v>22</v>
      </c>
      <c r="G1369" s="0" t="n">
        <v>231</v>
      </c>
      <c r="H1369" s="0" t="n">
        <v>0</v>
      </c>
      <c r="I1369" s="0" t="n">
        <v>30</v>
      </c>
      <c r="J1369" s="0" t="n">
        <v>40</v>
      </c>
      <c r="K1369" s="0" t="n">
        <v>4.1</v>
      </c>
      <c r="L1369" s="3" t="s">
        <v>17</v>
      </c>
    </row>
    <row r="1370" customFormat="false" ht="15" hidden="false" customHeight="false" outlineLevel="0" collapsed="false">
      <c r="A1370" s="0" t="s">
        <v>1523</v>
      </c>
      <c r="B1370" s="2" t="n">
        <v>45709</v>
      </c>
      <c r="C1370" s="3" t="s">
        <v>24</v>
      </c>
      <c r="D1370" s="3" t="s">
        <v>14</v>
      </c>
      <c r="E1370" s="3" t="s">
        <v>21</v>
      </c>
      <c r="F1370" s="3" t="s">
        <v>22</v>
      </c>
      <c r="G1370" s="0" t="n">
        <v>231</v>
      </c>
      <c r="H1370" s="0" t="n">
        <v>0</v>
      </c>
      <c r="I1370" s="0" t="n">
        <v>30</v>
      </c>
      <c r="J1370" s="0" t="n">
        <v>40</v>
      </c>
      <c r="K1370" s="0" t="n">
        <v>4.1</v>
      </c>
      <c r="L1370" s="3" t="s">
        <v>17</v>
      </c>
    </row>
    <row r="1371" customFormat="false" ht="15" hidden="false" customHeight="false" outlineLevel="0" collapsed="false">
      <c r="A1371" s="0" t="s">
        <v>1524</v>
      </c>
      <c r="B1371" s="0" t="s">
        <v>1525</v>
      </c>
      <c r="C1371" s="0" t="s">
        <v>24</v>
      </c>
      <c r="D1371" s="0" t="s">
        <v>31</v>
      </c>
      <c r="E1371" s="0" t="s">
        <v>21</v>
      </c>
      <c r="F1371" s="0" t="s">
        <v>22</v>
      </c>
      <c r="G1371" s="0" t="n">
        <v>475</v>
      </c>
      <c r="H1371" s="0" t="n">
        <v>0</v>
      </c>
      <c r="I1371" s="0" t="n">
        <v>20</v>
      </c>
      <c r="J1371" s="0" t="n">
        <v>42</v>
      </c>
      <c r="K1371" s="0" t="n">
        <v>4.3</v>
      </c>
      <c r="L1371" s="0" t="s">
        <v>17</v>
      </c>
    </row>
    <row r="1372" customFormat="false" ht="15" hidden="false" customHeight="false" outlineLevel="0" collapsed="false">
      <c r="A1372" s="0" t="s">
        <v>1526</v>
      </c>
      <c r="B1372" s="2" t="n">
        <v>45971</v>
      </c>
      <c r="C1372" s="3" t="s">
        <v>27</v>
      </c>
      <c r="D1372" s="3" t="s">
        <v>31</v>
      </c>
      <c r="E1372" s="3" t="s">
        <v>21</v>
      </c>
      <c r="F1372" s="3" t="s">
        <v>22</v>
      </c>
      <c r="G1372" s="0" t="n">
        <v>360</v>
      </c>
      <c r="H1372" s="0" t="n">
        <v>85</v>
      </c>
      <c r="I1372" s="0" t="n">
        <v>30</v>
      </c>
      <c r="J1372" s="0" t="n">
        <v>53</v>
      </c>
      <c r="K1372" s="0" t="n">
        <v>3.8</v>
      </c>
      <c r="L1372" s="3" t="s">
        <v>17</v>
      </c>
    </row>
    <row r="1373" customFormat="false" ht="15" hidden="false" customHeight="false" outlineLevel="0" collapsed="false">
      <c r="A1373" s="0" t="s">
        <v>1527</v>
      </c>
      <c r="B1373" s="2" t="n">
        <v>45777</v>
      </c>
      <c r="C1373" s="3" t="s">
        <v>30</v>
      </c>
      <c r="D1373" s="3" t="s">
        <v>20</v>
      </c>
      <c r="E1373" s="3" t="s">
        <v>15</v>
      </c>
      <c r="F1373" s="3" t="s">
        <v>54</v>
      </c>
      <c r="G1373" s="0" t="n">
        <v>682</v>
      </c>
      <c r="H1373" s="0" t="n">
        <v>0</v>
      </c>
      <c r="I1373" s="0" t="n">
        <v>0</v>
      </c>
      <c r="J1373" s="0" t="n">
        <v>40</v>
      </c>
      <c r="K1373" s="0" t="n">
        <v>4.1</v>
      </c>
      <c r="L1373" s="3" t="s">
        <v>17</v>
      </c>
    </row>
    <row r="1374" customFormat="false" ht="15" hidden="false" customHeight="false" outlineLevel="0" collapsed="false">
      <c r="A1374" s="0" t="s">
        <v>1528</v>
      </c>
      <c r="B1374" s="2" t="n">
        <v>45784</v>
      </c>
      <c r="C1374" s="3" t="s">
        <v>24</v>
      </c>
      <c r="D1374" s="3" t="s">
        <v>31</v>
      </c>
      <c r="E1374" s="3" t="s">
        <v>15</v>
      </c>
      <c r="F1374" s="3" t="s">
        <v>34</v>
      </c>
      <c r="G1374" s="0" t="n">
        <v>465</v>
      </c>
      <c r="H1374" s="0" t="n">
        <v>0</v>
      </c>
      <c r="I1374" s="0" t="n">
        <v>45</v>
      </c>
      <c r="L1374" s="3" t="s">
        <v>68</v>
      </c>
    </row>
    <row r="1375" customFormat="false" ht="15" hidden="false" customHeight="false" outlineLevel="0" collapsed="false">
      <c r="A1375" s="0" t="s">
        <v>1529</v>
      </c>
      <c r="B1375" s="2" t="n">
        <v>45983</v>
      </c>
      <c r="C1375" s="3" t="s">
        <v>13</v>
      </c>
      <c r="D1375" s="3" t="s">
        <v>49</v>
      </c>
      <c r="E1375" s="3" t="s">
        <v>15</v>
      </c>
      <c r="F1375" s="3" t="s">
        <v>16</v>
      </c>
      <c r="G1375" s="0" t="n">
        <v>571</v>
      </c>
      <c r="H1375" s="0" t="n">
        <v>0</v>
      </c>
      <c r="I1375" s="0" t="n">
        <v>0</v>
      </c>
      <c r="J1375" s="0" t="n">
        <v>42</v>
      </c>
      <c r="K1375" s="0" t="n">
        <v>3.8</v>
      </c>
      <c r="L1375" s="3" t="s">
        <v>17</v>
      </c>
    </row>
    <row r="1376" customFormat="false" ht="15" hidden="false" customHeight="false" outlineLevel="0" collapsed="false">
      <c r="A1376" s="0" t="s">
        <v>1530</v>
      </c>
      <c r="B1376" s="2" t="n">
        <v>45668</v>
      </c>
      <c r="C1376" s="3" t="s">
        <v>51</v>
      </c>
      <c r="D1376" s="3" t="s">
        <v>28</v>
      </c>
      <c r="E1376" s="3" t="s">
        <v>21</v>
      </c>
      <c r="F1376" s="3" t="s">
        <v>22</v>
      </c>
      <c r="G1376" s="0" t="n">
        <v>505</v>
      </c>
      <c r="H1376" s="0" t="n">
        <v>108</v>
      </c>
      <c r="I1376" s="0" t="n">
        <v>0</v>
      </c>
      <c r="J1376" s="0" t="n">
        <v>30</v>
      </c>
      <c r="K1376" s="0" t="n">
        <v>5</v>
      </c>
      <c r="L1376" s="3" t="s">
        <v>17</v>
      </c>
    </row>
    <row r="1377" customFormat="false" ht="15" hidden="false" customHeight="false" outlineLevel="0" collapsed="false">
      <c r="A1377" s="0" t="s">
        <v>1531</v>
      </c>
      <c r="B1377" s="2" t="n">
        <v>45864</v>
      </c>
      <c r="C1377" s="3" t="s">
        <v>13</v>
      </c>
      <c r="D1377" s="3" t="s">
        <v>78</v>
      </c>
      <c r="E1377" s="3" t="s">
        <v>21</v>
      </c>
      <c r="F1377" s="3" t="s">
        <v>36</v>
      </c>
      <c r="G1377" s="0" t="n">
        <v>509</v>
      </c>
      <c r="H1377" s="0" t="n">
        <v>0</v>
      </c>
      <c r="I1377" s="0" t="n">
        <v>0</v>
      </c>
      <c r="J1377" s="0" t="n">
        <v>39</v>
      </c>
      <c r="K1377" s="0" t="n">
        <v>4.9</v>
      </c>
      <c r="L1377" s="3" t="s">
        <v>17</v>
      </c>
    </row>
    <row r="1378" customFormat="false" ht="15" hidden="false" customHeight="false" outlineLevel="0" collapsed="false">
      <c r="A1378" s="0" t="s">
        <v>1532</v>
      </c>
      <c r="B1378" s="2" t="n">
        <v>45844</v>
      </c>
      <c r="C1378" s="3" t="s">
        <v>27</v>
      </c>
      <c r="D1378" s="3" t="s">
        <v>25</v>
      </c>
      <c r="E1378" s="3" t="s">
        <v>21</v>
      </c>
      <c r="F1378" s="3" t="s">
        <v>22</v>
      </c>
      <c r="G1378" s="0" t="n">
        <v>510</v>
      </c>
      <c r="H1378" s="0" t="n">
        <v>0</v>
      </c>
      <c r="I1378" s="0" t="n">
        <v>0</v>
      </c>
      <c r="J1378" s="0" t="n">
        <v>47</v>
      </c>
      <c r="K1378" s="0" t="n">
        <v>4.2</v>
      </c>
      <c r="L1378" s="3" t="s">
        <v>17</v>
      </c>
    </row>
    <row r="1379" customFormat="false" ht="15" hidden="false" customHeight="false" outlineLevel="0" collapsed="false">
      <c r="A1379" s="0" t="s">
        <v>1533</v>
      </c>
      <c r="B1379" s="2" t="n">
        <v>45923</v>
      </c>
      <c r="C1379" s="3" t="s">
        <v>435</v>
      </c>
      <c r="D1379" s="3" t="s">
        <v>56</v>
      </c>
      <c r="E1379" s="3" t="s">
        <v>21</v>
      </c>
      <c r="G1379" s="0" t="n">
        <v>263</v>
      </c>
      <c r="H1379" s="0" t="n">
        <v>0</v>
      </c>
      <c r="I1379" s="0" t="n">
        <v>30</v>
      </c>
      <c r="J1379" s="0" t="n">
        <v>46</v>
      </c>
      <c r="K1379" s="0" t="n">
        <v>3</v>
      </c>
      <c r="L1379" s="3" t="s">
        <v>17</v>
      </c>
    </row>
    <row r="1380" customFormat="false" ht="15" hidden="false" customHeight="false" outlineLevel="0" collapsed="false">
      <c r="A1380" s="0" t="s">
        <v>1533</v>
      </c>
      <c r="B1380" s="2" t="n">
        <v>45923</v>
      </c>
      <c r="C1380" s="3" t="s">
        <v>435</v>
      </c>
      <c r="D1380" s="3" t="s">
        <v>56</v>
      </c>
      <c r="E1380" s="3" t="s">
        <v>21</v>
      </c>
      <c r="G1380" s="0" t="n">
        <v>263</v>
      </c>
      <c r="H1380" s="0" t="n">
        <v>0</v>
      </c>
      <c r="I1380" s="0" t="n">
        <v>30</v>
      </c>
      <c r="J1380" s="0" t="n">
        <v>46</v>
      </c>
      <c r="K1380" s="0" t="n">
        <v>3</v>
      </c>
      <c r="L1380" s="3" t="s">
        <v>17</v>
      </c>
    </row>
    <row r="1381" customFormat="false" ht="15" hidden="false" customHeight="false" outlineLevel="0" collapsed="false">
      <c r="A1381" s="0" t="s">
        <v>1534</v>
      </c>
      <c r="B1381" s="2" t="n">
        <v>45728</v>
      </c>
      <c r="C1381" s="3" t="s">
        <v>123</v>
      </c>
      <c r="D1381" s="3" t="s">
        <v>28</v>
      </c>
      <c r="E1381" s="3" t="s">
        <v>15</v>
      </c>
      <c r="F1381" s="3" t="s">
        <v>34</v>
      </c>
      <c r="G1381" s="0" t="n">
        <v>356</v>
      </c>
      <c r="H1381" s="0" t="n">
        <v>81</v>
      </c>
      <c r="I1381" s="0" t="n">
        <v>45</v>
      </c>
      <c r="J1381" s="0" t="n">
        <v>35</v>
      </c>
      <c r="K1381" s="0" t="n">
        <v>4.3</v>
      </c>
      <c r="L1381" s="3" t="s">
        <v>17</v>
      </c>
    </row>
    <row r="1382" customFormat="false" ht="15" hidden="false" customHeight="false" outlineLevel="0" collapsed="false">
      <c r="A1382" s="0" t="s">
        <v>1535</v>
      </c>
      <c r="B1382" s="2" t="n">
        <v>45915</v>
      </c>
      <c r="C1382" s="3" t="s">
        <v>800</v>
      </c>
      <c r="D1382" s="3" t="s">
        <v>25</v>
      </c>
      <c r="E1382" s="3" t="s">
        <v>21</v>
      </c>
      <c r="F1382" s="3" t="s">
        <v>16</v>
      </c>
      <c r="G1382" s="0" t="n">
        <v>667</v>
      </c>
      <c r="H1382" s="0" t="n">
        <v>0</v>
      </c>
      <c r="I1382" s="0" t="n">
        <v>0</v>
      </c>
      <c r="J1382" s="0" t="n">
        <v>46</v>
      </c>
      <c r="K1382" s="0" t="n">
        <v>3.7</v>
      </c>
      <c r="L1382" s="3" t="s">
        <v>17</v>
      </c>
    </row>
    <row r="1383" customFormat="false" ht="15" hidden="false" customHeight="false" outlineLevel="0" collapsed="false">
      <c r="A1383" s="0" t="s">
        <v>1536</v>
      </c>
      <c r="B1383" s="2" t="n">
        <v>45812</v>
      </c>
      <c r="C1383" s="3" t="s">
        <v>27</v>
      </c>
      <c r="D1383" s="3" t="s">
        <v>20</v>
      </c>
      <c r="E1383" s="3" t="s">
        <v>15</v>
      </c>
      <c r="F1383" s="3" t="s">
        <v>36</v>
      </c>
      <c r="G1383" s="0" t="n">
        <v>656</v>
      </c>
      <c r="H1383" s="0" t="n">
        <v>85</v>
      </c>
      <c r="I1383" s="0" t="n">
        <v>0</v>
      </c>
      <c r="J1383" s="0" t="n">
        <v>37</v>
      </c>
      <c r="K1383" s="0" t="n">
        <v>4.2</v>
      </c>
      <c r="L1383" s="3" t="s">
        <v>17</v>
      </c>
    </row>
    <row r="1384" customFormat="false" ht="15" hidden="false" customHeight="false" outlineLevel="0" collapsed="false">
      <c r="A1384" s="0" t="s">
        <v>1537</v>
      </c>
      <c r="B1384" s="2" t="n">
        <v>45899</v>
      </c>
      <c r="C1384" s="3" t="s">
        <v>24</v>
      </c>
      <c r="D1384" s="3" t="s">
        <v>20</v>
      </c>
      <c r="E1384" s="3" t="s">
        <v>21</v>
      </c>
      <c r="F1384" s="3" t="s">
        <v>54</v>
      </c>
      <c r="G1384" s="0" t="n">
        <v>568</v>
      </c>
      <c r="H1384" s="0" t="n">
        <v>68</v>
      </c>
      <c r="I1384" s="0" t="n">
        <v>0</v>
      </c>
      <c r="J1384" s="0" t="n">
        <v>40</v>
      </c>
      <c r="K1384" s="0" t="n">
        <v>3.6</v>
      </c>
      <c r="L1384" s="3" t="s">
        <v>17</v>
      </c>
    </row>
    <row r="1385" customFormat="false" ht="15" hidden="false" customHeight="false" outlineLevel="0" collapsed="false">
      <c r="A1385" s="0" t="s">
        <v>1538</v>
      </c>
      <c r="B1385" s="2" t="n">
        <v>45675</v>
      </c>
      <c r="C1385" s="3" t="s">
        <v>40</v>
      </c>
      <c r="D1385" s="3" t="s">
        <v>78</v>
      </c>
      <c r="E1385" s="3" t="s">
        <v>21</v>
      </c>
      <c r="F1385" s="3" t="s">
        <v>36</v>
      </c>
      <c r="G1385" s="0" t="n">
        <v>294</v>
      </c>
      <c r="H1385" s="0" t="n">
        <v>0</v>
      </c>
      <c r="I1385" s="0" t="n">
        <v>30</v>
      </c>
      <c r="J1385" s="0" t="n">
        <v>36</v>
      </c>
      <c r="K1385" s="0" t="n">
        <v>4.6</v>
      </c>
      <c r="L1385" s="3" t="s">
        <v>17</v>
      </c>
    </row>
    <row r="1386" customFormat="false" ht="15" hidden="false" customHeight="false" outlineLevel="0" collapsed="false">
      <c r="A1386" s="0" t="s">
        <v>1539</v>
      </c>
      <c r="B1386" s="2" t="n">
        <v>45843</v>
      </c>
      <c r="C1386" s="3" t="s">
        <v>800</v>
      </c>
      <c r="D1386" s="3" t="s">
        <v>28</v>
      </c>
      <c r="E1386" s="3" t="s">
        <v>21</v>
      </c>
      <c r="F1386" s="3" t="s">
        <v>22</v>
      </c>
      <c r="G1386" s="0" t="n">
        <v>554</v>
      </c>
      <c r="H1386" s="0" t="n">
        <v>0</v>
      </c>
      <c r="I1386" s="0" t="n">
        <v>0</v>
      </c>
      <c r="J1386" s="0" t="n">
        <v>45</v>
      </c>
      <c r="K1386" s="0" t="n">
        <v>4.5</v>
      </c>
      <c r="L1386" s="3" t="s">
        <v>17</v>
      </c>
    </row>
    <row r="1387" customFormat="false" ht="15" hidden="false" customHeight="false" outlineLevel="0" collapsed="false">
      <c r="A1387" s="0" t="s">
        <v>1540</v>
      </c>
      <c r="B1387" s="2" t="n">
        <v>45865</v>
      </c>
      <c r="C1387" s="3" t="s">
        <v>40</v>
      </c>
      <c r="D1387" s="3" t="s">
        <v>31</v>
      </c>
      <c r="E1387" s="3" t="s">
        <v>15</v>
      </c>
      <c r="F1387" s="3" t="s">
        <v>22</v>
      </c>
      <c r="G1387" s="0" t="n">
        <v>539</v>
      </c>
      <c r="H1387" s="0" t="n">
        <v>118</v>
      </c>
      <c r="I1387" s="0" t="n">
        <v>0</v>
      </c>
      <c r="J1387" s="0" t="n">
        <v>28</v>
      </c>
      <c r="K1387" s="0" t="n">
        <v>5</v>
      </c>
      <c r="L1387" s="3" t="s">
        <v>17</v>
      </c>
    </row>
    <row r="1388" customFormat="false" ht="15" hidden="false" customHeight="false" outlineLevel="0" collapsed="false">
      <c r="A1388" s="0" t="s">
        <v>1541</v>
      </c>
      <c r="B1388" s="2" t="n">
        <v>45749</v>
      </c>
      <c r="C1388" s="3" t="s">
        <v>27</v>
      </c>
      <c r="D1388" s="3" t="s">
        <v>56</v>
      </c>
      <c r="E1388" s="3" t="s">
        <v>21</v>
      </c>
      <c r="F1388" s="3" t="s">
        <v>22</v>
      </c>
      <c r="G1388" s="0" t="n">
        <v>363</v>
      </c>
      <c r="H1388" s="0" t="n">
        <v>67</v>
      </c>
      <c r="I1388" s="0" t="n">
        <v>40</v>
      </c>
      <c r="J1388" s="0" t="n">
        <v>48</v>
      </c>
      <c r="K1388" s="0" t="n">
        <v>3.8</v>
      </c>
      <c r="L1388" s="3" t="s">
        <v>17</v>
      </c>
    </row>
    <row r="1389" customFormat="false" ht="15" hidden="false" customHeight="false" outlineLevel="0" collapsed="false">
      <c r="A1389" s="0" t="s">
        <v>1542</v>
      </c>
      <c r="B1389" s="2" t="n">
        <v>45718</v>
      </c>
      <c r="C1389" s="3" t="s">
        <v>27</v>
      </c>
      <c r="D1389" s="3" t="s">
        <v>20</v>
      </c>
      <c r="E1389" s="3" t="s">
        <v>21</v>
      </c>
      <c r="F1389" s="3" t="s">
        <v>36</v>
      </c>
      <c r="G1389" s="0" t="n">
        <v>529</v>
      </c>
      <c r="H1389" s="0" t="n">
        <v>0</v>
      </c>
      <c r="I1389" s="0" t="n">
        <v>0</v>
      </c>
      <c r="J1389" s="0" t="n">
        <v>43</v>
      </c>
      <c r="K1389" s="0" t="n">
        <v>3.5</v>
      </c>
      <c r="L1389" s="3" t="s">
        <v>17</v>
      </c>
    </row>
    <row r="1390" customFormat="false" ht="15" hidden="false" customHeight="false" outlineLevel="0" collapsed="false">
      <c r="A1390" s="0" t="s">
        <v>1543</v>
      </c>
      <c r="B1390" s="2" t="n">
        <v>45738</v>
      </c>
      <c r="C1390" s="3" t="s">
        <v>51</v>
      </c>
      <c r="D1390" s="3" t="s">
        <v>31</v>
      </c>
      <c r="E1390" s="3" t="s">
        <v>15</v>
      </c>
      <c r="F1390" s="3" t="s">
        <v>54</v>
      </c>
      <c r="G1390" s="0" t="n">
        <v>492</v>
      </c>
      <c r="H1390" s="0" t="n">
        <v>70</v>
      </c>
      <c r="I1390" s="0" t="n">
        <v>40</v>
      </c>
      <c r="J1390" s="0" t="n">
        <v>36</v>
      </c>
      <c r="K1390" s="0" t="n">
        <v>4.4</v>
      </c>
      <c r="L1390" s="3" t="s">
        <v>17</v>
      </c>
    </row>
    <row r="1391" customFormat="false" ht="15" hidden="false" customHeight="false" outlineLevel="0" collapsed="false">
      <c r="A1391" s="0" t="s">
        <v>1544</v>
      </c>
      <c r="B1391" s="2" t="n">
        <v>45800</v>
      </c>
      <c r="C1391" s="3" t="s">
        <v>40</v>
      </c>
      <c r="D1391" s="3" t="s">
        <v>56</v>
      </c>
      <c r="E1391" s="3" t="s">
        <v>15</v>
      </c>
      <c r="F1391" s="3" t="s">
        <v>54</v>
      </c>
      <c r="G1391" s="0" t="n">
        <v>243</v>
      </c>
      <c r="H1391" s="0" t="n">
        <v>0</v>
      </c>
      <c r="I1391" s="0" t="n">
        <v>45</v>
      </c>
      <c r="J1391" s="0" t="n">
        <v>52</v>
      </c>
      <c r="K1391" s="0" t="n">
        <v>4.7</v>
      </c>
      <c r="L1391" s="3" t="s">
        <v>17</v>
      </c>
    </row>
    <row r="1392" customFormat="false" ht="15" hidden="false" customHeight="false" outlineLevel="0" collapsed="false">
      <c r="A1392" s="0" t="s">
        <v>1545</v>
      </c>
      <c r="B1392" s="2" t="n">
        <v>45700</v>
      </c>
      <c r="C1392" s="3" t="s">
        <v>13</v>
      </c>
      <c r="D1392" s="3" t="s">
        <v>25</v>
      </c>
      <c r="E1392" s="3" t="s">
        <v>21</v>
      </c>
      <c r="F1392" s="3" t="s">
        <v>22</v>
      </c>
      <c r="G1392" s="0" t="n">
        <v>352</v>
      </c>
      <c r="H1392" s="0" t="n">
        <v>0</v>
      </c>
      <c r="I1392" s="0" t="n">
        <v>20</v>
      </c>
      <c r="J1392" s="0" t="n">
        <v>30</v>
      </c>
      <c r="K1392" s="0" t="n">
        <v>4.4</v>
      </c>
      <c r="L1392" s="3" t="s">
        <v>17</v>
      </c>
    </row>
    <row r="1393" customFormat="false" ht="15" hidden="false" customHeight="false" outlineLevel="0" collapsed="false">
      <c r="A1393" s="0" t="s">
        <v>1546</v>
      </c>
      <c r="B1393" s="2" t="n">
        <v>46006</v>
      </c>
      <c r="C1393" s="3" t="s">
        <v>27</v>
      </c>
      <c r="D1393" s="3" t="s">
        <v>31</v>
      </c>
      <c r="E1393" s="3" t="s">
        <v>15</v>
      </c>
      <c r="F1393" s="3" t="s">
        <v>36</v>
      </c>
      <c r="G1393" s="0" t="n">
        <v>495</v>
      </c>
      <c r="H1393" s="0" t="n">
        <v>107</v>
      </c>
      <c r="I1393" s="0" t="n">
        <v>30</v>
      </c>
      <c r="J1393" s="0" t="n">
        <v>44</v>
      </c>
      <c r="K1393" s="0" t="n">
        <v>4.3</v>
      </c>
      <c r="L1393" s="3" t="s">
        <v>17</v>
      </c>
    </row>
    <row r="1394" customFormat="false" ht="15" hidden="false" customHeight="false" outlineLevel="0" collapsed="false">
      <c r="A1394" s="0" t="s">
        <v>1547</v>
      </c>
      <c r="B1394" s="2" t="n">
        <v>45822</v>
      </c>
      <c r="C1394" s="3" t="s">
        <v>40</v>
      </c>
      <c r="D1394" s="3" t="s">
        <v>56</v>
      </c>
      <c r="E1394" s="3" t="s">
        <v>15</v>
      </c>
      <c r="F1394" s="3" t="s">
        <v>16</v>
      </c>
      <c r="G1394" s="0" t="n">
        <v>367</v>
      </c>
      <c r="H1394" s="0" t="n">
        <v>0</v>
      </c>
      <c r="I1394" s="0" t="n">
        <v>40</v>
      </c>
      <c r="J1394" s="0" t="n">
        <v>39</v>
      </c>
      <c r="K1394" s="0" t="n">
        <v>4.1</v>
      </c>
      <c r="L1394" s="3" t="s">
        <v>17</v>
      </c>
    </row>
    <row r="1395" customFormat="false" ht="15" hidden="false" customHeight="false" outlineLevel="0" collapsed="false">
      <c r="A1395" s="0" t="s">
        <v>1548</v>
      </c>
      <c r="B1395" s="2" t="n">
        <v>45962</v>
      </c>
      <c r="C1395" s="3" t="s">
        <v>24</v>
      </c>
      <c r="D1395" s="3" t="s">
        <v>31</v>
      </c>
      <c r="E1395" s="3" t="s">
        <v>15</v>
      </c>
      <c r="F1395" s="3" t="s">
        <v>36</v>
      </c>
      <c r="G1395" s="0" t="n">
        <v>587</v>
      </c>
      <c r="H1395" s="0" t="n">
        <v>110</v>
      </c>
      <c r="I1395" s="0" t="n">
        <v>0</v>
      </c>
      <c r="J1395" s="0" t="n">
        <v>37</v>
      </c>
      <c r="K1395" s="0" t="n">
        <v>4</v>
      </c>
      <c r="L1395" s="3" t="s">
        <v>17</v>
      </c>
    </row>
    <row r="1396" customFormat="false" ht="15" hidden="false" customHeight="false" outlineLevel="0" collapsed="false">
      <c r="A1396" s="0" t="s">
        <v>1549</v>
      </c>
      <c r="B1396" s="2" t="n">
        <v>46014</v>
      </c>
      <c r="C1396" s="3" t="s">
        <v>421</v>
      </c>
      <c r="D1396" s="3" t="s">
        <v>20</v>
      </c>
      <c r="E1396" s="3" t="s">
        <v>15</v>
      </c>
      <c r="F1396" s="3" t="s">
        <v>16</v>
      </c>
      <c r="G1396" s="0" t="n">
        <v>459</v>
      </c>
      <c r="H1396" s="0" t="n">
        <v>0</v>
      </c>
      <c r="I1396" s="0" t="n">
        <v>45</v>
      </c>
      <c r="J1396" s="0" t="n">
        <v>54</v>
      </c>
      <c r="K1396" s="0" t="n">
        <v>4.1</v>
      </c>
      <c r="L1396" s="3" t="s">
        <v>17</v>
      </c>
    </row>
    <row r="1397" customFormat="false" ht="15" hidden="false" customHeight="false" outlineLevel="0" collapsed="false">
      <c r="A1397" s="0" t="s">
        <v>1550</v>
      </c>
      <c r="B1397" s="2" t="n">
        <v>45693</v>
      </c>
      <c r="C1397" s="3" t="s">
        <v>24</v>
      </c>
      <c r="D1397" s="3" t="s">
        <v>31</v>
      </c>
      <c r="E1397" s="3" t="s">
        <v>21</v>
      </c>
      <c r="F1397" s="3" t="s">
        <v>22</v>
      </c>
      <c r="G1397" s="0" t="n">
        <v>491</v>
      </c>
      <c r="H1397" s="0" t="n">
        <v>0</v>
      </c>
      <c r="I1397" s="0" t="n">
        <v>30</v>
      </c>
      <c r="J1397" s="0" t="n">
        <v>36</v>
      </c>
      <c r="K1397" s="0" t="n">
        <v>4.2</v>
      </c>
      <c r="L1397" s="3" t="s">
        <v>17</v>
      </c>
    </row>
    <row r="1398" customFormat="false" ht="15" hidden="false" customHeight="false" outlineLevel="0" collapsed="false">
      <c r="A1398" s="0" t="s">
        <v>1551</v>
      </c>
      <c r="B1398" s="2" t="n">
        <v>45910</v>
      </c>
      <c r="C1398" s="3" t="s">
        <v>24</v>
      </c>
      <c r="D1398" s="3" t="s">
        <v>28</v>
      </c>
      <c r="E1398" s="3" t="s">
        <v>21</v>
      </c>
      <c r="F1398" s="3" t="s">
        <v>22</v>
      </c>
      <c r="G1398" s="0" t="n">
        <v>548</v>
      </c>
      <c r="H1398" s="0" t="n">
        <v>0</v>
      </c>
      <c r="I1398" s="0" t="n">
        <v>0</v>
      </c>
      <c r="J1398" s="0" t="n">
        <v>32</v>
      </c>
      <c r="K1398" s="0" t="n">
        <v>4.6</v>
      </c>
      <c r="L1398" s="3" t="s">
        <v>17</v>
      </c>
    </row>
    <row r="1399" customFormat="false" ht="15" hidden="false" customHeight="false" outlineLevel="0" collapsed="false">
      <c r="A1399" s="0" t="s">
        <v>1552</v>
      </c>
      <c r="B1399" s="0" t="s">
        <v>1553</v>
      </c>
      <c r="C1399" s="0" t="s">
        <v>800</v>
      </c>
      <c r="D1399" s="0" t="s">
        <v>31</v>
      </c>
      <c r="E1399" s="0" t="s">
        <v>15</v>
      </c>
      <c r="F1399" s="0" t="s">
        <v>54</v>
      </c>
      <c r="G1399" s="0" t="n">
        <v>411</v>
      </c>
      <c r="H1399" s="0" t="n">
        <v>58</v>
      </c>
      <c r="I1399" s="0" t="n">
        <v>30</v>
      </c>
      <c r="J1399" s="0" t="n">
        <v>55</v>
      </c>
      <c r="K1399" s="0" t="n">
        <v>4</v>
      </c>
      <c r="L1399" s="0" t="s">
        <v>17</v>
      </c>
    </row>
    <row r="1400" customFormat="false" ht="15" hidden="false" customHeight="false" outlineLevel="0" collapsed="false">
      <c r="A1400" s="0" t="s">
        <v>1554</v>
      </c>
      <c r="B1400" s="2" t="n">
        <v>45904</v>
      </c>
      <c r="C1400" s="3" t="s">
        <v>27</v>
      </c>
      <c r="D1400" s="3" t="s">
        <v>49</v>
      </c>
      <c r="E1400" s="3" t="s">
        <v>58</v>
      </c>
      <c r="F1400" s="3" t="s">
        <v>16</v>
      </c>
      <c r="G1400" s="0" t="n">
        <v>589</v>
      </c>
      <c r="H1400" s="0" t="n">
        <v>84</v>
      </c>
      <c r="I1400" s="0" t="n">
        <v>0</v>
      </c>
      <c r="J1400" s="0" t="n">
        <v>40</v>
      </c>
      <c r="K1400" s="0" t="n">
        <v>4.3</v>
      </c>
      <c r="L1400" s="3" t="s">
        <v>17</v>
      </c>
    </row>
    <row r="1401" customFormat="false" ht="15" hidden="false" customHeight="false" outlineLevel="0" collapsed="false">
      <c r="A1401" s="0" t="s">
        <v>1555</v>
      </c>
      <c r="B1401" s="2" t="n">
        <v>45831</v>
      </c>
      <c r="C1401" s="3" t="s">
        <v>40</v>
      </c>
      <c r="D1401" s="3" t="s">
        <v>31</v>
      </c>
      <c r="E1401" s="3" t="s">
        <v>15</v>
      </c>
      <c r="F1401" s="3" t="s">
        <v>22</v>
      </c>
      <c r="G1401" s="0" t="n">
        <v>493</v>
      </c>
      <c r="H1401" s="0" t="n">
        <v>0</v>
      </c>
      <c r="I1401" s="0" t="n">
        <v>20</v>
      </c>
      <c r="J1401" s="0" t="n">
        <v>27</v>
      </c>
      <c r="K1401" s="0" t="n">
        <v>4.8</v>
      </c>
      <c r="L1401" s="3" t="s">
        <v>17</v>
      </c>
    </row>
    <row r="1402" customFormat="false" ht="15" hidden="false" customHeight="false" outlineLevel="0" collapsed="false">
      <c r="A1402" s="0" t="s">
        <v>1556</v>
      </c>
      <c r="B1402" s="2" t="n">
        <v>45832</v>
      </c>
      <c r="C1402" s="3" t="s">
        <v>40</v>
      </c>
      <c r="D1402" s="3" t="s">
        <v>56</v>
      </c>
      <c r="E1402" s="3" t="s">
        <v>99</v>
      </c>
      <c r="F1402" s="3" t="s">
        <v>22</v>
      </c>
      <c r="G1402" s="0" t="n">
        <v>237</v>
      </c>
      <c r="H1402" s="0" t="n">
        <v>36</v>
      </c>
      <c r="I1402" s="0" t="n">
        <v>20</v>
      </c>
      <c r="J1402" s="0" t="n">
        <v>33</v>
      </c>
      <c r="K1402" s="0" t="n">
        <v>3.9</v>
      </c>
      <c r="L1402" s="3" t="s">
        <v>17</v>
      </c>
    </row>
    <row r="1403" customFormat="false" ht="15" hidden="false" customHeight="false" outlineLevel="0" collapsed="false">
      <c r="A1403" s="0" t="s">
        <v>1557</v>
      </c>
      <c r="B1403" s="2" t="n">
        <v>45674</v>
      </c>
      <c r="C1403" s="3" t="s">
        <v>40</v>
      </c>
      <c r="D1403" s="3" t="s">
        <v>25</v>
      </c>
      <c r="E1403" s="3" t="s">
        <v>15</v>
      </c>
      <c r="F1403" s="3" t="s">
        <v>22</v>
      </c>
      <c r="G1403" s="0" t="n">
        <v>465</v>
      </c>
      <c r="H1403" s="0" t="n">
        <v>97</v>
      </c>
      <c r="I1403" s="0" t="n">
        <v>45</v>
      </c>
      <c r="J1403" s="0" t="n">
        <v>29</v>
      </c>
      <c r="K1403" s="0" t="n">
        <v>4</v>
      </c>
      <c r="L1403" s="3" t="s">
        <v>17</v>
      </c>
    </row>
    <row r="1404" customFormat="false" ht="15" hidden="false" customHeight="false" outlineLevel="0" collapsed="false">
      <c r="A1404" s="0" t="s">
        <v>1558</v>
      </c>
      <c r="B1404" s="2" t="n">
        <v>45870</v>
      </c>
      <c r="C1404" s="3" t="s">
        <v>27</v>
      </c>
      <c r="D1404" s="3" t="s">
        <v>25</v>
      </c>
      <c r="E1404" s="3" t="s">
        <v>21</v>
      </c>
      <c r="F1404" s="3" t="s">
        <v>54</v>
      </c>
      <c r="G1404" s="0" t="n">
        <v>551</v>
      </c>
      <c r="H1404" s="0" t="n">
        <v>134</v>
      </c>
      <c r="I1404" s="0" t="n">
        <v>0</v>
      </c>
      <c r="J1404" s="0" t="n">
        <v>29</v>
      </c>
      <c r="K1404" s="0" t="n">
        <v>4.4</v>
      </c>
      <c r="L1404" s="3" t="s">
        <v>17</v>
      </c>
    </row>
    <row r="1405" customFormat="false" ht="15" hidden="false" customHeight="false" outlineLevel="0" collapsed="false">
      <c r="A1405" s="0" t="s">
        <v>1559</v>
      </c>
      <c r="B1405" s="2" t="n">
        <v>46020</v>
      </c>
      <c r="C1405" s="3" t="s">
        <v>24</v>
      </c>
      <c r="D1405" s="3" t="s">
        <v>56</v>
      </c>
      <c r="E1405" s="3" t="s">
        <v>21</v>
      </c>
      <c r="F1405" s="3" t="s">
        <v>22</v>
      </c>
      <c r="G1405" s="0" t="n">
        <v>335</v>
      </c>
      <c r="H1405" s="0" t="n">
        <v>0</v>
      </c>
      <c r="I1405" s="0" t="n">
        <v>20</v>
      </c>
      <c r="J1405" s="0" t="n">
        <v>33</v>
      </c>
      <c r="K1405" s="0" t="n">
        <v>4.3</v>
      </c>
      <c r="L1405" s="3" t="s">
        <v>17</v>
      </c>
    </row>
    <row r="1406" customFormat="false" ht="15" hidden="false" customHeight="false" outlineLevel="0" collapsed="false">
      <c r="A1406" s="0" t="s">
        <v>1560</v>
      </c>
      <c r="B1406" s="2" t="n">
        <v>46010</v>
      </c>
      <c r="C1406" s="3" t="s">
        <v>375</v>
      </c>
      <c r="D1406" s="3" t="s">
        <v>14</v>
      </c>
      <c r="E1406" s="3" t="s">
        <v>21</v>
      </c>
      <c r="F1406" s="3" t="s">
        <v>22</v>
      </c>
      <c r="G1406" s="0" t="n">
        <v>202</v>
      </c>
      <c r="H1406" s="0" t="n">
        <v>0</v>
      </c>
      <c r="I1406" s="0" t="n">
        <v>30</v>
      </c>
      <c r="J1406" s="0" t="n">
        <v>42</v>
      </c>
      <c r="K1406" s="0" t="n">
        <v>3.8</v>
      </c>
      <c r="L1406" s="3" t="s">
        <v>17</v>
      </c>
    </row>
    <row r="1407" customFormat="false" ht="15" hidden="false" customHeight="false" outlineLevel="0" collapsed="false">
      <c r="A1407" s="0" t="s">
        <v>1561</v>
      </c>
      <c r="B1407" s="2" t="n">
        <v>45675</v>
      </c>
      <c r="C1407" s="3" t="s">
        <v>24</v>
      </c>
      <c r="D1407" s="3" t="s">
        <v>49</v>
      </c>
      <c r="E1407" s="3" t="s">
        <v>15</v>
      </c>
      <c r="F1407" s="3" t="s">
        <v>36</v>
      </c>
      <c r="G1407" s="0" t="n">
        <v>435</v>
      </c>
      <c r="H1407" s="0" t="n">
        <v>0</v>
      </c>
      <c r="I1407" s="0" t="n">
        <v>30</v>
      </c>
      <c r="J1407" s="0" t="n">
        <v>44</v>
      </c>
      <c r="K1407" s="0" t="n">
        <v>4.2</v>
      </c>
      <c r="L1407" s="3" t="s">
        <v>17</v>
      </c>
    </row>
    <row r="1408" customFormat="false" ht="15" hidden="false" customHeight="false" outlineLevel="0" collapsed="false">
      <c r="A1408" s="0" t="s">
        <v>1562</v>
      </c>
      <c r="B1408" s="2" t="n">
        <v>45928</v>
      </c>
      <c r="C1408" s="3" t="s">
        <v>40</v>
      </c>
      <c r="D1408" s="3" t="s">
        <v>25</v>
      </c>
      <c r="E1408" s="3" t="s">
        <v>15</v>
      </c>
      <c r="F1408" s="3" t="s">
        <v>16</v>
      </c>
      <c r="G1408" s="0" t="n">
        <v>287</v>
      </c>
      <c r="H1408" s="0" t="n">
        <v>0</v>
      </c>
      <c r="I1408" s="0" t="n">
        <v>20</v>
      </c>
      <c r="J1408" s="0" t="n">
        <v>42</v>
      </c>
      <c r="K1408" s="0" t="n">
        <v>4.6</v>
      </c>
      <c r="L1408" s="3" t="s">
        <v>17</v>
      </c>
    </row>
    <row r="1409" customFormat="false" ht="15" hidden="false" customHeight="false" outlineLevel="0" collapsed="false">
      <c r="A1409" s="0" t="s">
        <v>1563</v>
      </c>
      <c r="B1409" s="2" t="n">
        <v>45783</v>
      </c>
      <c r="C1409" s="3" t="s">
        <v>51</v>
      </c>
      <c r="D1409" s="3" t="s">
        <v>31</v>
      </c>
      <c r="E1409" s="3" t="s">
        <v>15</v>
      </c>
      <c r="F1409" s="3" t="s">
        <v>22</v>
      </c>
      <c r="G1409" s="0" t="n">
        <v>394</v>
      </c>
      <c r="H1409" s="0" t="n">
        <v>0</v>
      </c>
      <c r="I1409" s="0" t="n">
        <v>45</v>
      </c>
      <c r="J1409" s="0" t="n">
        <v>39</v>
      </c>
      <c r="K1409" s="0" t="n">
        <v>4.8</v>
      </c>
      <c r="L1409" s="3" t="s">
        <v>17</v>
      </c>
    </row>
    <row r="1410" customFormat="false" ht="15" hidden="false" customHeight="false" outlineLevel="0" collapsed="false">
      <c r="A1410" s="0" t="s">
        <v>1564</v>
      </c>
      <c r="B1410" s="2" t="n">
        <v>45992</v>
      </c>
      <c r="C1410" s="3" t="s">
        <v>40</v>
      </c>
      <c r="D1410" s="3" t="s">
        <v>28</v>
      </c>
      <c r="E1410" s="3" t="s">
        <v>21</v>
      </c>
      <c r="F1410" s="3" t="s">
        <v>22</v>
      </c>
      <c r="G1410" s="0" t="n">
        <v>353</v>
      </c>
      <c r="H1410" s="0" t="n">
        <v>0</v>
      </c>
      <c r="I1410" s="0" t="n">
        <v>20</v>
      </c>
      <c r="L1410" s="3" t="s">
        <v>68</v>
      </c>
    </row>
    <row r="1411" customFormat="false" ht="15" hidden="false" customHeight="false" outlineLevel="0" collapsed="false">
      <c r="A1411" s="0" t="s">
        <v>1565</v>
      </c>
      <c r="B1411" s="2" t="n">
        <v>45677</v>
      </c>
      <c r="C1411" s="3" t="s">
        <v>40</v>
      </c>
      <c r="D1411" s="3" t="s">
        <v>20</v>
      </c>
      <c r="E1411" s="3" t="s">
        <v>15</v>
      </c>
      <c r="F1411" s="3" t="s">
        <v>22</v>
      </c>
      <c r="G1411" s="0" t="n">
        <v>800</v>
      </c>
      <c r="H1411" s="0" t="n">
        <v>139</v>
      </c>
      <c r="I1411" s="0" t="n">
        <v>0</v>
      </c>
      <c r="J1411" s="0" t="n">
        <v>44</v>
      </c>
      <c r="K1411" s="0" t="n">
        <v>3.4</v>
      </c>
      <c r="L1411" s="3" t="s">
        <v>17</v>
      </c>
    </row>
    <row r="1412" customFormat="false" ht="15" hidden="false" customHeight="false" outlineLevel="0" collapsed="false">
      <c r="A1412" s="0" t="s">
        <v>1566</v>
      </c>
      <c r="B1412" s="0" t="s">
        <v>202</v>
      </c>
      <c r="C1412" s="0" t="s">
        <v>40</v>
      </c>
      <c r="D1412" s="0" t="s">
        <v>25</v>
      </c>
      <c r="E1412" s="0" t="s">
        <v>58</v>
      </c>
      <c r="F1412" s="0" t="s">
        <v>22</v>
      </c>
      <c r="G1412" s="0" t="n">
        <v>509</v>
      </c>
      <c r="H1412" s="0" t="n">
        <v>0</v>
      </c>
      <c r="I1412" s="0" t="n">
        <v>0</v>
      </c>
      <c r="J1412" s="0" t="n">
        <v>48</v>
      </c>
      <c r="K1412" s="0" t="n">
        <v>3.4</v>
      </c>
      <c r="L1412" s="0" t="s">
        <v>17</v>
      </c>
    </row>
    <row r="1413" customFormat="false" ht="15" hidden="false" customHeight="false" outlineLevel="0" collapsed="false">
      <c r="A1413" s="0" t="s">
        <v>1567</v>
      </c>
      <c r="B1413" s="2" t="n">
        <v>45971</v>
      </c>
      <c r="C1413" s="3" t="s">
        <v>19</v>
      </c>
      <c r="D1413" s="3" t="s">
        <v>28</v>
      </c>
      <c r="E1413" s="3" t="s">
        <v>21</v>
      </c>
      <c r="F1413" s="3" t="s">
        <v>22</v>
      </c>
      <c r="G1413" s="0" t="n">
        <v>395</v>
      </c>
      <c r="H1413" s="0" t="n">
        <v>70</v>
      </c>
      <c r="I1413" s="0" t="n">
        <v>30</v>
      </c>
      <c r="J1413" s="0" t="n">
        <v>31</v>
      </c>
      <c r="K1413" s="0" t="n">
        <v>4.2</v>
      </c>
      <c r="L1413" s="3" t="s">
        <v>17</v>
      </c>
    </row>
    <row r="1414" customFormat="false" ht="15" hidden="false" customHeight="false" outlineLevel="0" collapsed="false">
      <c r="A1414" s="0" t="s">
        <v>1568</v>
      </c>
      <c r="B1414" s="0" t="s">
        <v>1569</v>
      </c>
      <c r="C1414" s="0" t="s">
        <v>27</v>
      </c>
      <c r="D1414" s="0" t="s">
        <v>56</v>
      </c>
      <c r="E1414" s="0" t="s">
        <v>21</v>
      </c>
      <c r="G1414" s="0" t="n">
        <v>504</v>
      </c>
      <c r="H1414" s="0" t="n">
        <v>0</v>
      </c>
      <c r="I1414" s="0" t="n">
        <v>0</v>
      </c>
      <c r="J1414" s="0" t="n">
        <v>45</v>
      </c>
      <c r="K1414" s="0" t="n">
        <v>4.1</v>
      </c>
      <c r="L1414" s="0" t="s">
        <v>17</v>
      </c>
    </row>
    <row r="1415" customFormat="false" ht="15" hidden="false" customHeight="false" outlineLevel="0" collapsed="false">
      <c r="A1415" s="0" t="s">
        <v>1570</v>
      </c>
      <c r="B1415" s="2" t="n">
        <v>45684</v>
      </c>
      <c r="C1415" s="3" t="s">
        <v>27</v>
      </c>
      <c r="D1415" s="3" t="s">
        <v>20</v>
      </c>
      <c r="E1415" s="3" t="s">
        <v>21</v>
      </c>
      <c r="F1415" s="3" t="s">
        <v>36</v>
      </c>
      <c r="G1415" s="0" t="n">
        <v>647</v>
      </c>
      <c r="H1415" s="0" t="n">
        <v>92</v>
      </c>
      <c r="I1415" s="0" t="n">
        <v>0</v>
      </c>
      <c r="J1415" s="0" t="n">
        <v>33</v>
      </c>
      <c r="K1415" s="0" t="n">
        <v>4.2</v>
      </c>
      <c r="L1415" s="3" t="s">
        <v>17</v>
      </c>
    </row>
    <row r="1416" customFormat="false" ht="15" hidden="false" customHeight="false" outlineLevel="0" collapsed="false">
      <c r="A1416" s="0" t="s">
        <v>1571</v>
      </c>
      <c r="B1416" s="2" t="n">
        <v>45970</v>
      </c>
      <c r="C1416" s="3" t="s">
        <v>19</v>
      </c>
      <c r="D1416" s="3" t="s">
        <v>25</v>
      </c>
      <c r="E1416" s="3" t="s">
        <v>15</v>
      </c>
      <c r="F1416" s="3" t="s">
        <v>36</v>
      </c>
      <c r="G1416" s="0" t="n">
        <v>294</v>
      </c>
      <c r="H1416" s="0" t="n">
        <v>48</v>
      </c>
      <c r="I1416" s="0" t="n">
        <v>45</v>
      </c>
      <c r="J1416" s="0" t="n">
        <v>35</v>
      </c>
      <c r="K1416" s="0" t="n">
        <v>4</v>
      </c>
      <c r="L1416" s="3" t="s">
        <v>17</v>
      </c>
    </row>
    <row r="1417" customFormat="false" ht="15" hidden="false" customHeight="false" outlineLevel="0" collapsed="false">
      <c r="A1417" s="0" t="s">
        <v>1572</v>
      </c>
      <c r="B1417" s="2" t="n">
        <v>45725</v>
      </c>
      <c r="C1417" s="3" t="s">
        <v>292</v>
      </c>
      <c r="D1417" s="3" t="s">
        <v>56</v>
      </c>
      <c r="E1417" s="3" t="s">
        <v>21</v>
      </c>
      <c r="F1417" s="3" t="s">
        <v>54</v>
      </c>
      <c r="G1417" s="0" t="n">
        <v>473</v>
      </c>
      <c r="H1417" s="0" t="n">
        <v>0</v>
      </c>
      <c r="I1417" s="0" t="n">
        <v>20</v>
      </c>
      <c r="J1417" s="0" t="n">
        <v>50</v>
      </c>
      <c r="K1417" s="0" t="n">
        <v>3.7</v>
      </c>
      <c r="L1417" s="3" t="s">
        <v>17</v>
      </c>
    </row>
    <row r="1418" customFormat="false" ht="15" hidden="false" customHeight="false" outlineLevel="0" collapsed="false">
      <c r="A1418" s="0" t="s">
        <v>1573</v>
      </c>
      <c r="B1418" s="0" t="s">
        <v>1110</v>
      </c>
      <c r="C1418" s="0" t="s">
        <v>19</v>
      </c>
      <c r="D1418" s="0" t="s">
        <v>31</v>
      </c>
      <c r="E1418" s="0" t="s">
        <v>15</v>
      </c>
      <c r="F1418" s="0" t="s">
        <v>22</v>
      </c>
      <c r="G1418" s="0" t="n">
        <v>449</v>
      </c>
      <c r="H1418" s="0" t="n">
        <v>54</v>
      </c>
      <c r="I1418" s="0" t="n">
        <v>20</v>
      </c>
      <c r="J1418" s="0" t="n">
        <v>30</v>
      </c>
      <c r="K1418" s="0" t="n">
        <v>4.6</v>
      </c>
      <c r="L1418" s="0" t="s">
        <v>17</v>
      </c>
    </row>
    <row r="1419" customFormat="false" ht="15" hidden="false" customHeight="false" outlineLevel="0" collapsed="false">
      <c r="A1419" s="0" t="s">
        <v>1574</v>
      </c>
      <c r="B1419" s="2" t="n">
        <v>45996</v>
      </c>
      <c r="C1419" s="3" t="s">
        <v>24</v>
      </c>
      <c r="D1419" s="3" t="s">
        <v>28</v>
      </c>
      <c r="E1419" s="3" t="s">
        <v>58</v>
      </c>
      <c r="F1419" s="3" t="s">
        <v>22</v>
      </c>
      <c r="G1419" s="0" t="n">
        <v>341</v>
      </c>
      <c r="H1419" s="0" t="n">
        <v>51</v>
      </c>
      <c r="I1419" s="0" t="n">
        <v>45</v>
      </c>
      <c r="J1419" s="0" t="n">
        <v>32</v>
      </c>
      <c r="K1419" s="0" t="n">
        <v>3.7</v>
      </c>
      <c r="L1419" s="3" t="s">
        <v>17</v>
      </c>
    </row>
    <row r="1420" customFormat="false" ht="15" hidden="false" customHeight="false" outlineLevel="0" collapsed="false">
      <c r="A1420" s="0" t="s">
        <v>1575</v>
      </c>
      <c r="B1420" s="2" t="n">
        <v>45881</v>
      </c>
      <c r="C1420" s="3" t="s">
        <v>13</v>
      </c>
      <c r="D1420" s="3" t="s">
        <v>31</v>
      </c>
      <c r="E1420" s="3" t="s">
        <v>58</v>
      </c>
      <c r="F1420" s="3" t="s">
        <v>54</v>
      </c>
      <c r="G1420" s="0" t="n">
        <v>483</v>
      </c>
      <c r="H1420" s="0" t="n">
        <v>62</v>
      </c>
      <c r="I1420" s="0" t="n">
        <v>30</v>
      </c>
      <c r="J1420" s="0" t="n">
        <v>32</v>
      </c>
      <c r="K1420" s="0" t="n">
        <v>5</v>
      </c>
      <c r="L1420" s="3" t="s">
        <v>17</v>
      </c>
    </row>
    <row r="1421" customFormat="false" ht="15" hidden="false" customHeight="false" outlineLevel="0" collapsed="false">
      <c r="A1421" s="0" t="s">
        <v>1576</v>
      </c>
      <c r="B1421" s="2" t="n">
        <v>45820</v>
      </c>
      <c r="C1421" s="3" t="s">
        <v>27</v>
      </c>
      <c r="D1421" s="3" t="s">
        <v>28</v>
      </c>
      <c r="E1421" s="3" t="s">
        <v>15</v>
      </c>
      <c r="F1421" s="3" t="s">
        <v>36</v>
      </c>
      <c r="G1421" s="0" t="n">
        <v>478</v>
      </c>
      <c r="H1421" s="0" t="n">
        <v>0</v>
      </c>
      <c r="I1421" s="0" t="n">
        <v>20</v>
      </c>
      <c r="J1421" s="0" t="n">
        <v>39</v>
      </c>
      <c r="K1421" s="0" t="n">
        <v>4.2</v>
      </c>
      <c r="L1421" s="3" t="s">
        <v>17</v>
      </c>
    </row>
    <row r="1422" customFormat="false" ht="15" hidden="false" customHeight="false" outlineLevel="0" collapsed="false">
      <c r="A1422" s="0" t="s">
        <v>1577</v>
      </c>
      <c r="B1422" s="0" t="s">
        <v>1578</v>
      </c>
      <c r="C1422" s="0" t="s">
        <v>24</v>
      </c>
      <c r="D1422" s="0" t="s">
        <v>14</v>
      </c>
      <c r="E1422" s="0" t="s">
        <v>21</v>
      </c>
      <c r="F1422" s="0" t="s">
        <v>16</v>
      </c>
      <c r="G1422" s="0" t="n">
        <v>354</v>
      </c>
      <c r="H1422" s="0" t="n">
        <v>42</v>
      </c>
      <c r="I1422" s="0" t="n">
        <v>20</v>
      </c>
      <c r="J1422" s="0" t="n">
        <v>33</v>
      </c>
      <c r="K1422" s="0" t="n">
        <v>4.9</v>
      </c>
      <c r="L1422" s="0" t="s">
        <v>17</v>
      </c>
    </row>
    <row r="1423" customFormat="false" ht="15" hidden="false" customHeight="false" outlineLevel="0" collapsed="false">
      <c r="A1423" s="0" t="s">
        <v>1579</v>
      </c>
      <c r="B1423" s="2" t="n">
        <v>45685</v>
      </c>
      <c r="C1423" s="3" t="s">
        <v>51</v>
      </c>
      <c r="D1423" s="3" t="s">
        <v>28</v>
      </c>
      <c r="E1423" s="3" t="s">
        <v>15</v>
      </c>
      <c r="F1423" s="3" t="s">
        <v>22</v>
      </c>
      <c r="G1423" s="0" t="n">
        <v>438</v>
      </c>
      <c r="H1423" s="0" t="n">
        <v>94</v>
      </c>
      <c r="I1423" s="0" t="n">
        <v>30</v>
      </c>
      <c r="J1423" s="0" t="n">
        <v>40</v>
      </c>
      <c r="K1423" s="0" t="n">
        <v>3.9</v>
      </c>
      <c r="L1423" s="3" t="s">
        <v>17</v>
      </c>
    </row>
    <row r="1424" customFormat="false" ht="15" hidden="false" customHeight="false" outlineLevel="0" collapsed="false">
      <c r="A1424" s="0" t="s">
        <v>1580</v>
      </c>
      <c r="B1424" s="2" t="n">
        <v>46012</v>
      </c>
      <c r="C1424" s="3" t="s">
        <v>40</v>
      </c>
      <c r="D1424" s="3" t="s">
        <v>31</v>
      </c>
      <c r="E1424" s="3" t="s">
        <v>15</v>
      </c>
      <c r="F1424" s="3" t="s">
        <v>22</v>
      </c>
      <c r="G1424" s="0" t="n">
        <v>537</v>
      </c>
      <c r="H1424" s="0" t="n">
        <v>62</v>
      </c>
      <c r="I1424" s="0" t="n">
        <v>0</v>
      </c>
      <c r="J1424" s="0" t="n">
        <v>40</v>
      </c>
      <c r="K1424" s="0" t="n">
        <v>4.4</v>
      </c>
      <c r="L1424" s="3" t="s">
        <v>17</v>
      </c>
    </row>
    <row r="1425" customFormat="false" ht="15" hidden="false" customHeight="false" outlineLevel="0" collapsed="false">
      <c r="A1425" s="0" t="s">
        <v>1581</v>
      </c>
      <c r="B1425" s="2" t="n">
        <v>45787</v>
      </c>
      <c r="C1425" s="3" t="s">
        <v>694</v>
      </c>
      <c r="D1425" s="3" t="s">
        <v>25</v>
      </c>
      <c r="E1425" s="3" t="s">
        <v>21</v>
      </c>
      <c r="F1425" s="3" t="s">
        <v>16</v>
      </c>
      <c r="G1425" s="0" t="n">
        <v>535</v>
      </c>
      <c r="H1425" s="0" t="n">
        <v>0</v>
      </c>
      <c r="I1425" s="0" t="n">
        <v>0</v>
      </c>
      <c r="J1425" s="0" t="n">
        <v>35</v>
      </c>
      <c r="K1425" s="0" t="n">
        <v>4.3</v>
      </c>
      <c r="L1425" s="3" t="s">
        <v>17</v>
      </c>
    </row>
    <row r="1426" customFormat="false" ht="15" hidden="false" customHeight="false" outlineLevel="0" collapsed="false">
      <c r="A1426" s="0" t="s">
        <v>1582</v>
      </c>
      <c r="B1426" s="0" t="s">
        <v>1583</v>
      </c>
      <c r="C1426" s="0" t="s">
        <v>24</v>
      </c>
      <c r="D1426" s="0" t="s">
        <v>56</v>
      </c>
      <c r="E1426" s="0" t="s">
        <v>21</v>
      </c>
      <c r="F1426" s="0" t="s">
        <v>16</v>
      </c>
      <c r="G1426" s="0" t="n">
        <v>324</v>
      </c>
      <c r="H1426" s="0" t="n">
        <v>45</v>
      </c>
      <c r="I1426" s="0" t="n">
        <v>20</v>
      </c>
      <c r="J1426" s="0" t="n">
        <v>39</v>
      </c>
      <c r="K1426" s="0" t="n">
        <v>4.6</v>
      </c>
      <c r="L1426" s="0" t="s">
        <v>17</v>
      </c>
    </row>
    <row r="1427" customFormat="false" ht="15" hidden="false" customHeight="false" outlineLevel="0" collapsed="false">
      <c r="A1427" s="0" t="s">
        <v>1584</v>
      </c>
      <c r="B1427" s="2" t="n">
        <v>45777</v>
      </c>
      <c r="C1427" s="3" t="s">
        <v>13</v>
      </c>
      <c r="D1427" s="3" t="s">
        <v>20</v>
      </c>
      <c r="E1427" s="3" t="s">
        <v>21</v>
      </c>
      <c r="F1427" s="3" t="s">
        <v>22</v>
      </c>
      <c r="G1427" s="0" t="n">
        <v>787</v>
      </c>
      <c r="H1427" s="0" t="n">
        <v>134</v>
      </c>
      <c r="I1427" s="0" t="n">
        <v>0</v>
      </c>
      <c r="J1427" s="0" t="n">
        <v>27</v>
      </c>
      <c r="K1427" s="0" t="n">
        <v>4.4</v>
      </c>
      <c r="L1427" s="3" t="s">
        <v>17</v>
      </c>
    </row>
    <row r="1428" customFormat="false" ht="15" hidden="false" customHeight="false" outlineLevel="0" collapsed="false">
      <c r="A1428" s="0" t="s">
        <v>1585</v>
      </c>
      <c r="B1428" s="0" t="s">
        <v>1586</v>
      </c>
      <c r="C1428" s="0" t="s">
        <v>19</v>
      </c>
      <c r="D1428" s="0" t="s">
        <v>49</v>
      </c>
      <c r="E1428" s="0" t="s">
        <v>58</v>
      </c>
      <c r="F1428" s="0" t="s">
        <v>54</v>
      </c>
      <c r="G1428" s="0" t="n">
        <v>519</v>
      </c>
      <c r="H1428" s="0" t="n">
        <v>0</v>
      </c>
      <c r="I1428" s="0" t="n">
        <v>0</v>
      </c>
      <c r="J1428" s="0" t="n">
        <v>24</v>
      </c>
      <c r="K1428" s="0" t="n">
        <v>5</v>
      </c>
      <c r="L1428" s="0" t="s">
        <v>17</v>
      </c>
    </row>
    <row r="1429" customFormat="false" ht="15" hidden="false" customHeight="false" outlineLevel="0" collapsed="false">
      <c r="A1429" s="0" t="s">
        <v>1587</v>
      </c>
      <c r="B1429" s="2" t="n">
        <v>45699</v>
      </c>
      <c r="C1429" s="3" t="s">
        <v>40</v>
      </c>
      <c r="D1429" s="3" t="s">
        <v>56</v>
      </c>
      <c r="E1429" s="3" t="s">
        <v>21</v>
      </c>
      <c r="F1429" s="3" t="s">
        <v>34</v>
      </c>
      <c r="G1429" s="0" t="n">
        <v>486</v>
      </c>
      <c r="H1429" s="0" t="n">
        <v>0</v>
      </c>
      <c r="I1429" s="0" t="n">
        <v>40</v>
      </c>
      <c r="J1429" s="0" t="n">
        <v>34</v>
      </c>
      <c r="K1429" s="0" t="n">
        <v>3.6</v>
      </c>
      <c r="L1429" s="3" t="s">
        <v>17</v>
      </c>
    </row>
    <row r="1430" customFormat="false" ht="15" hidden="false" customHeight="false" outlineLevel="0" collapsed="false">
      <c r="A1430" s="0" t="s">
        <v>1588</v>
      </c>
      <c r="B1430" s="2" t="n">
        <v>45981</v>
      </c>
      <c r="C1430" s="3" t="s">
        <v>51</v>
      </c>
      <c r="D1430" s="3" t="s">
        <v>14</v>
      </c>
      <c r="E1430" s="3" t="s">
        <v>15</v>
      </c>
      <c r="F1430" s="3" t="s">
        <v>34</v>
      </c>
      <c r="G1430" s="0" t="n">
        <v>334</v>
      </c>
      <c r="H1430" s="0" t="n">
        <v>81</v>
      </c>
      <c r="I1430" s="0" t="n">
        <v>30</v>
      </c>
      <c r="J1430" s="0" t="n">
        <v>34</v>
      </c>
      <c r="K1430" s="0" t="n">
        <v>4.8</v>
      </c>
      <c r="L1430" s="3" t="s">
        <v>17</v>
      </c>
    </row>
    <row r="1431" customFormat="false" ht="15" hidden="false" customHeight="false" outlineLevel="0" collapsed="false">
      <c r="A1431" s="0" t="s">
        <v>1589</v>
      </c>
      <c r="B1431" s="2" t="n">
        <v>45929</v>
      </c>
      <c r="C1431" s="3" t="s">
        <v>27</v>
      </c>
      <c r="D1431" s="3" t="s">
        <v>31</v>
      </c>
      <c r="E1431" s="3" t="s">
        <v>15</v>
      </c>
      <c r="F1431" s="3" t="s">
        <v>22</v>
      </c>
      <c r="G1431" s="0" t="n">
        <v>310</v>
      </c>
      <c r="H1431" s="0" t="n">
        <v>41</v>
      </c>
      <c r="I1431" s="0" t="n">
        <v>20</v>
      </c>
      <c r="J1431" s="0" t="n">
        <v>55</v>
      </c>
      <c r="K1431" s="0" t="n">
        <v>3.8</v>
      </c>
      <c r="L1431" s="3" t="s">
        <v>17</v>
      </c>
    </row>
    <row r="1432" customFormat="false" ht="15" hidden="false" customHeight="false" outlineLevel="0" collapsed="false">
      <c r="A1432" s="0" t="s">
        <v>1590</v>
      </c>
      <c r="B1432" s="2" t="n">
        <v>45969</v>
      </c>
      <c r="C1432" s="3" t="s">
        <v>13</v>
      </c>
      <c r="D1432" s="3" t="s">
        <v>56</v>
      </c>
      <c r="E1432" s="3" t="s">
        <v>21</v>
      </c>
      <c r="F1432" s="3" t="s">
        <v>36</v>
      </c>
      <c r="G1432" s="0" t="n">
        <v>309</v>
      </c>
      <c r="H1432" s="0" t="n">
        <v>75</v>
      </c>
      <c r="I1432" s="0" t="n">
        <v>45</v>
      </c>
      <c r="J1432" s="0" t="n">
        <v>47</v>
      </c>
      <c r="K1432" s="0" t="n">
        <v>3.5</v>
      </c>
      <c r="L1432" s="3" t="s">
        <v>17</v>
      </c>
    </row>
    <row r="1433" customFormat="false" ht="15" hidden="false" customHeight="false" outlineLevel="0" collapsed="false">
      <c r="A1433" s="0" t="s">
        <v>1591</v>
      </c>
      <c r="B1433" s="2" t="n">
        <v>46015</v>
      </c>
      <c r="C1433" s="3" t="s">
        <v>40</v>
      </c>
      <c r="D1433" s="3" t="s">
        <v>31</v>
      </c>
      <c r="E1433" s="3" t="s">
        <v>15</v>
      </c>
      <c r="F1433" s="3" t="s">
        <v>36</v>
      </c>
      <c r="G1433" s="0" t="n">
        <v>316</v>
      </c>
      <c r="H1433" s="0" t="n">
        <v>0</v>
      </c>
      <c r="I1433" s="0" t="n">
        <v>40</v>
      </c>
      <c r="J1433" s="0" t="n">
        <v>44</v>
      </c>
      <c r="K1433" s="0" t="n">
        <v>5</v>
      </c>
      <c r="L1433" s="3" t="s">
        <v>17</v>
      </c>
    </row>
    <row r="1434" customFormat="false" ht="15" hidden="false" customHeight="false" outlineLevel="0" collapsed="false">
      <c r="A1434" s="0" t="s">
        <v>1592</v>
      </c>
      <c r="B1434" s="2" t="n">
        <v>45973</v>
      </c>
      <c r="C1434" s="3" t="s">
        <v>27</v>
      </c>
      <c r="D1434" s="3" t="s">
        <v>28</v>
      </c>
      <c r="E1434" s="3" t="s">
        <v>21</v>
      </c>
      <c r="F1434" s="3" t="s">
        <v>22</v>
      </c>
      <c r="G1434" s="0" t="n">
        <v>533</v>
      </c>
      <c r="H1434" s="0" t="n">
        <v>98</v>
      </c>
      <c r="I1434" s="0" t="n">
        <v>0</v>
      </c>
      <c r="J1434" s="0" t="n">
        <v>43</v>
      </c>
      <c r="K1434" s="0" t="n">
        <v>5</v>
      </c>
      <c r="L1434" s="3" t="s">
        <v>17</v>
      </c>
    </row>
    <row r="1435" customFormat="false" ht="15" hidden="false" customHeight="false" outlineLevel="0" collapsed="false">
      <c r="A1435" s="0" t="s">
        <v>1593</v>
      </c>
      <c r="B1435" s="2" t="n">
        <v>46005</v>
      </c>
      <c r="C1435" s="3" t="s">
        <v>13</v>
      </c>
      <c r="D1435" s="3" t="s">
        <v>31</v>
      </c>
      <c r="E1435" s="3" t="s">
        <v>15</v>
      </c>
      <c r="F1435" s="3" t="s">
        <v>34</v>
      </c>
      <c r="G1435" s="0" t="n">
        <v>427</v>
      </c>
      <c r="H1435" s="0" t="n">
        <v>0</v>
      </c>
      <c r="I1435" s="0" t="n">
        <v>20</v>
      </c>
      <c r="J1435" s="0" t="n">
        <v>23</v>
      </c>
      <c r="K1435" s="0" t="n">
        <v>3.5</v>
      </c>
      <c r="L1435" s="3" t="s">
        <v>17</v>
      </c>
    </row>
    <row r="1436" customFormat="false" ht="15" hidden="false" customHeight="false" outlineLevel="0" collapsed="false">
      <c r="A1436" s="0" t="s">
        <v>1594</v>
      </c>
      <c r="B1436" s="2" t="n">
        <v>45713</v>
      </c>
      <c r="C1436" s="3" t="s">
        <v>27</v>
      </c>
      <c r="D1436" s="3" t="s">
        <v>25</v>
      </c>
      <c r="E1436" s="3" t="s">
        <v>15</v>
      </c>
      <c r="F1436" s="3" t="s">
        <v>34</v>
      </c>
      <c r="G1436" s="0" t="n">
        <v>475</v>
      </c>
      <c r="H1436" s="0" t="n">
        <v>0</v>
      </c>
      <c r="I1436" s="0" t="n">
        <v>20</v>
      </c>
      <c r="J1436" s="0" t="n">
        <v>44</v>
      </c>
      <c r="K1436" s="0" t="n">
        <v>4.1</v>
      </c>
      <c r="L1436" s="3" t="s">
        <v>17</v>
      </c>
    </row>
    <row r="1437" customFormat="false" ht="15" hidden="false" customHeight="false" outlineLevel="0" collapsed="false">
      <c r="A1437" s="0" t="s">
        <v>1595</v>
      </c>
      <c r="B1437" s="2" t="n">
        <v>45958</v>
      </c>
      <c r="C1437" s="3" t="s">
        <v>40</v>
      </c>
      <c r="D1437" s="3" t="s">
        <v>28</v>
      </c>
      <c r="E1437" s="3" t="s">
        <v>21</v>
      </c>
      <c r="F1437" s="3" t="s">
        <v>36</v>
      </c>
      <c r="G1437" s="0" t="n">
        <v>573</v>
      </c>
      <c r="H1437" s="0" t="n">
        <v>0</v>
      </c>
      <c r="I1437" s="0" t="n">
        <v>0</v>
      </c>
      <c r="J1437" s="0" t="n">
        <v>32</v>
      </c>
      <c r="K1437" s="0" t="n">
        <v>4.7</v>
      </c>
      <c r="L1437" s="3" t="s">
        <v>17</v>
      </c>
    </row>
    <row r="1438" customFormat="false" ht="15" hidden="false" customHeight="false" outlineLevel="0" collapsed="false">
      <c r="A1438" s="0" t="s">
        <v>1596</v>
      </c>
      <c r="B1438" s="2" t="n">
        <v>45873</v>
      </c>
      <c r="C1438" s="3" t="s">
        <v>24</v>
      </c>
      <c r="D1438" s="3" t="s">
        <v>20</v>
      </c>
      <c r="E1438" s="3" t="s">
        <v>21</v>
      </c>
      <c r="F1438" s="3" t="s">
        <v>22</v>
      </c>
      <c r="G1438" s="0" t="n">
        <v>670</v>
      </c>
      <c r="H1438" s="0" t="n">
        <v>74</v>
      </c>
      <c r="I1438" s="0" t="n">
        <v>0</v>
      </c>
      <c r="J1438" s="0" t="n">
        <v>47</v>
      </c>
      <c r="K1438" s="0" t="n">
        <v>4.2</v>
      </c>
      <c r="L1438" s="3" t="s">
        <v>17</v>
      </c>
    </row>
    <row r="1439" customFormat="false" ht="15" hidden="false" customHeight="false" outlineLevel="0" collapsed="false">
      <c r="A1439" s="0" t="s">
        <v>1597</v>
      </c>
      <c r="B1439" s="2" t="n">
        <v>45872</v>
      </c>
      <c r="C1439" s="3" t="s">
        <v>45</v>
      </c>
      <c r="D1439" s="3" t="s">
        <v>31</v>
      </c>
      <c r="E1439" s="3" t="s">
        <v>21</v>
      </c>
      <c r="F1439" s="3" t="s">
        <v>54</v>
      </c>
      <c r="G1439" s="0" t="n">
        <v>445</v>
      </c>
      <c r="H1439" s="0" t="n">
        <v>0</v>
      </c>
      <c r="I1439" s="0" t="n">
        <v>40</v>
      </c>
      <c r="J1439" s="0" t="n">
        <v>19</v>
      </c>
      <c r="K1439" s="0" t="n">
        <v>5</v>
      </c>
      <c r="L1439" s="3" t="s">
        <v>17</v>
      </c>
    </row>
    <row r="1440" customFormat="false" ht="15" hidden="false" customHeight="false" outlineLevel="0" collapsed="false">
      <c r="A1440" s="0" t="s">
        <v>1598</v>
      </c>
      <c r="B1440" s="2" t="n">
        <v>45991</v>
      </c>
      <c r="C1440" s="3" t="s">
        <v>40</v>
      </c>
      <c r="D1440" s="3" t="s">
        <v>31</v>
      </c>
      <c r="E1440" s="3" t="s">
        <v>21</v>
      </c>
      <c r="F1440" s="3" t="s">
        <v>16</v>
      </c>
      <c r="G1440" s="0" t="n">
        <v>408</v>
      </c>
      <c r="H1440" s="0" t="n">
        <v>0</v>
      </c>
      <c r="I1440" s="0" t="n">
        <v>20</v>
      </c>
      <c r="J1440" s="0" t="n">
        <v>41</v>
      </c>
      <c r="K1440" s="0" t="n">
        <v>4.8</v>
      </c>
      <c r="L1440" s="3" t="s">
        <v>17</v>
      </c>
    </row>
    <row r="1441" customFormat="false" ht="15" hidden="false" customHeight="false" outlineLevel="0" collapsed="false">
      <c r="A1441" s="0" t="s">
        <v>1599</v>
      </c>
      <c r="B1441" s="2" t="n">
        <v>46014</v>
      </c>
      <c r="C1441" s="3" t="s">
        <v>13</v>
      </c>
      <c r="D1441" s="3" t="s">
        <v>56</v>
      </c>
      <c r="E1441" s="3" t="s">
        <v>15</v>
      </c>
      <c r="F1441" s="3" t="s">
        <v>22</v>
      </c>
      <c r="G1441" s="0" t="n">
        <v>479</v>
      </c>
      <c r="H1441" s="0" t="n">
        <v>0</v>
      </c>
      <c r="I1441" s="0" t="n">
        <v>30</v>
      </c>
      <c r="J1441" s="0" t="n">
        <v>27</v>
      </c>
      <c r="K1441" s="0" t="n">
        <v>4.6</v>
      </c>
      <c r="L1441" s="3" t="s">
        <v>17</v>
      </c>
    </row>
    <row r="1442" customFormat="false" ht="15" hidden="false" customHeight="false" outlineLevel="0" collapsed="false">
      <c r="A1442" s="0" t="s">
        <v>1600</v>
      </c>
      <c r="B1442" s="2" t="n">
        <v>45928</v>
      </c>
      <c r="C1442" s="3" t="s">
        <v>19</v>
      </c>
      <c r="D1442" s="3" t="s">
        <v>25</v>
      </c>
      <c r="E1442" s="3" t="s">
        <v>21</v>
      </c>
      <c r="F1442" s="3" t="s">
        <v>22</v>
      </c>
      <c r="G1442" s="0" t="n">
        <v>571</v>
      </c>
      <c r="H1442" s="0" t="n">
        <v>81</v>
      </c>
      <c r="I1442" s="0" t="n">
        <v>0</v>
      </c>
      <c r="J1442" s="0" t="n">
        <v>28</v>
      </c>
      <c r="K1442" s="0" t="n">
        <v>5</v>
      </c>
      <c r="L1442" s="3" t="s">
        <v>17</v>
      </c>
    </row>
    <row r="1443" customFormat="false" ht="15" hidden="false" customHeight="false" outlineLevel="0" collapsed="false">
      <c r="A1443" s="0" t="s">
        <v>1601</v>
      </c>
      <c r="B1443" s="2" t="n">
        <v>45851</v>
      </c>
      <c r="C1443" s="3" t="s">
        <v>40</v>
      </c>
      <c r="D1443" s="3" t="s">
        <v>31</v>
      </c>
      <c r="E1443" s="3" t="s">
        <v>15</v>
      </c>
      <c r="F1443" s="3" t="s">
        <v>22</v>
      </c>
      <c r="G1443" s="0" t="n">
        <v>487</v>
      </c>
      <c r="H1443" s="0" t="n">
        <v>0</v>
      </c>
      <c r="I1443" s="0" t="n">
        <v>20</v>
      </c>
      <c r="J1443" s="0" t="n">
        <v>43</v>
      </c>
      <c r="K1443" s="0" t="n">
        <v>4.5</v>
      </c>
      <c r="L1443" s="3" t="s">
        <v>17</v>
      </c>
    </row>
    <row r="1444" customFormat="false" ht="15" hidden="false" customHeight="false" outlineLevel="0" collapsed="false">
      <c r="A1444" s="0" t="s">
        <v>1602</v>
      </c>
      <c r="B1444" s="2" t="n">
        <v>45842</v>
      </c>
      <c r="C1444" s="3" t="s">
        <v>964</v>
      </c>
      <c r="D1444" s="3" t="s">
        <v>20</v>
      </c>
      <c r="E1444" s="3" t="s">
        <v>21</v>
      </c>
      <c r="F1444" s="3" t="s">
        <v>22</v>
      </c>
      <c r="G1444" s="0" t="n">
        <v>489</v>
      </c>
      <c r="H1444" s="0" t="n">
        <v>0</v>
      </c>
      <c r="I1444" s="0" t="n">
        <v>20</v>
      </c>
      <c r="L1444" s="3" t="s">
        <v>68</v>
      </c>
    </row>
    <row r="1445" customFormat="false" ht="15" hidden="false" customHeight="false" outlineLevel="0" collapsed="false">
      <c r="A1445" s="0" t="s">
        <v>1603</v>
      </c>
      <c r="B1445" s="2" t="n">
        <v>45815</v>
      </c>
      <c r="C1445" s="3" t="s">
        <v>13</v>
      </c>
      <c r="D1445" s="3" t="s">
        <v>25</v>
      </c>
      <c r="E1445" s="3" t="s">
        <v>15</v>
      </c>
      <c r="F1445" s="3" t="s">
        <v>16</v>
      </c>
      <c r="G1445" s="0" t="n">
        <v>353</v>
      </c>
      <c r="H1445" s="0" t="n">
        <v>0</v>
      </c>
      <c r="I1445" s="0" t="n">
        <v>30</v>
      </c>
      <c r="J1445" s="0" t="n">
        <v>33</v>
      </c>
      <c r="L1445" s="3" t="s">
        <v>17</v>
      </c>
    </row>
    <row r="1446" customFormat="false" ht="15" hidden="false" customHeight="false" outlineLevel="0" collapsed="false">
      <c r="A1446" s="0" t="s">
        <v>1604</v>
      </c>
      <c r="B1446" s="2" t="n">
        <v>45806</v>
      </c>
      <c r="C1446" s="3" t="s">
        <v>40</v>
      </c>
      <c r="D1446" s="3" t="s">
        <v>20</v>
      </c>
      <c r="E1446" s="3" t="s">
        <v>21</v>
      </c>
      <c r="F1446" s="3" t="s">
        <v>36</v>
      </c>
      <c r="G1446" s="0" t="n">
        <v>667</v>
      </c>
      <c r="H1446" s="0" t="n">
        <v>0</v>
      </c>
      <c r="I1446" s="0" t="n">
        <v>0</v>
      </c>
      <c r="J1446" s="0" t="n">
        <v>43</v>
      </c>
      <c r="K1446" s="0" t="n">
        <v>4.7</v>
      </c>
      <c r="L1446" s="3" t="s">
        <v>17</v>
      </c>
    </row>
    <row r="1447" customFormat="false" ht="15" hidden="false" customHeight="false" outlineLevel="0" collapsed="false">
      <c r="A1447" s="0" t="s">
        <v>1605</v>
      </c>
      <c r="B1447" s="0" t="s">
        <v>1606</v>
      </c>
      <c r="C1447" s="0" t="s">
        <v>27</v>
      </c>
      <c r="D1447" s="0" t="s">
        <v>56</v>
      </c>
      <c r="E1447" s="0" t="s">
        <v>15</v>
      </c>
      <c r="F1447" s="0" t="s">
        <v>22</v>
      </c>
      <c r="G1447" s="0" t="n">
        <v>467</v>
      </c>
      <c r="H1447" s="0" t="n">
        <v>59</v>
      </c>
      <c r="I1447" s="0" t="n">
        <v>40</v>
      </c>
      <c r="J1447" s="0" t="n">
        <v>37</v>
      </c>
      <c r="K1447" s="0" t="n">
        <v>3.8</v>
      </c>
      <c r="L1447" s="0" t="s">
        <v>17</v>
      </c>
    </row>
    <row r="1448" customFormat="false" ht="15" hidden="false" customHeight="false" outlineLevel="0" collapsed="false">
      <c r="A1448" s="0" t="s">
        <v>1607</v>
      </c>
      <c r="B1448" s="2" t="n">
        <v>45697</v>
      </c>
      <c r="C1448" s="3" t="s">
        <v>13</v>
      </c>
      <c r="D1448" s="3" t="s">
        <v>31</v>
      </c>
      <c r="E1448" s="3" t="s">
        <v>21</v>
      </c>
      <c r="F1448" s="3" t="s">
        <v>54</v>
      </c>
      <c r="G1448" s="0" t="n">
        <v>507</v>
      </c>
      <c r="H1448" s="0" t="n">
        <v>0</v>
      </c>
      <c r="I1448" s="0" t="n">
        <v>0</v>
      </c>
      <c r="J1448" s="0" t="n">
        <v>35</v>
      </c>
      <c r="K1448" s="0" t="n">
        <v>4.1</v>
      </c>
      <c r="L1448" s="3" t="s">
        <v>17</v>
      </c>
    </row>
    <row r="1449" customFormat="false" ht="15" hidden="false" customHeight="false" outlineLevel="0" collapsed="false">
      <c r="A1449" s="0" t="s">
        <v>1608</v>
      </c>
      <c r="B1449" s="2" t="n">
        <v>45692</v>
      </c>
      <c r="C1449" s="3" t="s">
        <v>27</v>
      </c>
      <c r="D1449" s="3" t="s">
        <v>31</v>
      </c>
      <c r="E1449" s="3" t="s">
        <v>21</v>
      </c>
      <c r="F1449" s="3" t="s">
        <v>22</v>
      </c>
      <c r="G1449" s="0" t="n">
        <v>420</v>
      </c>
      <c r="H1449" s="0" t="n">
        <v>0</v>
      </c>
      <c r="I1449" s="0" t="n">
        <v>30</v>
      </c>
      <c r="J1449" s="0" t="n">
        <v>49</v>
      </c>
      <c r="K1449" s="0" t="n">
        <v>3.8</v>
      </c>
      <c r="L1449" s="3" t="s">
        <v>17</v>
      </c>
    </row>
    <row r="1450" customFormat="false" ht="15" hidden="false" customHeight="false" outlineLevel="0" collapsed="false">
      <c r="A1450" s="0" t="s">
        <v>1609</v>
      </c>
      <c r="B1450" s="2" t="n">
        <v>45953</v>
      </c>
      <c r="C1450" s="3" t="s">
        <v>24</v>
      </c>
      <c r="D1450" s="3" t="s">
        <v>25</v>
      </c>
      <c r="E1450" s="3" t="s">
        <v>21</v>
      </c>
      <c r="F1450" s="3" t="s">
        <v>34</v>
      </c>
      <c r="G1450" s="0" t="n">
        <v>641</v>
      </c>
      <c r="H1450" s="0" t="n">
        <v>0</v>
      </c>
      <c r="I1450" s="0" t="n">
        <v>0</v>
      </c>
      <c r="J1450" s="0" t="n">
        <v>38</v>
      </c>
      <c r="K1450" s="0" t="n">
        <v>4.4</v>
      </c>
      <c r="L1450" s="3" t="s">
        <v>17</v>
      </c>
    </row>
    <row r="1451" customFormat="false" ht="15" hidden="false" customHeight="false" outlineLevel="0" collapsed="false">
      <c r="A1451" s="0" t="s">
        <v>1610</v>
      </c>
      <c r="B1451" s="2" t="n">
        <v>45837</v>
      </c>
      <c r="C1451" s="3" t="s">
        <v>13</v>
      </c>
      <c r="D1451" s="3" t="s">
        <v>31</v>
      </c>
      <c r="E1451" s="3" t="s">
        <v>15</v>
      </c>
      <c r="F1451" s="3" t="s">
        <v>54</v>
      </c>
      <c r="G1451" s="0" t="n">
        <v>566</v>
      </c>
      <c r="H1451" s="0" t="n">
        <v>105</v>
      </c>
      <c r="I1451" s="0" t="n">
        <v>0</v>
      </c>
      <c r="J1451" s="0" t="n">
        <v>29</v>
      </c>
      <c r="L1451" s="3" t="s">
        <v>17</v>
      </c>
    </row>
    <row r="1452" customFormat="false" ht="15" hidden="false" customHeight="false" outlineLevel="0" collapsed="false">
      <c r="A1452" s="0" t="s">
        <v>1611</v>
      </c>
      <c r="B1452" s="2" t="n">
        <v>46001</v>
      </c>
      <c r="C1452" s="3" t="s">
        <v>355</v>
      </c>
      <c r="D1452" s="3" t="s">
        <v>25</v>
      </c>
      <c r="E1452" s="3" t="s">
        <v>21</v>
      </c>
      <c r="F1452" s="3" t="s">
        <v>36</v>
      </c>
      <c r="G1452" s="0" t="n">
        <v>448</v>
      </c>
      <c r="H1452" s="0" t="n">
        <v>111</v>
      </c>
      <c r="I1452" s="0" t="n">
        <v>20</v>
      </c>
      <c r="J1452" s="0" t="n">
        <v>40</v>
      </c>
      <c r="K1452" s="0" t="n">
        <v>3.5</v>
      </c>
      <c r="L1452" s="3" t="s">
        <v>17</v>
      </c>
    </row>
    <row r="1453" customFormat="false" ht="15" hidden="false" customHeight="false" outlineLevel="0" collapsed="false">
      <c r="A1453" s="0" t="s">
        <v>1612</v>
      </c>
      <c r="B1453" s="2" t="n">
        <v>45897</v>
      </c>
      <c r="C1453" s="3" t="s">
        <v>24</v>
      </c>
      <c r="D1453" s="3" t="s">
        <v>49</v>
      </c>
      <c r="E1453" s="3" t="s">
        <v>15</v>
      </c>
      <c r="F1453" s="3" t="s">
        <v>34</v>
      </c>
      <c r="G1453" s="0" t="n">
        <v>524</v>
      </c>
      <c r="H1453" s="0" t="n">
        <v>77</v>
      </c>
      <c r="I1453" s="0" t="n">
        <v>0</v>
      </c>
      <c r="J1453" s="0" t="n">
        <v>43</v>
      </c>
      <c r="K1453" s="0" t="n">
        <v>4.7</v>
      </c>
      <c r="L1453" s="3" t="s">
        <v>17</v>
      </c>
    </row>
    <row r="1454" customFormat="false" ht="15" hidden="false" customHeight="false" outlineLevel="0" collapsed="false">
      <c r="A1454" s="0" t="s">
        <v>1613</v>
      </c>
      <c r="B1454" s="2" t="n">
        <v>45673</v>
      </c>
      <c r="C1454" s="3" t="s">
        <v>27</v>
      </c>
      <c r="D1454" s="3" t="s">
        <v>14</v>
      </c>
      <c r="E1454" s="3" t="s">
        <v>15</v>
      </c>
      <c r="F1454" s="3" t="s">
        <v>36</v>
      </c>
      <c r="G1454" s="0" t="n">
        <v>213</v>
      </c>
      <c r="H1454" s="0" t="n">
        <v>0</v>
      </c>
      <c r="I1454" s="0" t="n">
        <v>45</v>
      </c>
      <c r="J1454" s="0" t="n">
        <v>34</v>
      </c>
      <c r="K1454" s="0" t="n">
        <v>4.1</v>
      </c>
      <c r="L1454" s="3" t="s">
        <v>17</v>
      </c>
    </row>
    <row r="1455" customFormat="false" ht="15" hidden="false" customHeight="false" outlineLevel="0" collapsed="false">
      <c r="A1455" s="0" t="s">
        <v>1614</v>
      </c>
      <c r="B1455" s="2" t="n">
        <v>45725</v>
      </c>
      <c r="C1455" s="3" t="s">
        <v>45</v>
      </c>
      <c r="D1455" s="3" t="s">
        <v>56</v>
      </c>
      <c r="E1455" s="3" t="s">
        <v>99</v>
      </c>
      <c r="F1455" s="3" t="s">
        <v>22</v>
      </c>
      <c r="G1455" s="0" t="n">
        <v>441</v>
      </c>
      <c r="H1455" s="0" t="n">
        <v>0</v>
      </c>
      <c r="I1455" s="0" t="n">
        <v>20</v>
      </c>
      <c r="J1455" s="0" t="n">
        <v>23</v>
      </c>
      <c r="K1455" s="0" t="n">
        <v>5</v>
      </c>
      <c r="L1455" s="3" t="s">
        <v>17</v>
      </c>
    </row>
    <row r="1456" customFormat="false" ht="15" hidden="false" customHeight="false" outlineLevel="0" collapsed="false">
      <c r="A1456" s="0" t="s">
        <v>1615</v>
      </c>
      <c r="B1456" s="2" t="n">
        <v>45745</v>
      </c>
      <c r="C1456" s="3" t="s">
        <v>13</v>
      </c>
      <c r="D1456" s="3" t="s">
        <v>20</v>
      </c>
      <c r="E1456" s="3" t="s">
        <v>15</v>
      </c>
      <c r="F1456" s="3" t="s">
        <v>22</v>
      </c>
      <c r="G1456" s="0" t="n">
        <v>676</v>
      </c>
      <c r="H1456" s="0" t="n">
        <v>80</v>
      </c>
      <c r="I1456" s="0" t="n">
        <v>0</v>
      </c>
      <c r="J1456" s="0" t="n">
        <v>37</v>
      </c>
      <c r="K1456" s="0" t="n">
        <v>4.4</v>
      </c>
      <c r="L1456" s="3" t="s">
        <v>17</v>
      </c>
    </row>
    <row r="1457" customFormat="false" ht="15" hidden="false" customHeight="false" outlineLevel="0" collapsed="false">
      <c r="A1457" s="0" t="s">
        <v>1616</v>
      </c>
      <c r="B1457" s="2" t="n">
        <v>46015</v>
      </c>
      <c r="C1457" s="3" t="s">
        <v>27</v>
      </c>
      <c r="D1457" s="3" t="s">
        <v>20</v>
      </c>
      <c r="E1457" s="3" t="s">
        <v>21</v>
      </c>
      <c r="F1457" s="3" t="s">
        <v>16</v>
      </c>
      <c r="G1457" s="0" t="n">
        <v>627</v>
      </c>
      <c r="H1457" s="0" t="n">
        <v>0</v>
      </c>
      <c r="I1457" s="0" t="n">
        <v>0</v>
      </c>
      <c r="J1457" s="0" t="n">
        <v>39</v>
      </c>
      <c r="K1457" s="0" t="n">
        <v>4.8</v>
      </c>
      <c r="L1457" s="3" t="s">
        <v>17</v>
      </c>
    </row>
    <row r="1458" customFormat="false" ht="15" hidden="false" customHeight="false" outlineLevel="0" collapsed="false">
      <c r="A1458" s="0" t="s">
        <v>1617</v>
      </c>
      <c r="B1458" s="2" t="n">
        <v>45751</v>
      </c>
      <c r="C1458" s="3" t="s">
        <v>47</v>
      </c>
      <c r="D1458" s="3" t="s">
        <v>14</v>
      </c>
      <c r="E1458" s="3" t="s">
        <v>15</v>
      </c>
      <c r="F1458" s="3" t="s">
        <v>22</v>
      </c>
      <c r="G1458" s="0" t="n">
        <v>376</v>
      </c>
      <c r="H1458" s="0" t="n">
        <v>0</v>
      </c>
      <c r="I1458" s="0" t="n">
        <v>40</v>
      </c>
      <c r="J1458" s="0" t="n">
        <v>26</v>
      </c>
      <c r="K1458" s="0" t="n">
        <v>4.8</v>
      </c>
      <c r="L1458" s="3" t="s">
        <v>17</v>
      </c>
    </row>
    <row r="1459" customFormat="false" ht="15" hidden="false" customHeight="false" outlineLevel="0" collapsed="false">
      <c r="A1459" s="0" t="s">
        <v>1618</v>
      </c>
      <c r="B1459" s="2" t="n">
        <v>45863</v>
      </c>
      <c r="C1459" s="3" t="s">
        <v>40</v>
      </c>
      <c r="D1459" s="3" t="s">
        <v>25</v>
      </c>
      <c r="E1459" s="3" t="s">
        <v>21</v>
      </c>
      <c r="F1459" s="3" t="s">
        <v>22</v>
      </c>
      <c r="G1459" s="0" t="n">
        <v>507</v>
      </c>
      <c r="H1459" s="0" t="n">
        <v>0</v>
      </c>
      <c r="I1459" s="0" t="n">
        <v>0</v>
      </c>
      <c r="J1459" s="0" t="n">
        <v>47</v>
      </c>
      <c r="K1459" s="0" t="n">
        <v>4.6</v>
      </c>
      <c r="L1459" s="3" t="s">
        <v>17</v>
      </c>
    </row>
    <row r="1460" customFormat="false" ht="15" hidden="false" customHeight="false" outlineLevel="0" collapsed="false">
      <c r="A1460" s="0" t="s">
        <v>1619</v>
      </c>
      <c r="B1460" s="2" t="n">
        <v>46003</v>
      </c>
      <c r="C1460" s="3" t="s">
        <v>47</v>
      </c>
      <c r="D1460" s="3" t="s">
        <v>25</v>
      </c>
      <c r="E1460" s="3" t="s">
        <v>21</v>
      </c>
      <c r="F1460" s="3" t="s">
        <v>22</v>
      </c>
      <c r="G1460" s="0" t="n">
        <v>360</v>
      </c>
      <c r="H1460" s="0" t="n">
        <v>44</v>
      </c>
      <c r="I1460" s="0" t="n">
        <v>45</v>
      </c>
      <c r="J1460" s="0" t="n">
        <v>28</v>
      </c>
      <c r="K1460" s="0" t="n">
        <v>4.7</v>
      </c>
      <c r="L1460" s="3" t="s">
        <v>17</v>
      </c>
    </row>
    <row r="1461" customFormat="false" ht="15" hidden="false" customHeight="false" outlineLevel="0" collapsed="false">
      <c r="A1461" s="0" t="s">
        <v>1620</v>
      </c>
      <c r="B1461" s="2" t="n">
        <v>46015</v>
      </c>
      <c r="C1461" s="3" t="s">
        <v>40</v>
      </c>
      <c r="D1461" s="3" t="s">
        <v>25</v>
      </c>
      <c r="E1461" s="3" t="s">
        <v>21</v>
      </c>
      <c r="F1461" s="3" t="s">
        <v>54</v>
      </c>
      <c r="G1461" s="0" t="n">
        <v>499</v>
      </c>
      <c r="H1461" s="0" t="n">
        <v>0</v>
      </c>
      <c r="I1461" s="0" t="n">
        <v>20</v>
      </c>
      <c r="J1461" s="0" t="n">
        <v>37</v>
      </c>
      <c r="K1461" s="0" t="n">
        <v>4.3</v>
      </c>
      <c r="L1461" s="3" t="s">
        <v>17</v>
      </c>
    </row>
    <row r="1462" customFormat="false" ht="15" hidden="false" customHeight="false" outlineLevel="0" collapsed="false">
      <c r="A1462" s="0" t="s">
        <v>1621</v>
      </c>
      <c r="B1462" s="2" t="n">
        <v>45758</v>
      </c>
      <c r="C1462" s="3" t="s">
        <v>19</v>
      </c>
      <c r="D1462" s="3" t="s">
        <v>31</v>
      </c>
      <c r="E1462" s="3" t="s">
        <v>21</v>
      </c>
      <c r="F1462" s="3" t="s">
        <v>54</v>
      </c>
      <c r="G1462" s="0" t="n">
        <v>408</v>
      </c>
      <c r="H1462" s="0" t="n">
        <v>0</v>
      </c>
      <c r="I1462" s="0" t="n">
        <v>40</v>
      </c>
      <c r="J1462" s="0" t="n">
        <v>24</v>
      </c>
      <c r="K1462" s="0" t="n">
        <v>5</v>
      </c>
      <c r="L1462" s="3" t="s">
        <v>17</v>
      </c>
    </row>
    <row r="1463" customFormat="false" ht="15" hidden="false" customHeight="false" outlineLevel="0" collapsed="false">
      <c r="A1463" s="0" t="s">
        <v>1622</v>
      </c>
      <c r="B1463" s="2" t="n">
        <v>45679</v>
      </c>
      <c r="C1463" s="3" t="s">
        <v>71</v>
      </c>
      <c r="D1463" s="3" t="s">
        <v>25</v>
      </c>
      <c r="E1463" s="3" t="s">
        <v>21</v>
      </c>
      <c r="F1463" s="3" t="s">
        <v>36</v>
      </c>
      <c r="G1463" s="0" t="n">
        <v>421</v>
      </c>
      <c r="H1463" s="0" t="n">
        <v>78</v>
      </c>
      <c r="I1463" s="0" t="n">
        <v>40</v>
      </c>
      <c r="J1463" s="0" t="n">
        <v>34</v>
      </c>
      <c r="K1463" s="0" t="n">
        <v>5</v>
      </c>
      <c r="L1463" s="3" t="s">
        <v>17</v>
      </c>
    </row>
    <row r="1464" customFormat="false" ht="15" hidden="false" customHeight="false" outlineLevel="0" collapsed="false">
      <c r="A1464" s="0" t="s">
        <v>1623</v>
      </c>
      <c r="B1464" s="2" t="n">
        <v>45724</v>
      </c>
      <c r="C1464" s="3" t="s">
        <v>30</v>
      </c>
      <c r="D1464" s="3" t="s">
        <v>14</v>
      </c>
      <c r="E1464" s="3" t="s">
        <v>15</v>
      </c>
      <c r="F1464" s="3" t="s">
        <v>36</v>
      </c>
      <c r="G1464" s="0" t="n">
        <v>372</v>
      </c>
      <c r="H1464" s="0" t="n">
        <v>0</v>
      </c>
      <c r="I1464" s="0" t="n">
        <v>45</v>
      </c>
      <c r="J1464" s="0" t="n">
        <v>25</v>
      </c>
      <c r="K1464" s="0" t="n">
        <v>4.4</v>
      </c>
      <c r="L1464" s="3" t="s">
        <v>17</v>
      </c>
    </row>
    <row r="1465" customFormat="false" ht="15" hidden="false" customHeight="false" outlineLevel="0" collapsed="false">
      <c r="A1465" s="0" t="s">
        <v>1624</v>
      </c>
      <c r="B1465" s="2" t="n">
        <v>45686</v>
      </c>
      <c r="C1465" s="3" t="s">
        <v>40</v>
      </c>
      <c r="D1465" s="3" t="s">
        <v>49</v>
      </c>
      <c r="E1465" s="3" t="s">
        <v>21</v>
      </c>
      <c r="F1465" s="3" t="s">
        <v>22</v>
      </c>
      <c r="G1465" s="0" t="n">
        <v>565</v>
      </c>
      <c r="H1465" s="0" t="n">
        <v>0</v>
      </c>
      <c r="I1465" s="0" t="n">
        <v>0</v>
      </c>
      <c r="J1465" s="0" t="n">
        <v>43</v>
      </c>
      <c r="K1465" s="0" t="n">
        <v>4.5</v>
      </c>
      <c r="L1465" s="3" t="s">
        <v>17</v>
      </c>
    </row>
    <row r="1466" customFormat="false" ht="15" hidden="false" customHeight="false" outlineLevel="0" collapsed="false">
      <c r="A1466" s="0" t="s">
        <v>1625</v>
      </c>
      <c r="B1466" s="2" t="n">
        <v>45741</v>
      </c>
      <c r="C1466" s="3" t="s">
        <v>24</v>
      </c>
      <c r="D1466" s="3" t="s">
        <v>31</v>
      </c>
      <c r="E1466" s="3" t="s">
        <v>15</v>
      </c>
      <c r="F1466" s="3" t="s">
        <v>22</v>
      </c>
      <c r="G1466" s="0" t="n">
        <v>718</v>
      </c>
      <c r="H1466" s="0" t="n">
        <v>0</v>
      </c>
      <c r="I1466" s="0" t="n">
        <v>0</v>
      </c>
      <c r="J1466" s="0" t="n">
        <v>37</v>
      </c>
      <c r="K1466" s="0" t="n">
        <v>4.2</v>
      </c>
      <c r="L1466" s="3" t="s">
        <v>17</v>
      </c>
    </row>
    <row r="1467" customFormat="false" ht="15" hidden="false" customHeight="false" outlineLevel="0" collapsed="false">
      <c r="A1467" s="0" t="s">
        <v>1626</v>
      </c>
      <c r="B1467" s="2" t="n">
        <v>45881</v>
      </c>
      <c r="C1467" s="3" t="s">
        <v>27</v>
      </c>
      <c r="D1467" s="3" t="s">
        <v>56</v>
      </c>
      <c r="E1467" s="3" t="s">
        <v>15</v>
      </c>
      <c r="F1467" s="3" t="s">
        <v>34</v>
      </c>
      <c r="G1467" s="0" t="n">
        <v>538</v>
      </c>
      <c r="H1467" s="0" t="n">
        <v>0</v>
      </c>
      <c r="I1467" s="0" t="n">
        <v>0</v>
      </c>
      <c r="J1467" s="0" t="n">
        <v>49</v>
      </c>
      <c r="K1467" s="0" t="n">
        <v>4.2</v>
      </c>
      <c r="L1467" s="3" t="s">
        <v>17</v>
      </c>
    </row>
    <row r="1468" customFormat="false" ht="15" hidden="false" customHeight="false" outlineLevel="0" collapsed="false">
      <c r="A1468" s="0" t="s">
        <v>1627</v>
      </c>
      <c r="B1468" s="2" t="n">
        <v>45995</v>
      </c>
      <c r="C1468" s="3" t="s">
        <v>24</v>
      </c>
      <c r="D1468" s="3" t="s">
        <v>56</v>
      </c>
      <c r="E1468" s="3" t="s">
        <v>15</v>
      </c>
      <c r="F1468" s="3" t="s">
        <v>34</v>
      </c>
      <c r="G1468" s="0" t="n">
        <v>446</v>
      </c>
      <c r="H1468" s="0" t="n">
        <v>91</v>
      </c>
      <c r="I1468" s="0" t="n">
        <v>45</v>
      </c>
      <c r="J1468" s="0" t="n">
        <v>32</v>
      </c>
      <c r="K1468" s="0" t="n">
        <v>4.4</v>
      </c>
      <c r="L1468" s="3" t="s">
        <v>17</v>
      </c>
    </row>
    <row r="1469" customFormat="false" ht="15" hidden="false" customHeight="false" outlineLevel="0" collapsed="false">
      <c r="A1469" s="0" t="s">
        <v>1628</v>
      </c>
      <c r="B1469" s="2" t="n">
        <v>45870</v>
      </c>
      <c r="C1469" s="3" t="s">
        <v>30</v>
      </c>
      <c r="D1469" s="3" t="s">
        <v>56</v>
      </c>
      <c r="E1469" s="3" t="s">
        <v>21</v>
      </c>
      <c r="F1469" s="3" t="s">
        <v>22</v>
      </c>
      <c r="G1469" s="0" t="n">
        <v>427</v>
      </c>
      <c r="H1469" s="0" t="n">
        <v>91</v>
      </c>
      <c r="I1469" s="0" t="n">
        <v>20</v>
      </c>
      <c r="J1469" s="0" t="n">
        <v>46</v>
      </c>
      <c r="L1469" s="3" t="s">
        <v>17</v>
      </c>
    </row>
    <row r="1470" customFormat="false" ht="15" hidden="false" customHeight="false" outlineLevel="0" collapsed="false">
      <c r="A1470" s="0" t="s">
        <v>1629</v>
      </c>
      <c r="B1470" s="2" t="n">
        <v>45901</v>
      </c>
      <c r="C1470" s="3" t="s">
        <v>1630</v>
      </c>
      <c r="D1470" s="3" t="s">
        <v>20</v>
      </c>
      <c r="E1470" s="3" t="s">
        <v>21</v>
      </c>
      <c r="F1470" s="3" t="s">
        <v>16</v>
      </c>
      <c r="G1470" s="0" t="n">
        <v>766</v>
      </c>
      <c r="H1470" s="0" t="n">
        <v>165</v>
      </c>
      <c r="I1470" s="0" t="n">
        <v>0</v>
      </c>
      <c r="J1470" s="0" t="n">
        <v>22</v>
      </c>
      <c r="K1470" s="0" t="n">
        <v>4.5</v>
      </c>
      <c r="L1470" s="3" t="s">
        <v>17</v>
      </c>
    </row>
    <row r="1471" customFormat="false" ht="15" hidden="false" customHeight="false" outlineLevel="0" collapsed="false">
      <c r="A1471" s="0" t="s">
        <v>1631</v>
      </c>
      <c r="B1471" s="2" t="n">
        <v>45744</v>
      </c>
      <c r="C1471" s="3" t="s">
        <v>45</v>
      </c>
      <c r="D1471" s="3" t="s">
        <v>31</v>
      </c>
      <c r="E1471" s="3" t="s">
        <v>21</v>
      </c>
      <c r="F1471" s="3" t="s">
        <v>16</v>
      </c>
      <c r="G1471" s="0" t="n">
        <v>461</v>
      </c>
      <c r="H1471" s="0" t="n">
        <v>83</v>
      </c>
      <c r="I1471" s="0" t="n">
        <v>30</v>
      </c>
      <c r="J1471" s="0" t="n">
        <v>19</v>
      </c>
      <c r="K1471" s="0" t="n">
        <v>5</v>
      </c>
      <c r="L1471" s="3" t="s">
        <v>17</v>
      </c>
    </row>
    <row r="1472" customFormat="false" ht="15" hidden="false" customHeight="false" outlineLevel="0" collapsed="false">
      <c r="A1472" s="0" t="s">
        <v>1632</v>
      </c>
      <c r="B1472" s="2" t="n">
        <v>45960</v>
      </c>
      <c r="C1472" s="3" t="s">
        <v>40</v>
      </c>
      <c r="D1472" s="3" t="s">
        <v>14</v>
      </c>
      <c r="E1472" s="3" t="s">
        <v>15</v>
      </c>
      <c r="F1472" s="3" t="s">
        <v>22</v>
      </c>
      <c r="G1472" s="0" t="n">
        <v>195</v>
      </c>
      <c r="H1472" s="0" t="n">
        <v>0</v>
      </c>
      <c r="I1472" s="0" t="n">
        <v>30</v>
      </c>
      <c r="L1472" s="3" t="s">
        <v>68</v>
      </c>
    </row>
    <row r="1473" customFormat="false" ht="15" hidden="false" customHeight="false" outlineLevel="0" collapsed="false">
      <c r="A1473" s="0" t="s">
        <v>1633</v>
      </c>
      <c r="B1473" s="2" t="n">
        <v>45898</v>
      </c>
      <c r="C1473" s="3" t="s">
        <v>30</v>
      </c>
      <c r="D1473" s="3" t="s">
        <v>78</v>
      </c>
      <c r="E1473" s="3" t="s">
        <v>21</v>
      </c>
      <c r="F1473" s="3" t="s">
        <v>22</v>
      </c>
      <c r="G1473" s="0" t="n">
        <v>383</v>
      </c>
      <c r="H1473" s="0" t="n">
        <v>80</v>
      </c>
      <c r="I1473" s="0" t="n">
        <v>40</v>
      </c>
      <c r="J1473" s="0" t="n">
        <v>34</v>
      </c>
      <c r="K1473" s="0" t="n">
        <v>4.8</v>
      </c>
      <c r="L1473" s="3" t="s">
        <v>17</v>
      </c>
    </row>
    <row r="1474" customFormat="false" ht="15" hidden="false" customHeight="false" outlineLevel="0" collapsed="false">
      <c r="A1474" s="0" t="s">
        <v>1633</v>
      </c>
      <c r="B1474" s="2" t="n">
        <v>45898</v>
      </c>
      <c r="C1474" s="3" t="s">
        <v>30</v>
      </c>
      <c r="D1474" s="3" t="s">
        <v>78</v>
      </c>
      <c r="E1474" s="3" t="s">
        <v>21</v>
      </c>
      <c r="F1474" s="3" t="s">
        <v>22</v>
      </c>
      <c r="G1474" s="0" t="n">
        <v>383</v>
      </c>
      <c r="H1474" s="0" t="n">
        <v>80</v>
      </c>
      <c r="I1474" s="0" t="n">
        <v>40</v>
      </c>
      <c r="J1474" s="0" t="n">
        <v>34</v>
      </c>
      <c r="K1474" s="0" t="n">
        <v>4.8</v>
      </c>
      <c r="L1474" s="3" t="s">
        <v>17</v>
      </c>
    </row>
    <row r="1475" customFormat="false" ht="15" hidden="false" customHeight="false" outlineLevel="0" collapsed="false">
      <c r="A1475" s="0" t="s">
        <v>1634</v>
      </c>
      <c r="B1475" s="2" t="n">
        <v>45980</v>
      </c>
      <c r="C1475" s="3" t="s">
        <v>40</v>
      </c>
      <c r="D1475" s="3" t="s">
        <v>20</v>
      </c>
      <c r="E1475" s="3" t="s">
        <v>21</v>
      </c>
      <c r="F1475" s="3" t="s">
        <v>22</v>
      </c>
      <c r="G1475" s="0" t="n">
        <v>522</v>
      </c>
      <c r="H1475" s="0" t="n">
        <v>0</v>
      </c>
      <c r="I1475" s="0" t="n">
        <v>0</v>
      </c>
      <c r="J1475" s="0" t="n">
        <v>40</v>
      </c>
      <c r="K1475" s="0" t="n">
        <v>4.2</v>
      </c>
      <c r="L1475" s="3" t="s">
        <v>17</v>
      </c>
    </row>
    <row r="1476" customFormat="false" ht="15" hidden="false" customHeight="false" outlineLevel="0" collapsed="false">
      <c r="A1476" s="0" t="s">
        <v>1635</v>
      </c>
      <c r="B1476" s="0" t="s">
        <v>1636</v>
      </c>
      <c r="C1476" s="0" t="s">
        <v>51</v>
      </c>
      <c r="D1476" s="0" t="s">
        <v>28</v>
      </c>
      <c r="E1476" s="0" t="s">
        <v>15</v>
      </c>
      <c r="F1476" s="0" t="s">
        <v>34</v>
      </c>
      <c r="G1476" s="0" t="n">
        <v>447</v>
      </c>
      <c r="H1476" s="0" t="n">
        <v>90</v>
      </c>
      <c r="I1476" s="0" t="n">
        <v>30</v>
      </c>
      <c r="J1476" s="0" t="n">
        <v>38</v>
      </c>
      <c r="K1476" s="0" t="n">
        <v>4.1</v>
      </c>
      <c r="L1476" s="0" t="s">
        <v>17</v>
      </c>
    </row>
    <row r="1477" customFormat="false" ht="15" hidden="false" customHeight="false" outlineLevel="0" collapsed="false">
      <c r="A1477" s="0" t="s">
        <v>1637</v>
      </c>
      <c r="B1477" s="2" t="n">
        <v>45801</v>
      </c>
      <c r="C1477" s="3" t="s">
        <v>123</v>
      </c>
      <c r="D1477" s="3" t="s">
        <v>56</v>
      </c>
      <c r="E1477" s="3" t="s">
        <v>21</v>
      </c>
      <c r="F1477" s="3" t="s">
        <v>54</v>
      </c>
      <c r="G1477" s="0" t="n">
        <v>336</v>
      </c>
      <c r="H1477" s="0" t="n">
        <v>53</v>
      </c>
      <c r="I1477" s="0" t="n">
        <v>30</v>
      </c>
      <c r="J1477" s="0" t="n">
        <v>46</v>
      </c>
      <c r="K1477" s="0" t="n">
        <v>4.5</v>
      </c>
      <c r="L1477" s="3" t="s">
        <v>17</v>
      </c>
    </row>
    <row r="1478" customFormat="false" ht="15" hidden="false" customHeight="false" outlineLevel="0" collapsed="false">
      <c r="A1478" s="0" t="s">
        <v>1638</v>
      </c>
      <c r="B1478" s="2" t="n">
        <v>45697</v>
      </c>
      <c r="C1478" s="3" t="s">
        <v>24</v>
      </c>
      <c r="D1478" s="3" t="s">
        <v>25</v>
      </c>
      <c r="E1478" s="3" t="s">
        <v>21</v>
      </c>
      <c r="F1478" s="3" t="s">
        <v>16</v>
      </c>
      <c r="G1478" s="0" t="n">
        <v>469</v>
      </c>
      <c r="H1478" s="0" t="n">
        <v>105</v>
      </c>
      <c r="I1478" s="0" t="n">
        <v>40</v>
      </c>
      <c r="J1478" s="0" t="n">
        <v>38</v>
      </c>
      <c r="K1478" s="0" t="n">
        <v>4.5</v>
      </c>
      <c r="L1478" s="3" t="s">
        <v>17</v>
      </c>
    </row>
    <row r="1479" customFormat="false" ht="15" hidden="false" customHeight="false" outlineLevel="0" collapsed="false">
      <c r="A1479" s="0" t="s">
        <v>1639</v>
      </c>
      <c r="B1479" s="2" t="n">
        <v>45753</v>
      </c>
      <c r="C1479" s="3" t="s">
        <v>40</v>
      </c>
      <c r="D1479" s="3" t="s">
        <v>31</v>
      </c>
      <c r="E1479" s="3" t="s">
        <v>21</v>
      </c>
      <c r="G1479" s="0" t="n">
        <v>458</v>
      </c>
      <c r="H1479" s="0" t="n">
        <v>0</v>
      </c>
      <c r="I1479" s="0" t="n">
        <v>40</v>
      </c>
      <c r="J1479" s="0" t="n">
        <v>31</v>
      </c>
      <c r="K1479" s="0" t="n">
        <v>4.6</v>
      </c>
      <c r="L1479" s="3" t="s">
        <v>17</v>
      </c>
    </row>
    <row r="1480" customFormat="false" ht="15" hidden="false" customHeight="false" outlineLevel="0" collapsed="false">
      <c r="A1480" s="0" t="s">
        <v>1640</v>
      </c>
      <c r="B1480" s="2" t="n">
        <v>45835</v>
      </c>
      <c r="C1480" s="3" t="s">
        <v>40</v>
      </c>
      <c r="D1480" s="3" t="s">
        <v>20</v>
      </c>
      <c r="E1480" s="3" t="s">
        <v>15</v>
      </c>
      <c r="F1480" s="3" t="s">
        <v>36</v>
      </c>
      <c r="G1480" s="0" t="n">
        <v>698</v>
      </c>
      <c r="H1480" s="0" t="n">
        <v>0</v>
      </c>
      <c r="I1480" s="0" t="n">
        <v>0</v>
      </c>
      <c r="J1480" s="0" t="n">
        <v>44</v>
      </c>
      <c r="K1480" s="0" t="n">
        <v>4.6</v>
      </c>
      <c r="L1480" s="3" t="s">
        <v>17</v>
      </c>
    </row>
    <row r="1481" customFormat="false" ht="15" hidden="false" customHeight="false" outlineLevel="0" collapsed="false">
      <c r="A1481" s="0" t="s">
        <v>1641</v>
      </c>
      <c r="B1481" s="2" t="n">
        <v>46005</v>
      </c>
      <c r="C1481" s="3" t="s">
        <v>24</v>
      </c>
      <c r="D1481" s="3" t="s">
        <v>31</v>
      </c>
      <c r="E1481" s="3" t="s">
        <v>21</v>
      </c>
      <c r="F1481" s="3" t="s">
        <v>22</v>
      </c>
      <c r="G1481" s="0" t="n">
        <v>606</v>
      </c>
      <c r="H1481" s="0" t="n">
        <v>0</v>
      </c>
      <c r="I1481" s="0" t="n">
        <v>0</v>
      </c>
      <c r="J1481" s="0" t="n">
        <v>41</v>
      </c>
      <c r="K1481" s="0" t="n">
        <v>4.2</v>
      </c>
      <c r="L1481" s="3" t="s">
        <v>17</v>
      </c>
    </row>
    <row r="1482" customFormat="false" ht="15" hidden="false" customHeight="false" outlineLevel="0" collapsed="false">
      <c r="A1482" s="0" t="s">
        <v>1642</v>
      </c>
      <c r="B1482" s="2" t="n">
        <v>45813</v>
      </c>
      <c r="C1482" s="3" t="s">
        <v>51</v>
      </c>
      <c r="D1482" s="3" t="s">
        <v>14</v>
      </c>
      <c r="E1482" s="3" t="s">
        <v>15</v>
      </c>
      <c r="F1482" s="3" t="s">
        <v>34</v>
      </c>
      <c r="G1482" s="0" t="n">
        <v>204</v>
      </c>
      <c r="H1482" s="0" t="n">
        <v>28</v>
      </c>
      <c r="I1482" s="0" t="n">
        <v>45</v>
      </c>
      <c r="J1482" s="0" t="n">
        <v>45</v>
      </c>
      <c r="K1482" s="0" t="n">
        <v>3.2</v>
      </c>
      <c r="L1482" s="3" t="s">
        <v>17</v>
      </c>
    </row>
    <row r="1483" customFormat="false" ht="15" hidden="false" customHeight="false" outlineLevel="0" collapsed="false">
      <c r="A1483" s="0" t="s">
        <v>1643</v>
      </c>
      <c r="B1483" s="2" t="n">
        <v>45949</v>
      </c>
      <c r="C1483" s="3" t="s">
        <v>30</v>
      </c>
      <c r="D1483" s="3" t="s">
        <v>56</v>
      </c>
      <c r="E1483" s="3" t="s">
        <v>15</v>
      </c>
      <c r="F1483" s="3" t="s">
        <v>16</v>
      </c>
      <c r="G1483" s="0" t="n">
        <v>311</v>
      </c>
      <c r="H1483" s="0" t="n">
        <v>0</v>
      </c>
      <c r="I1483" s="0" t="n">
        <v>30</v>
      </c>
      <c r="J1483" s="0" t="n">
        <v>43</v>
      </c>
      <c r="K1483" s="0" t="n">
        <v>3.9</v>
      </c>
      <c r="L1483" s="3" t="s">
        <v>17</v>
      </c>
    </row>
    <row r="1484" customFormat="false" ht="15" hidden="false" customHeight="false" outlineLevel="0" collapsed="false">
      <c r="A1484" s="0" t="s">
        <v>1644</v>
      </c>
      <c r="B1484" s="2" t="n">
        <v>45871</v>
      </c>
      <c r="C1484" s="3" t="s">
        <v>19</v>
      </c>
      <c r="D1484" s="3" t="s">
        <v>56</v>
      </c>
      <c r="E1484" s="3" t="s">
        <v>15</v>
      </c>
      <c r="F1484" s="3" t="s">
        <v>34</v>
      </c>
      <c r="G1484" s="0" t="n">
        <v>376</v>
      </c>
      <c r="H1484" s="0" t="n">
        <v>0</v>
      </c>
      <c r="I1484" s="0" t="n">
        <v>30</v>
      </c>
      <c r="J1484" s="0" t="n">
        <v>30</v>
      </c>
      <c r="K1484" s="0" t="n">
        <v>3.5</v>
      </c>
      <c r="L1484" s="3" t="s">
        <v>17</v>
      </c>
    </row>
    <row r="1485" customFormat="false" ht="15" hidden="false" customHeight="false" outlineLevel="0" collapsed="false">
      <c r="A1485" s="0" t="s">
        <v>1645</v>
      </c>
      <c r="B1485" s="2" t="n">
        <v>45736</v>
      </c>
      <c r="C1485" s="3" t="s">
        <v>40</v>
      </c>
      <c r="D1485" s="3" t="s">
        <v>25</v>
      </c>
      <c r="E1485" s="3" t="s">
        <v>21</v>
      </c>
      <c r="F1485" s="3" t="s">
        <v>22</v>
      </c>
      <c r="G1485" s="0" t="n">
        <v>403</v>
      </c>
      <c r="H1485" s="0" t="n">
        <v>0</v>
      </c>
      <c r="I1485" s="0" t="n">
        <v>40</v>
      </c>
      <c r="J1485" s="0" t="n">
        <v>29</v>
      </c>
      <c r="K1485" s="0" t="n">
        <v>4.8</v>
      </c>
      <c r="L1485" s="3" t="s">
        <v>17</v>
      </c>
    </row>
    <row r="1486" customFormat="false" ht="15" hidden="false" customHeight="false" outlineLevel="0" collapsed="false">
      <c r="A1486" s="0" t="s">
        <v>1646</v>
      </c>
      <c r="B1486" s="2" t="n">
        <v>45790</v>
      </c>
      <c r="C1486" s="3" t="s">
        <v>27</v>
      </c>
      <c r="D1486" s="3" t="s">
        <v>78</v>
      </c>
      <c r="E1486" s="3" t="s">
        <v>15</v>
      </c>
      <c r="F1486" s="3" t="s">
        <v>54</v>
      </c>
      <c r="G1486" s="0" t="n">
        <v>316</v>
      </c>
      <c r="H1486" s="0" t="n">
        <v>56</v>
      </c>
      <c r="I1486" s="0" t="n">
        <v>20</v>
      </c>
      <c r="J1486" s="0" t="n">
        <v>54</v>
      </c>
      <c r="L1486" s="3" t="s">
        <v>17</v>
      </c>
    </row>
    <row r="1487" customFormat="false" ht="15" hidden="false" customHeight="false" outlineLevel="0" collapsed="false">
      <c r="A1487" s="0" t="s">
        <v>1647</v>
      </c>
      <c r="B1487" s="0" t="s">
        <v>1648</v>
      </c>
      <c r="C1487" s="0" t="s">
        <v>279</v>
      </c>
      <c r="D1487" s="0" t="s">
        <v>31</v>
      </c>
      <c r="E1487" s="0" t="s">
        <v>21</v>
      </c>
      <c r="F1487" s="0" t="s">
        <v>54</v>
      </c>
      <c r="G1487" s="0" t="n">
        <v>440</v>
      </c>
      <c r="H1487" s="0" t="n">
        <v>54</v>
      </c>
      <c r="I1487" s="0" t="n">
        <v>45</v>
      </c>
      <c r="J1487" s="0" t="n">
        <v>29</v>
      </c>
      <c r="K1487" s="0" t="n">
        <v>4.9</v>
      </c>
      <c r="L1487" s="0" t="s">
        <v>17</v>
      </c>
    </row>
    <row r="1488" customFormat="false" ht="15" hidden="false" customHeight="false" outlineLevel="0" collapsed="false">
      <c r="A1488" s="0" t="s">
        <v>1649</v>
      </c>
      <c r="B1488" s="2" t="n">
        <v>45917</v>
      </c>
      <c r="C1488" s="3" t="s">
        <v>27</v>
      </c>
      <c r="D1488" s="3" t="s">
        <v>31</v>
      </c>
      <c r="E1488" s="3" t="s">
        <v>15</v>
      </c>
      <c r="F1488" s="3" t="s">
        <v>22</v>
      </c>
      <c r="G1488" s="0" t="n">
        <v>382</v>
      </c>
      <c r="H1488" s="0" t="n">
        <v>53</v>
      </c>
      <c r="I1488" s="0" t="n">
        <v>30</v>
      </c>
      <c r="J1488" s="0" t="n">
        <v>44</v>
      </c>
      <c r="K1488" s="0" t="n">
        <v>4.3</v>
      </c>
      <c r="L1488" s="3" t="s">
        <v>17</v>
      </c>
    </row>
    <row r="1489" customFormat="false" ht="15" hidden="false" customHeight="false" outlineLevel="0" collapsed="false">
      <c r="A1489" s="0" t="s">
        <v>1650</v>
      </c>
      <c r="B1489" s="2" t="n">
        <v>45833</v>
      </c>
      <c r="C1489" s="3" t="s">
        <v>24</v>
      </c>
      <c r="D1489" s="3" t="s">
        <v>31</v>
      </c>
      <c r="E1489" s="3" t="s">
        <v>21</v>
      </c>
      <c r="F1489" s="3" t="s">
        <v>22</v>
      </c>
      <c r="G1489" s="0" t="n">
        <v>363</v>
      </c>
      <c r="H1489" s="0" t="n">
        <v>0</v>
      </c>
      <c r="I1489" s="0" t="n">
        <v>45</v>
      </c>
      <c r="J1489" s="0" t="n">
        <v>34</v>
      </c>
      <c r="L1489" s="3" t="s">
        <v>17</v>
      </c>
    </row>
    <row r="1490" customFormat="false" ht="15" hidden="false" customHeight="false" outlineLevel="0" collapsed="false">
      <c r="A1490" s="0" t="s">
        <v>1651</v>
      </c>
      <c r="B1490" s="2" t="n">
        <v>45754</v>
      </c>
      <c r="C1490" s="3" t="s">
        <v>279</v>
      </c>
      <c r="D1490" s="3" t="s">
        <v>20</v>
      </c>
      <c r="E1490" s="3" t="s">
        <v>15</v>
      </c>
      <c r="G1490" s="0" t="n">
        <v>409</v>
      </c>
      <c r="H1490" s="0" t="n">
        <v>86</v>
      </c>
      <c r="I1490" s="0" t="n">
        <v>20</v>
      </c>
      <c r="J1490" s="0" t="n">
        <v>33</v>
      </c>
      <c r="K1490" s="0" t="n">
        <v>3.5</v>
      </c>
      <c r="L1490" s="3" t="s">
        <v>17</v>
      </c>
    </row>
    <row r="1491" customFormat="false" ht="15" hidden="false" customHeight="false" outlineLevel="0" collapsed="false">
      <c r="A1491" s="0" t="s">
        <v>1652</v>
      </c>
      <c r="B1491" s="2" t="n">
        <v>45934</v>
      </c>
      <c r="C1491" s="3" t="s">
        <v>27</v>
      </c>
      <c r="D1491" s="3" t="s">
        <v>78</v>
      </c>
      <c r="E1491" s="3" t="s">
        <v>58</v>
      </c>
      <c r="F1491" s="3" t="s">
        <v>36</v>
      </c>
      <c r="G1491" s="0" t="n">
        <v>401</v>
      </c>
      <c r="H1491" s="0" t="n">
        <v>0</v>
      </c>
      <c r="I1491" s="0" t="n">
        <v>45</v>
      </c>
      <c r="J1491" s="0" t="n">
        <v>47</v>
      </c>
      <c r="K1491" s="0" t="n">
        <v>3.9</v>
      </c>
      <c r="L1491" s="3" t="s">
        <v>17</v>
      </c>
    </row>
    <row r="1492" customFormat="false" ht="15" hidden="false" customHeight="false" outlineLevel="0" collapsed="false">
      <c r="A1492" s="0" t="s">
        <v>1653</v>
      </c>
      <c r="B1492" s="2" t="n">
        <v>45730</v>
      </c>
      <c r="C1492" s="3" t="s">
        <v>40</v>
      </c>
      <c r="D1492" s="3" t="s">
        <v>25</v>
      </c>
      <c r="E1492" s="3" t="s">
        <v>21</v>
      </c>
      <c r="F1492" s="3" t="s">
        <v>34</v>
      </c>
      <c r="G1492" s="0" t="n">
        <v>354</v>
      </c>
      <c r="H1492" s="0" t="n">
        <v>0</v>
      </c>
      <c r="I1492" s="0" t="n">
        <v>30</v>
      </c>
      <c r="J1492" s="0" t="n">
        <v>40</v>
      </c>
      <c r="L1492" s="3" t="s">
        <v>17</v>
      </c>
    </row>
    <row r="1493" customFormat="false" ht="15" hidden="false" customHeight="false" outlineLevel="0" collapsed="false">
      <c r="A1493" s="0" t="s">
        <v>1654</v>
      </c>
      <c r="B1493" s="2" t="n">
        <v>46003</v>
      </c>
      <c r="C1493" s="3" t="s">
        <v>27</v>
      </c>
      <c r="D1493" s="3" t="s">
        <v>49</v>
      </c>
      <c r="E1493" s="3" t="s">
        <v>21</v>
      </c>
      <c r="F1493" s="3" t="s">
        <v>22</v>
      </c>
      <c r="G1493" s="0" t="n">
        <v>398</v>
      </c>
      <c r="H1493" s="0" t="n">
        <v>0</v>
      </c>
      <c r="I1493" s="0" t="n">
        <v>40</v>
      </c>
      <c r="J1493" s="0" t="n">
        <v>46</v>
      </c>
      <c r="K1493" s="0" t="n">
        <v>3.8</v>
      </c>
      <c r="L1493" s="3" t="s">
        <v>17</v>
      </c>
    </row>
    <row r="1494" customFormat="false" ht="15" hidden="false" customHeight="false" outlineLevel="0" collapsed="false">
      <c r="A1494" s="0" t="s">
        <v>1655</v>
      </c>
      <c r="B1494" s="2" t="n">
        <v>45738</v>
      </c>
      <c r="C1494" s="3" t="s">
        <v>13</v>
      </c>
      <c r="D1494" s="3" t="s">
        <v>25</v>
      </c>
      <c r="E1494" s="3" t="s">
        <v>15</v>
      </c>
      <c r="F1494" s="3" t="s">
        <v>36</v>
      </c>
      <c r="G1494" s="0" t="n">
        <v>609</v>
      </c>
      <c r="H1494" s="0" t="n">
        <v>0</v>
      </c>
      <c r="I1494" s="0" t="n">
        <v>0</v>
      </c>
      <c r="J1494" s="0" t="n">
        <v>27</v>
      </c>
      <c r="K1494" s="0" t="n">
        <v>5</v>
      </c>
      <c r="L1494" s="3" t="s">
        <v>17</v>
      </c>
    </row>
    <row r="1495" customFormat="false" ht="15" hidden="false" customHeight="false" outlineLevel="0" collapsed="false">
      <c r="A1495" s="0" t="s">
        <v>1656</v>
      </c>
      <c r="B1495" s="2" t="n">
        <v>45704</v>
      </c>
      <c r="C1495" s="3" t="s">
        <v>40</v>
      </c>
      <c r="D1495" s="3" t="s">
        <v>20</v>
      </c>
      <c r="E1495" s="3" t="s">
        <v>21</v>
      </c>
      <c r="F1495" s="3" t="s">
        <v>22</v>
      </c>
      <c r="G1495" s="0" t="n">
        <v>712</v>
      </c>
      <c r="H1495" s="0" t="n">
        <v>74</v>
      </c>
      <c r="I1495" s="0" t="n">
        <v>0</v>
      </c>
      <c r="J1495" s="0" t="n">
        <v>37</v>
      </c>
      <c r="K1495" s="0" t="n">
        <v>4.8</v>
      </c>
      <c r="L1495" s="3" t="s">
        <v>17</v>
      </c>
    </row>
    <row r="1496" customFormat="false" ht="15" hidden="false" customHeight="false" outlineLevel="0" collapsed="false">
      <c r="A1496" s="0" t="s">
        <v>1657</v>
      </c>
      <c r="B1496" s="2" t="n">
        <v>45856</v>
      </c>
      <c r="C1496" s="3" t="s">
        <v>51</v>
      </c>
      <c r="D1496" s="3" t="s">
        <v>31</v>
      </c>
      <c r="E1496" s="3" t="s">
        <v>21</v>
      </c>
      <c r="F1496" s="3" t="s">
        <v>16</v>
      </c>
      <c r="G1496" s="0" t="n">
        <v>630</v>
      </c>
      <c r="H1496" s="0" t="n">
        <v>0</v>
      </c>
      <c r="I1496" s="0" t="n">
        <v>0</v>
      </c>
      <c r="J1496" s="0" t="n">
        <v>30</v>
      </c>
      <c r="K1496" s="0" t="n">
        <v>4.7</v>
      </c>
      <c r="L1496" s="3" t="s">
        <v>17</v>
      </c>
    </row>
    <row r="1497" customFormat="false" ht="15" hidden="false" customHeight="false" outlineLevel="0" collapsed="false">
      <c r="A1497" s="0" t="s">
        <v>1658</v>
      </c>
      <c r="B1497" s="2" t="n">
        <v>45864</v>
      </c>
      <c r="C1497" s="3" t="s">
        <v>27</v>
      </c>
      <c r="D1497" s="3" t="s">
        <v>56</v>
      </c>
      <c r="E1497" s="3" t="s">
        <v>21</v>
      </c>
      <c r="F1497" s="3" t="s">
        <v>22</v>
      </c>
      <c r="G1497" s="0" t="n">
        <v>301</v>
      </c>
      <c r="H1497" s="0" t="n">
        <v>34</v>
      </c>
      <c r="I1497" s="0" t="n">
        <v>45</v>
      </c>
      <c r="J1497" s="0" t="n">
        <v>41</v>
      </c>
      <c r="K1497" s="0" t="n">
        <v>4</v>
      </c>
      <c r="L1497" s="3" t="s">
        <v>17</v>
      </c>
    </row>
    <row r="1498" customFormat="false" ht="15" hidden="false" customHeight="false" outlineLevel="0" collapsed="false">
      <c r="A1498" s="0" t="s">
        <v>1659</v>
      </c>
      <c r="B1498" s="2" t="n">
        <v>45860</v>
      </c>
      <c r="C1498" s="3" t="s">
        <v>30</v>
      </c>
      <c r="D1498" s="3" t="s">
        <v>20</v>
      </c>
      <c r="E1498" s="3" t="s">
        <v>15</v>
      </c>
      <c r="F1498" s="3" t="s">
        <v>16</v>
      </c>
      <c r="G1498" s="0" t="n">
        <v>795</v>
      </c>
      <c r="H1498" s="0" t="n">
        <v>94</v>
      </c>
      <c r="I1498" s="0" t="n">
        <v>0</v>
      </c>
      <c r="J1498" s="0" t="n">
        <v>30</v>
      </c>
      <c r="K1498" s="0" t="n">
        <v>3.9</v>
      </c>
      <c r="L1498" s="3" t="s">
        <v>17</v>
      </c>
    </row>
    <row r="1499" customFormat="false" ht="15" hidden="false" customHeight="false" outlineLevel="0" collapsed="false">
      <c r="A1499" s="0" t="s">
        <v>1660</v>
      </c>
      <c r="B1499" s="2" t="n">
        <v>45834</v>
      </c>
      <c r="C1499" s="3" t="s">
        <v>13</v>
      </c>
      <c r="D1499" s="3" t="s">
        <v>20</v>
      </c>
      <c r="E1499" s="3" t="s">
        <v>21</v>
      </c>
      <c r="F1499" s="3" t="s">
        <v>16</v>
      </c>
      <c r="G1499" s="0" t="n">
        <v>445</v>
      </c>
      <c r="H1499" s="0" t="n">
        <v>103</v>
      </c>
      <c r="I1499" s="0" t="n">
        <v>20</v>
      </c>
      <c r="J1499" s="0" t="n">
        <v>46</v>
      </c>
      <c r="K1499" s="0" t="n">
        <v>4.1</v>
      </c>
      <c r="L1499" s="3" t="s">
        <v>17</v>
      </c>
    </row>
    <row r="1500" customFormat="false" ht="15" hidden="false" customHeight="false" outlineLevel="0" collapsed="false">
      <c r="A1500" s="0" t="s">
        <v>1661</v>
      </c>
      <c r="B1500" s="2" t="n">
        <v>46021</v>
      </c>
      <c r="C1500" s="3" t="s">
        <v>13</v>
      </c>
      <c r="D1500" s="3" t="s">
        <v>25</v>
      </c>
      <c r="E1500" s="3" t="s">
        <v>15</v>
      </c>
      <c r="F1500" s="3" t="s">
        <v>22</v>
      </c>
      <c r="G1500" s="0" t="n">
        <v>381</v>
      </c>
      <c r="H1500" s="0" t="n">
        <v>0</v>
      </c>
      <c r="I1500" s="0" t="n">
        <v>40</v>
      </c>
      <c r="J1500" s="0" t="n">
        <v>31</v>
      </c>
      <c r="K1500" s="0" t="n">
        <v>4.9</v>
      </c>
      <c r="L1500" s="3" t="s">
        <v>17</v>
      </c>
    </row>
    <row r="1501" customFormat="false" ht="15" hidden="false" customHeight="false" outlineLevel="0" collapsed="false">
      <c r="A1501" s="0" t="s">
        <v>1662</v>
      </c>
      <c r="B1501" s="0" t="s">
        <v>1663</v>
      </c>
      <c r="C1501" s="0" t="s">
        <v>13</v>
      </c>
      <c r="D1501" s="0" t="s">
        <v>14</v>
      </c>
      <c r="E1501" s="0" t="s">
        <v>15</v>
      </c>
      <c r="F1501" s="0" t="s">
        <v>16</v>
      </c>
      <c r="G1501" s="0" t="n">
        <v>271</v>
      </c>
      <c r="H1501" s="0" t="n">
        <v>0</v>
      </c>
      <c r="I1501" s="0" t="n">
        <v>20</v>
      </c>
      <c r="J1501" s="0" t="n">
        <v>18</v>
      </c>
      <c r="K1501" s="0" t="n">
        <v>4.9</v>
      </c>
      <c r="L1501" s="0" t="s">
        <v>17</v>
      </c>
    </row>
    <row r="1502" customFormat="false" ht="15" hidden="false" customHeight="false" outlineLevel="0" collapsed="false">
      <c r="A1502" s="0" t="s">
        <v>1664</v>
      </c>
      <c r="B1502" s="2" t="n">
        <v>45849</v>
      </c>
      <c r="C1502" s="3" t="s">
        <v>45</v>
      </c>
      <c r="D1502" s="3" t="s">
        <v>78</v>
      </c>
      <c r="E1502" s="3" t="s">
        <v>21</v>
      </c>
      <c r="F1502" s="3" t="s">
        <v>54</v>
      </c>
      <c r="G1502" s="0" t="n">
        <v>318</v>
      </c>
      <c r="H1502" s="0" t="n">
        <v>0</v>
      </c>
      <c r="I1502" s="0" t="n">
        <v>45</v>
      </c>
      <c r="J1502" s="0" t="n">
        <v>40</v>
      </c>
      <c r="K1502" s="0" t="n">
        <v>3.4</v>
      </c>
      <c r="L1502" s="3" t="s">
        <v>17</v>
      </c>
    </row>
    <row r="1503" customFormat="false" ht="15" hidden="false" customHeight="false" outlineLevel="0" collapsed="false">
      <c r="A1503" s="0" t="s">
        <v>1665</v>
      </c>
      <c r="B1503" s="0" t="s">
        <v>1666</v>
      </c>
      <c r="C1503" s="0" t="s">
        <v>27</v>
      </c>
      <c r="D1503" s="0" t="s">
        <v>56</v>
      </c>
      <c r="E1503" s="0" t="s">
        <v>21</v>
      </c>
      <c r="F1503" s="0" t="s">
        <v>16</v>
      </c>
      <c r="G1503" s="0" t="n">
        <v>494</v>
      </c>
      <c r="H1503" s="0" t="n">
        <v>119</v>
      </c>
      <c r="I1503" s="0" t="n">
        <v>45</v>
      </c>
      <c r="J1503" s="0" t="n">
        <v>45</v>
      </c>
      <c r="K1503" s="0" t="n">
        <v>4.1</v>
      </c>
      <c r="L1503" s="0" t="s">
        <v>17</v>
      </c>
    </row>
    <row r="1504" customFormat="false" ht="15" hidden="false" customHeight="false" outlineLevel="0" collapsed="false">
      <c r="A1504" s="0" t="s">
        <v>1667</v>
      </c>
      <c r="B1504" s="2" t="n">
        <v>45687</v>
      </c>
      <c r="C1504" s="3" t="s">
        <v>24</v>
      </c>
      <c r="D1504" s="3" t="s">
        <v>20</v>
      </c>
      <c r="E1504" s="3" t="s">
        <v>21</v>
      </c>
      <c r="F1504" s="3" t="s">
        <v>54</v>
      </c>
      <c r="G1504" s="0" t="n">
        <v>672</v>
      </c>
      <c r="H1504" s="0" t="n">
        <v>0</v>
      </c>
      <c r="I1504" s="0" t="n">
        <v>0</v>
      </c>
      <c r="J1504" s="0" t="n">
        <v>35</v>
      </c>
      <c r="K1504" s="0" t="n">
        <v>3.3</v>
      </c>
      <c r="L1504" s="3" t="s">
        <v>17</v>
      </c>
    </row>
    <row r="1505" customFormat="false" ht="15" hidden="false" customHeight="false" outlineLevel="0" collapsed="false">
      <c r="A1505" s="0" t="s">
        <v>1667</v>
      </c>
      <c r="B1505" s="2" t="n">
        <v>45687</v>
      </c>
      <c r="C1505" s="3" t="s">
        <v>24</v>
      </c>
      <c r="D1505" s="3" t="s">
        <v>20</v>
      </c>
      <c r="E1505" s="3" t="s">
        <v>21</v>
      </c>
      <c r="F1505" s="3" t="s">
        <v>54</v>
      </c>
      <c r="G1505" s="0" t="n">
        <v>672</v>
      </c>
      <c r="H1505" s="0" t="n">
        <v>0</v>
      </c>
      <c r="I1505" s="0" t="n">
        <v>0</v>
      </c>
      <c r="J1505" s="0" t="n">
        <v>35</v>
      </c>
      <c r="K1505" s="0" t="n">
        <v>3.3</v>
      </c>
      <c r="L1505" s="3" t="s">
        <v>17</v>
      </c>
    </row>
    <row r="1506" customFormat="false" ht="15" hidden="false" customHeight="false" outlineLevel="0" collapsed="false">
      <c r="A1506" s="0" t="s">
        <v>1668</v>
      </c>
      <c r="B1506" s="2" t="n">
        <v>45890</v>
      </c>
      <c r="C1506" s="3" t="s">
        <v>40</v>
      </c>
      <c r="D1506" s="3" t="s">
        <v>14</v>
      </c>
      <c r="E1506" s="3" t="s">
        <v>21</v>
      </c>
      <c r="F1506" s="3" t="s">
        <v>16</v>
      </c>
      <c r="G1506" s="0" t="n">
        <v>245</v>
      </c>
      <c r="H1506" s="0" t="n">
        <v>33</v>
      </c>
      <c r="I1506" s="0" t="n">
        <v>20</v>
      </c>
      <c r="J1506" s="0" t="n">
        <v>35</v>
      </c>
      <c r="K1506" s="0" t="n">
        <v>4.7</v>
      </c>
      <c r="L1506" s="3" t="s">
        <v>17</v>
      </c>
    </row>
    <row r="1507" customFormat="false" ht="15" hidden="false" customHeight="false" outlineLevel="0" collapsed="false">
      <c r="A1507" s="0" t="s">
        <v>1669</v>
      </c>
      <c r="B1507" s="2" t="n">
        <v>45754</v>
      </c>
      <c r="C1507" s="3" t="s">
        <v>27</v>
      </c>
      <c r="D1507" s="3" t="s">
        <v>25</v>
      </c>
      <c r="E1507" s="3" t="s">
        <v>15</v>
      </c>
      <c r="F1507" s="3" t="s">
        <v>36</v>
      </c>
      <c r="G1507" s="0" t="n">
        <v>575</v>
      </c>
      <c r="H1507" s="0" t="n">
        <v>0</v>
      </c>
      <c r="I1507" s="0" t="n">
        <v>0</v>
      </c>
      <c r="J1507" s="0" t="n">
        <v>35</v>
      </c>
      <c r="K1507" s="0" t="n">
        <v>3.9</v>
      </c>
      <c r="L1507" s="3" t="s">
        <v>17</v>
      </c>
    </row>
    <row r="1508" customFormat="false" ht="15" hidden="false" customHeight="false" outlineLevel="0" collapsed="false">
      <c r="A1508" s="0" t="s">
        <v>1670</v>
      </c>
      <c r="B1508" s="2" t="n">
        <v>45905</v>
      </c>
      <c r="C1508" s="3" t="s">
        <v>40</v>
      </c>
      <c r="D1508" s="3" t="s">
        <v>14</v>
      </c>
      <c r="E1508" s="3" t="s">
        <v>21</v>
      </c>
      <c r="F1508" s="3" t="s">
        <v>22</v>
      </c>
      <c r="G1508" s="0" t="n">
        <v>220</v>
      </c>
      <c r="H1508" s="0" t="n">
        <v>0</v>
      </c>
      <c r="I1508" s="0" t="n">
        <v>40</v>
      </c>
      <c r="J1508" s="0" t="n">
        <v>52</v>
      </c>
      <c r="K1508" s="0" t="n">
        <v>3.2</v>
      </c>
      <c r="L1508" s="3" t="s">
        <v>17</v>
      </c>
    </row>
    <row r="1509" customFormat="false" ht="15" hidden="false" customHeight="false" outlineLevel="0" collapsed="false">
      <c r="A1509" s="0" t="s">
        <v>1671</v>
      </c>
      <c r="B1509" s="2" t="n">
        <v>45680</v>
      </c>
      <c r="C1509" s="3" t="s">
        <v>24</v>
      </c>
      <c r="D1509" s="3" t="s">
        <v>25</v>
      </c>
      <c r="E1509" s="3" t="s">
        <v>21</v>
      </c>
      <c r="F1509" s="3" t="s">
        <v>36</v>
      </c>
      <c r="G1509" s="0" t="n">
        <v>439</v>
      </c>
      <c r="H1509" s="0" t="n">
        <v>0</v>
      </c>
      <c r="I1509" s="0" t="n">
        <v>45</v>
      </c>
      <c r="J1509" s="0" t="n">
        <v>36</v>
      </c>
      <c r="K1509" s="0" t="n">
        <v>4.7</v>
      </c>
      <c r="L1509" s="3" t="s">
        <v>17</v>
      </c>
    </row>
    <row r="1510" customFormat="false" ht="15" hidden="false" customHeight="false" outlineLevel="0" collapsed="false">
      <c r="A1510" s="0" t="s">
        <v>1672</v>
      </c>
      <c r="B1510" s="2" t="n">
        <v>46017</v>
      </c>
      <c r="C1510" s="3" t="s">
        <v>40</v>
      </c>
      <c r="D1510" s="3" t="s">
        <v>28</v>
      </c>
      <c r="E1510" s="3" t="s">
        <v>15</v>
      </c>
      <c r="F1510" s="3" t="s">
        <v>22</v>
      </c>
      <c r="G1510" s="0" t="n">
        <v>586</v>
      </c>
      <c r="H1510" s="0" t="n">
        <v>86</v>
      </c>
      <c r="I1510" s="0" t="n">
        <v>0</v>
      </c>
      <c r="J1510" s="0" t="n">
        <v>26</v>
      </c>
      <c r="K1510" s="0" t="n">
        <v>4.8</v>
      </c>
      <c r="L1510" s="3" t="s">
        <v>17</v>
      </c>
    </row>
    <row r="1511" customFormat="false" ht="15" hidden="false" customHeight="false" outlineLevel="0" collapsed="false">
      <c r="A1511" s="0" t="s">
        <v>1673</v>
      </c>
      <c r="B1511" s="0" t="s">
        <v>1674</v>
      </c>
      <c r="C1511" s="0" t="s">
        <v>27</v>
      </c>
      <c r="D1511" s="0" t="s">
        <v>31</v>
      </c>
      <c r="E1511" s="0" t="s">
        <v>21</v>
      </c>
      <c r="F1511" s="0" t="s">
        <v>22</v>
      </c>
      <c r="G1511" s="0" t="n">
        <v>413</v>
      </c>
      <c r="H1511" s="0" t="n">
        <v>0</v>
      </c>
      <c r="I1511" s="0" t="n">
        <v>30</v>
      </c>
      <c r="L1511" s="0" t="s">
        <v>68</v>
      </c>
    </row>
    <row r="1512" customFormat="false" ht="15" hidden="false" customHeight="false" outlineLevel="0" collapsed="false">
      <c r="A1512" s="0" t="s">
        <v>1675</v>
      </c>
      <c r="B1512" s="2" t="n">
        <v>45990</v>
      </c>
      <c r="C1512" s="3" t="s">
        <v>40</v>
      </c>
      <c r="D1512" s="3" t="s">
        <v>25</v>
      </c>
      <c r="E1512" s="3" t="s">
        <v>21</v>
      </c>
      <c r="F1512" s="3" t="s">
        <v>22</v>
      </c>
      <c r="G1512" s="0" t="n">
        <v>549</v>
      </c>
      <c r="H1512" s="0" t="n">
        <v>0</v>
      </c>
      <c r="I1512" s="0" t="n">
        <v>0</v>
      </c>
      <c r="L1512" s="3" t="s">
        <v>68</v>
      </c>
    </row>
    <row r="1513" customFormat="false" ht="15" hidden="false" customHeight="false" outlineLevel="0" collapsed="false">
      <c r="A1513" s="0" t="s">
        <v>1676</v>
      </c>
      <c r="B1513" s="2" t="n">
        <v>45848</v>
      </c>
      <c r="C1513" s="3" t="s">
        <v>27</v>
      </c>
      <c r="D1513" s="3" t="s">
        <v>20</v>
      </c>
      <c r="E1513" s="3" t="s">
        <v>21</v>
      </c>
      <c r="F1513" s="3" t="s">
        <v>22</v>
      </c>
      <c r="G1513" s="0" t="n">
        <v>394</v>
      </c>
      <c r="H1513" s="0" t="n">
        <v>82</v>
      </c>
      <c r="I1513" s="0" t="n">
        <v>40</v>
      </c>
      <c r="J1513" s="0" t="n">
        <v>43</v>
      </c>
      <c r="K1513" s="0" t="n">
        <v>4.4</v>
      </c>
      <c r="L1513" s="3" t="s">
        <v>17</v>
      </c>
    </row>
    <row r="1514" customFormat="false" ht="15" hidden="false" customHeight="false" outlineLevel="0" collapsed="false">
      <c r="A1514" s="0" t="s">
        <v>1677</v>
      </c>
      <c r="B1514" s="2" t="n">
        <v>45684</v>
      </c>
      <c r="C1514" s="3" t="s">
        <v>30</v>
      </c>
      <c r="D1514" s="3" t="s">
        <v>56</v>
      </c>
      <c r="E1514" s="3" t="s">
        <v>15</v>
      </c>
      <c r="F1514" s="3" t="s">
        <v>54</v>
      </c>
      <c r="G1514" s="0" t="n">
        <v>423</v>
      </c>
      <c r="H1514" s="0" t="n">
        <v>0</v>
      </c>
      <c r="I1514" s="0" t="n">
        <v>40</v>
      </c>
      <c r="J1514" s="0" t="n">
        <v>25</v>
      </c>
      <c r="K1514" s="0" t="n">
        <v>4.2</v>
      </c>
      <c r="L1514" s="3" t="s">
        <v>17</v>
      </c>
    </row>
    <row r="1515" customFormat="false" ht="15" hidden="false" customHeight="false" outlineLevel="0" collapsed="false">
      <c r="A1515" s="0" t="s">
        <v>1677</v>
      </c>
      <c r="B1515" s="2" t="n">
        <v>45684</v>
      </c>
      <c r="C1515" s="3" t="s">
        <v>30</v>
      </c>
      <c r="D1515" s="3" t="s">
        <v>56</v>
      </c>
      <c r="E1515" s="3" t="s">
        <v>15</v>
      </c>
      <c r="F1515" s="3" t="s">
        <v>54</v>
      </c>
      <c r="G1515" s="0" t="n">
        <v>423</v>
      </c>
      <c r="H1515" s="0" t="n">
        <v>0</v>
      </c>
      <c r="I1515" s="0" t="n">
        <v>40</v>
      </c>
      <c r="J1515" s="0" t="n">
        <v>25</v>
      </c>
      <c r="K1515" s="0" t="n">
        <v>4.2</v>
      </c>
      <c r="L1515" s="3" t="s">
        <v>17</v>
      </c>
    </row>
    <row r="1516" customFormat="false" ht="15" hidden="false" customHeight="false" outlineLevel="0" collapsed="false">
      <c r="A1516" s="0" t="s">
        <v>1678</v>
      </c>
      <c r="B1516" s="2" t="n">
        <v>45967</v>
      </c>
      <c r="C1516" s="3" t="s">
        <v>30</v>
      </c>
      <c r="D1516" s="3" t="s">
        <v>14</v>
      </c>
      <c r="E1516" s="3" t="s">
        <v>21</v>
      </c>
      <c r="F1516" s="3" t="s">
        <v>54</v>
      </c>
      <c r="G1516" s="0" t="n">
        <v>209</v>
      </c>
      <c r="H1516" s="0" t="n">
        <v>26</v>
      </c>
      <c r="I1516" s="0" t="n">
        <v>30</v>
      </c>
      <c r="J1516" s="0" t="n">
        <v>24</v>
      </c>
      <c r="K1516" s="0" t="n">
        <v>4.8</v>
      </c>
      <c r="L1516" s="3" t="s">
        <v>17</v>
      </c>
    </row>
    <row r="1517" customFormat="false" ht="15" hidden="false" customHeight="false" outlineLevel="0" collapsed="false">
      <c r="A1517" s="0" t="s">
        <v>1678</v>
      </c>
      <c r="B1517" s="2" t="n">
        <v>45967</v>
      </c>
      <c r="C1517" s="3" t="s">
        <v>30</v>
      </c>
      <c r="D1517" s="3" t="s">
        <v>14</v>
      </c>
      <c r="E1517" s="3" t="s">
        <v>21</v>
      </c>
      <c r="F1517" s="3" t="s">
        <v>54</v>
      </c>
      <c r="G1517" s="0" t="n">
        <v>209</v>
      </c>
      <c r="H1517" s="0" t="n">
        <v>26</v>
      </c>
      <c r="I1517" s="0" t="n">
        <v>30</v>
      </c>
      <c r="J1517" s="0" t="n">
        <v>24</v>
      </c>
      <c r="K1517" s="0" t="n">
        <v>4.8</v>
      </c>
      <c r="L1517" s="3" t="s">
        <v>17</v>
      </c>
    </row>
    <row r="1518" customFormat="false" ht="15" hidden="false" customHeight="false" outlineLevel="0" collapsed="false">
      <c r="A1518" s="0" t="s">
        <v>1679</v>
      </c>
      <c r="B1518" s="2" t="n">
        <v>45909</v>
      </c>
      <c r="C1518" s="3" t="s">
        <v>24</v>
      </c>
      <c r="D1518" s="3" t="s">
        <v>78</v>
      </c>
      <c r="E1518" s="3" t="s">
        <v>58</v>
      </c>
      <c r="F1518" s="3" t="s">
        <v>36</v>
      </c>
      <c r="G1518" s="0" t="n">
        <v>327</v>
      </c>
      <c r="H1518" s="0" t="n">
        <v>0</v>
      </c>
      <c r="I1518" s="0" t="n">
        <v>30</v>
      </c>
      <c r="J1518" s="0" t="n">
        <v>30</v>
      </c>
      <c r="K1518" s="0" t="n">
        <v>4.3</v>
      </c>
      <c r="L1518" s="3" t="s">
        <v>17</v>
      </c>
    </row>
    <row r="1519" customFormat="false" ht="15" hidden="false" customHeight="false" outlineLevel="0" collapsed="false">
      <c r="A1519" s="0" t="s">
        <v>1680</v>
      </c>
      <c r="B1519" s="2" t="n">
        <v>45954</v>
      </c>
      <c r="C1519" s="3" t="s">
        <v>27</v>
      </c>
      <c r="D1519" s="3" t="s">
        <v>31</v>
      </c>
      <c r="E1519" s="3" t="s">
        <v>21</v>
      </c>
      <c r="F1519" s="3" t="s">
        <v>22</v>
      </c>
      <c r="G1519" s="0" t="n">
        <v>535</v>
      </c>
      <c r="H1519" s="0" t="n">
        <v>0</v>
      </c>
      <c r="I1519" s="0" t="n">
        <v>0</v>
      </c>
      <c r="J1519" s="0" t="n">
        <v>53</v>
      </c>
      <c r="K1519" s="0" t="n">
        <v>4.5</v>
      </c>
      <c r="L1519" s="3" t="s">
        <v>17</v>
      </c>
    </row>
    <row r="1520" customFormat="false" ht="15" hidden="false" customHeight="false" outlineLevel="0" collapsed="false">
      <c r="A1520" s="0" t="s">
        <v>1680</v>
      </c>
      <c r="B1520" s="2" t="n">
        <v>45954</v>
      </c>
      <c r="C1520" s="3" t="s">
        <v>27</v>
      </c>
      <c r="D1520" s="3" t="s">
        <v>31</v>
      </c>
      <c r="E1520" s="3" t="s">
        <v>21</v>
      </c>
      <c r="F1520" s="3" t="s">
        <v>22</v>
      </c>
      <c r="G1520" s="0" t="n">
        <v>535</v>
      </c>
      <c r="H1520" s="0" t="n">
        <v>0</v>
      </c>
      <c r="I1520" s="0" t="n">
        <v>0</v>
      </c>
      <c r="J1520" s="0" t="n">
        <v>53</v>
      </c>
      <c r="K1520" s="0" t="n">
        <v>4.5</v>
      </c>
      <c r="L1520" s="3" t="s">
        <v>17</v>
      </c>
    </row>
    <row r="1521" customFormat="false" ht="15" hidden="false" customHeight="false" outlineLevel="0" collapsed="false">
      <c r="A1521" s="0" t="s">
        <v>1681</v>
      </c>
      <c r="B1521" s="2" t="n">
        <v>45831</v>
      </c>
      <c r="C1521" s="3" t="s">
        <v>355</v>
      </c>
      <c r="D1521" s="3" t="s">
        <v>25</v>
      </c>
      <c r="E1521" s="3" t="s">
        <v>21</v>
      </c>
      <c r="F1521" s="3" t="s">
        <v>54</v>
      </c>
      <c r="G1521" s="0" t="n">
        <v>375</v>
      </c>
      <c r="H1521" s="0" t="n">
        <v>0</v>
      </c>
      <c r="I1521" s="0" t="n">
        <v>40</v>
      </c>
      <c r="J1521" s="0" t="n">
        <v>41</v>
      </c>
      <c r="K1521" s="0" t="n">
        <v>4.3</v>
      </c>
      <c r="L1521" s="3" t="s">
        <v>17</v>
      </c>
    </row>
    <row r="1522" customFormat="false" ht="15" hidden="false" customHeight="false" outlineLevel="0" collapsed="false">
      <c r="A1522" s="0" t="s">
        <v>1682</v>
      </c>
      <c r="B1522" s="2" t="n">
        <v>45905</v>
      </c>
      <c r="C1522" s="3" t="s">
        <v>27</v>
      </c>
      <c r="D1522" s="3" t="s">
        <v>25</v>
      </c>
      <c r="E1522" s="3" t="s">
        <v>21</v>
      </c>
      <c r="F1522" s="3" t="s">
        <v>36</v>
      </c>
      <c r="G1522" s="0" t="n">
        <v>489</v>
      </c>
      <c r="H1522" s="0" t="n">
        <v>0</v>
      </c>
      <c r="I1522" s="0" t="n">
        <v>30</v>
      </c>
      <c r="J1522" s="0" t="n">
        <v>30</v>
      </c>
      <c r="K1522" s="0" t="n">
        <v>4.6</v>
      </c>
      <c r="L1522" s="3" t="s">
        <v>17</v>
      </c>
    </row>
    <row r="1523" customFormat="false" ht="15" hidden="false" customHeight="false" outlineLevel="0" collapsed="false">
      <c r="A1523" s="0" t="s">
        <v>1683</v>
      </c>
      <c r="B1523" s="2" t="n">
        <v>45977</v>
      </c>
      <c r="C1523" s="3" t="s">
        <v>13</v>
      </c>
      <c r="D1523" s="3" t="s">
        <v>56</v>
      </c>
      <c r="E1523" s="3" t="s">
        <v>21</v>
      </c>
      <c r="F1523" s="3" t="s">
        <v>22</v>
      </c>
      <c r="G1523" s="0" t="n">
        <v>391</v>
      </c>
      <c r="H1523" s="0" t="n">
        <v>89</v>
      </c>
      <c r="I1523" s="0" t="n">
        <v>30</v>
      </c>
      <c r="J1523" s="0" t="n">
        <v>36</v>
      </c>
      <c r="K1523" s="0" t="n">
        <v>3.5</v>
      </c>
      <c r="L1523" s="3" t="s">
        <v>17</v>
      </c>
    </row>
    <row r="1524" customFormat="false" ht="15" hidden="false" customHeight="false" outlineLevel="0" collapsed="false">
      <c r="A1524" s="0" t="s">
        <v>1684</v>
      </c>
      <c r="B1524" s="2" t="n">
        <v>45903</v>
      </c>
      <c r="C1524" s="3" t="s">
        <v>24</v>
      </c>
      <c r="D1524" s="3" t="s">
        <v>56</v>
      </c>
      <c r="E1524" s="3" t="s">
        <v>21</v>
      </c>
      <c r="F1524" s="3" t="s">
        <v>16</v>
      </c>
      <c r="G1524" s="0" t="n">
        <v>440</v>
      </c>
      <c r="H1524" s="0" t="n">
        <v>0</v>
      </c>
      <c r="I1524" s="0" t="n">
        <v>20</v>
      </c>
      <c r="J1524" s="0" t="n">
        <v>37</v>
      </c>
      <c r="L1524" s="3" t="s">
        <v>17</v>
      </c>
    </row>
    <row r="1525" customFormat="false" ht="15" hidden="false" customHeight="false" outlineLevel="0" collapsed="false">
      <c r="A1525" s="0" t="s">
        <v>1685</v>
      </c>
      <c r="B1525" s="2" t="n">
        <v>45801</v>
      </c>
      <c r="C1525" s="3" t="s">
        <v>19</v>
      </c>
      <c r="D1525" s="3" t="s">
        <v>14</v>
      </c>
      <c r="E1525" s="3" t="s">
        <v>21</v>
      </c>
      <c r="F1525" s="3" t="s">
        <v>34</v>
      </c>
      <c r="G1525" s="0" t="n">
        <v>383</v>
      </c>
      <c r="H1525" s="0" t="n">
        <v>62</v>
      </c>
      <c r="I1525" s="0" t="n">
        <v>45</v>
      </c>
      <c r="J1525" s="0" t="n">
        <v>25</v>
      </c>
      <c r="K1525" s="0" t="n">
        <v>4.5</v>
      </c>
      <c r="L1525" s="3" t="s">
        <v>17</v>
      </c>
    </row>
    <row r="1526" customFormat="false" ht="15" hidden="false" customHeight="false" outlineLevel="0" collapsed="false">
      <c r="A1526" s="0" t="s">
        <v>1686</v>
      </c>
      <c r="B1526" s="2" t="n">
        <v>45914</v>
      </c>
      <c r="C1526" s="3" t="s">
        <v>40</v>
      </c>
      <c r="D1526" s="3" t="s">
        <v>28</v>
      </c>
      <c r="E1526" s="3" t="s">
        <v>58</v>
      </c>
      <c r="F1526" s="3" t="s">
        <v>22</v>
      </c>
      <c r="G1526" s="0" t="n">
        <v>408</v>
      </c>
      <c r="H1526" s="0" t="n">
        <v>0</v>
      </c>
      <c r="I1526" s="0" t="n">
        <v>40</v>
      </c>
      <c r="J1526" s="0" t="n">
        <v>31</v>
      </c>
      <c r="K1526" s="0" t="n">
        <v>3.9</v>
      </c>
      <c r="L1526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8019"/>
    <pageSetUpPr fitToPage="false"/>
  </sheetPr>
  <dimension ref="A1:O1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8"/>
    <col collapsed="false" customWidth="true" hidden="false" outlineLevel="0" max="15" min="15" style="0" width="13"/>
  </cols>
  <sheetData>
    <row r="1" customFormat="false" ht="30" hidden="false" customHeight="true" outlineLevel="0" collapsed="false">
      <c r="A1" s="3" t="s">
        <v>0</v>
      </c>
      <c r="B1" s="3" t="s">
        <v>1</v>
      </c>
      <c r="C1" s="3" t="s">
        <v>1687</v>
      </c>
      <c r="D1" s="3" t="s">
        <v>1688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1689</v>
      </c>
      <c r="M1" s="3" t="s">
        <v>9</v>
      </c>
      <c r="N1" s="3" t="s">
        <v>10</v>
      </c>
      <c r="O1" s="3" t="s">
        <v>11</v>
      </c>
    </row>
    <row r="2" customFormat="false" ht="15" hidden="false" customHeight="false" outlineLevel="0" collapsed="false">
      <c r="A2" s="0" t="s">
        <v>872</v>
      </c>
      <c r="B2" s="2" t="n">
        <v>45658</v>
      </c>
      <c r="C2" s="0" t="str">
        <f aca="false">TEXT(B2,"mmm")</f>
        <v>Jan</v>
      </c>
      <c r="D2" s="0" t="str">
        <f aca="false">TEXT(B2,"ddd")</f>
        <v>Wed</v>
      </c>
      <c r="E2" s="3" t="s">
        <v>24</v>
      </c>
      <c r="F2" s="3" t="s">
        <v>25</v>
      </c>
      <c r="G2" s="3" t="s">
        <v>15</v>
      </c>
      <c r="H2" s="3" t="s">
        <v>34</v>
      </c>
      <c r="I2" s="4" t="n">
        <v>310</v>
      </c>
      <c r="J2" s="4" t="n">
        <v>74</v>
      </c>
      <c r="K2" s="4" t="n">
        <v>40</v>
      </c>
      <c r="L2" s="4" t="n">
        <f aca="false">IF(O2="Delivered",I2-J2+K2,0)</f>
        <v>276</v>
      </c>
      <c r="M2" s="0" t="n">
        <v>30</v>
      </c>
      <c r="N2" s="0" t="n">
        <v>5</v>
      </c>
      <c r="O2" s="3" t="s">
        <v>17</v>
      </c>
    </row>
    <row r="3" customFormat="false" ht="15" hidden="false" customHeight="false" outlineLevel="0" collapsed="false">
      <c r="A3" s="0" t="s">
        <v>875</v>
      </c>
      <c r="B3" s="2" t="n">
        <v>45658</v>
      </c>
      <c r="C3" s="0" t="str">
        <f aca="false">TEXT(B3,"mmm")</f>
        <v>Jan</v>
      </c>
      <c r="D3" s="0" t="str">
        <f aca="false">TEXT(B3,"ddd")</f>
        <v>Wed</v>
      </c>
      <c r="E3" s="3" t="s">
        <v>24</v>
      </c>
      <c r="F3" s="3" t="s">
        <v>56</v>
      </c>
      <c r="G3" s="3" t="s">
        <v>15</v>
      </c>
      <c r="H3" s="3" t="s">
        <v>22</v>
      </c>
      <c r="I3" s="4" t="n">
        <v>353</v>
      </c>
      <c r="J3" s="4" t="n">
        <v>54</v>
      </c>
      <c r="K3" s="4" t="n">
        <v>40</v>
      </c>
      <c r="L3" s="4" t="n">
        <f aca="false">IF(O3="Delivered",I3-J3+K3,0)</f>
        <v>339</v>
      </c>
      <c r="M3" s="0" t="n">
        <v>46</v>
      </c>
      <c r="N3" s="0" t="n">
        <v>3.3</v>
      </c>
      <c r="O3" s="3" t="s">
        <v>17</v>
      </c>
    </row>
    <row r="4" customFormat="false" ht="15" hidden="false" customHeight="false" outlineLevel="0" collapsed="false">
      <c r="A4" s="0" t="s">
        <v>1317</v>
      </c>
      <c r="B4" s="2" t="n">
        <v>45658</v>
      </c>
      <c r="C4" s="0" t="str">
        <f aca="false">TEXT(B4,"mmm")</f>
        <v>Jan</v>
      </c>
      <c r="D4" s="0" t="str">
        <f aca="false">TEXT(B4,"ddd")</f>
        <v>Wed</v>
      </c>
      <c r="E4" s="3" t="s">
        <v>27</v>
      </c>
      <c r="F4" s="3" t="s">
        <v>31</v>
      </c>
      <c r="G4" s="3" t="s">
        <v>21</v>
      </c>
      <c r="H4" s="3" t="s">
        <v>54</v>
      </c>
      <c r="I4" s="4" t="n">
        <v>408</v>
      </c>
      <c r="J4" s="4" t="n">
        <v>53</v>
      </c>
      <c r="K4" s="4" t="n">
        <v>20</v>
      </c>
      <c r="L4" s="4" t="n">
        <f aca="false">IF(O4="Delivered",I4-J4+K4,0)</f>
        <v>375</v>
      </c>
      <c r="M4" s="0" t="n">
        <v>50</v>
      </c>
      <c r="N4" s="0" t="n">
        <v>3.5</v>
      </c>
      <c r="O4" s="3" t="s">
        <v>17</v>
      </c>
    </row>
    <row r="5" customFormat="false" ht="15" hidden="false" customHeight="false" outlineLevel="0" collapsed="false">
      <c r="A5" s="0" t="s">
        <v>1385</v>
      </c>
      <c r="B5" s="2" t="n">
        <v>45658</v>
      </c>
      <c r="C5" s="0" t="str">
        <f aca="false">TEXT(B5,"mmm")</f>
        <v>Jan</v>
      </c>
      <c r="D5" s="0" t="str">
        <f aca="false">TEXT(B5,"ddd")</f>
        <v>Wed</v>
      </c>
      <c r="E5" s="3" t="s">
        <v>27</v>
      </c>
      <c r="F5" s="3" t="s">
        <v>31</v>
      </c>
      <c r="G5" s="3" t="s">
        <v>21</v>
      </c>
      <c r="H5" s="3" t="s">
        <v>22</v>
      </c>
      <c r="I5" s="4" t="n">
        <v>531</v>
      </c>
      <c r="J5" s="4" t="n">
        <v>0</v>
      </c>
      <c r="K5" s="4" t="n">
        <v>0</v>
      </c>
      <c r="L5" s="4" t="n">
        <f aca="false">IF(O5="Delivered",I5-J5+K5,0)</f>
        <v>531</v>
      </c>
      <c r="M5" s="0" t="n">
        <v>52</v>
      </c>
      <c r="N5" s="0" t="n">
        <v>2.8</v>
      </c>
      <c r="O5" s="3" t="s">
        <v>17</v>
      </c>
    </row>
    <row r="6" customFormat="false" ht="15" hidden="false" customHeight="false" outlineLevel="0" collapsed="false">
      <c r="A6" s="0" t="s">
        <v>516</v>
      </c>
      <c r="B6" s="2" t="n">
        <v>45660</v>
      </c>
      <c r="C6" s="0" t="str">
        <f aca="false">TEXT(B6,"mmm")</f>
        <v>Jan</v>
      </c>
      <c r="D6" s="0" t="str">
        <f aca="false">TEXT(B6,"ddd")</f>
        <v>Fri</v>
      </c>
      <c r="E6" s="3" t="s">
        <v>27</v>
      </c>
      <c r="F6" s="3" t="s">
        <v>20</v>
      </c>
      <c r="G6" s="3" t="s">
        <v>15</v>
      </c>
      <c r="H6" s="3" t="s">
        <v>34</v>
      </c>
      <c r="I6" s="4" t="n">
        <v>805</v>
      </c>
      <c r="J6" s="4" t="n">
        <v>0</v>
      </c>
      <c r="K6" s="4" t="n">
        <v>0</v>
      </c>
      <c r="L6" s="4" t="n">
        <f aca="false">IF(O6="Delivered",I6-J6+K6,0)</f>
        <v>0</v>
      </c>
      <c r="O6" s="3" t="s">
        <v>68</v>
      </c>
    </row>
    <row r="7" customFormat="false" ht="15" hidden="false" customHeight="false" outlineLevel="0" collapsed="false">
      <c r="A7" s="0" t="s">
        <v>769</v>
      </c>
      <c r="B7" s="2" t="n">
        <v>45660</v>
      </c>
      <c r="C7" s="0" t="str">
        <f aca="false">TEXT(B7,"mmm")</f>
        <v>Jan</v>
      </c>
      <c r="D7" s="0" t="str">
        <f aca="false">TEXT(B7,"ddd")</f>
        <v>Fri</v>
      </c>
      <c r="E7" s="3" t="s">
        <v>40</v>
      </c>
      <c r="F7" s="3" t="s">
        <v>25</v>
      </c>
      <c r="G7" s="3" t="s">
        <v>21</v>
      </c>
      <c r="H7" s="3" t="s">
        <v>22</v>
      </c>
      <c r="I7" s="4" t="n">
        <v>369</v>
      </c>
      <c r="J7" s="4" t="n">
        <v>56</v>
      </c>
      <c r="K7" s="4" t="n">
        <v>45</v>
      </c>
      <c r="L7" s="4" t="n">
        <f aca="false">IF(O7="Delivered",I7-J7+K7,0)</f>
        <v>358</v>
      </c>
      <c r="M7" s="0" t="n">
        <v>32</v>
      </c>
      <c r="N7" s="0" t="n">
        <v>4.5</v>
      </c>
      <c r="O7" s="3" t="s">
        <v>17</v>
      </c>
    </row>
    <row r="8" customFormat="false" ht="15" hidden="false" customHeight="false" outlineLevel="0" collapsed="false">
      <c r="A8" s="0" t="s">
        <v>908</v>
      </c>
      <c r="B8" s="2" t="n">
        <v>45660</v>
      </c>
      <c r="C8" s="0" t="str">
        <f aca="false">TEXT(B8,"mmm")</f>
        <v>Jan</v>
      </c>
      <c r="D8" s="0" t="str">
        <f aca="false">TEXT(B8,"ddd")</f>
        <v>Fri</v>
      </c>
      <c r="E8" s="3" t="s">
        <v>45</v>
      </c>
      <c r="F8" s="3" t="s">
        <v>14</v>
      </c>
      <c r="G8" s="3" t="s">
        <v>21</v>
      </c>
      <c r="H8" s="3" t="s">
        <v>16</v>
      </c>
      <c r="I8" s="4" t="n">
        <v>347</v>
      </c>
      <c r="J8" s="4" t="n">
        <v>0</v>
      </c>
      <c r="K8" s="4" t="n">
        <v>30</v>
      </c>
      <c r="L8" s="4" t="n">
        <f aca="false">IF(O8="Delivered",I8-J8+K8,0)</f>
        <v>377</v>
      </c>
      <c r="M8" s="0" t="n">
        <v>35</v>
      </c>
      <c r="N8" s="0" t="n">
        <v>4.3</v>
      </c>
      <c r="O8" s="3" t="s">
        <v>17</v>
      </c>
    </row>
    <row r="9" customFormat="false" ht="15" hidden="false" customHeight="false" outlineLevel="0" collapsed="false">
      <c r="A9" s="0" t="s">
        <v>945</v>
      </c>
      <c r="B9" s="2" t="n">
        <v>45660</v>
      </c>
      <c r="C9" s="0" t="str">
        <f aca="false">TEXT(B9,"mmm")</f>
        <v>Jan</v>
      </c>
      <c r="D9" s="0" t="str">
        <f aca="false">TEXT(B9,"ddd")</f>
        <v>Fri</v>
      </c>
      <c r="E9" s="3" t="s">
        <v>19</v>
      </c>
      <c r="F9" s="3" t="s">
        <v>20</v>
      </c>
      <c r="G9" s="3" t="s">
        <v>21</v>
      </c>
      <c r="H9" s="3" t="s">
        <v>22</v>
      </c>
      <c r="I9" s="4" t="n">
        <v>374</v>
      </c>
      <c r="J9" s="4" t="n">
        <v>0</v>
      </c>
      <c r="K9" s="4" t="n">
        <v>30</v>
      </c>
      <c r="L9" s="4" t="n">
        <f aca="false">IF(O9="Delivered",I9-J9+K9,0)</f>
        <v>404</v>
      </c>
      <c r="M9" s="0" t="n">
        <v>32</v>
      </c>
      <c r="N9" s="0" t="n">
        <v>4.7</v>
      </c>
      <c r="O9" s="3" t="s">
        <v>17</v>
      </c>
    </row>
    <row r="10" customFormat="false" ht="15" hidden="false" customHeight="false" outlineLevel="0" collapsed="false">
      <c r="A10" s="0" t="s">
        <v>1483</v>
      </c>
      <c r="B10" s="2" t="n">
        <v>45660</v>
      </c>
      <c r="C10" s="0" t="str">
        <f aca="false">TEXT(B10,"mmm")</f>
        <v>Jan</v>
      </c>
      <c r="D10" s="0" t="str">
        <f aca="false">TEXT(B10,"ddd")</f>
        <v>Fri</v>
      </c>
      <c r="E10" s="3" t="s">
        <v>40</v>
      </c>
      <c r="F10" s="3" t="s">
        <v>14</v>
      </c>
      <c r="G10" s="3" t="s">
        <v>21</v>
      </c>
      <c r="H10" s="3" t="s">
        <v>34</v>
      </c>
      <c r="I10" s="4" t="n">
        <v>301</v>
      </c>
      <c r="J10" s="4" t="n">
        <v>73</v>
      </c>
      <c r="K10" s="4" t="n">
        <v>20</v>
      </c>
      <c r="L10" s="4" t="n">
        <f aca="false">IF(O10="Delivered",I10-J10+K10,0)</f>
        <v>248</v>
      </c>
      <c r="M10" s="0" t="n">
        <v>23</v>
      </c>
      <c r="N10" s="0" t="n">
        <v>5</v>
      </c>
      <c r="O10" s="3" t="s">
        <v>17</v>
      </c>
    </row>
    <row r="11" customFormat="false" ht="15" hidden="false" customHeight="false" outlineLevel="0" collapsed="false">
      <c r="A11" s="0" t="s">
        <v>1492</v>
      </c>
      <c r="B11" s="2" t="n">
        <v>45660</v>
      </c>
      <c r="C11" s="0" t="str">
        <f aca="false">TEXT(B11,"mmm")</f>
        <v>Jan</v>
      </c>
      <c r="D11" s="0" t="str">
        <f aca="false">TEXT(B11,"ddd")</f>
        <v>Fri</v>
      </c>
      <c r="E11" s="3" t="s">
        <v>40</v>
      </c>
      <c r="F11" s="3" t="s">
        <v>20</v>
      </c>
      <c r="G11" s="3" t="s">
        <v>21</v>
      </c>
      <c r="H11" s="3" t="s">
        <v>22</v>
      </c>
      <c r="I11" s="4" t="n">
        <v>693</v>
      </c>
      <c r="J11" s="4" t="n">
        <v>0</v>
      </c>
      <c r="K11" s="4" t="n">
        <v>0</v>
      </c>
      <c r="L11" s="4" t="n">
        <f aca="false">IF(O11="Delivered",I11-J11+K11,0)</f>
        <v>693</v>
      </c>
      <c r="M11" s="0" t="n">
        <v>40</v>
      </c>
      <c r="N11" s="0" t="n">
        <v>5</v>
      </c>
      <c r="O11" s="3" t="s">
        <v>17</v>
      </c>
    </row>
    <row r="12" customFormat="false" ht="15" hidden="false" customHeight="false" outlineLevel="0" collapsed="false">
      <c r="A12" s="0" t="s">
        <v>97</v>
      </c>
      <c r="B12" s="2" t="n">
        <v>45661</v>
      </c>
      <c r="C12" s="0" t="str">
        <f aca="false">TEXT(B12,"mmm")</f>
        <v>Jan</v>
      </c>
      <c r="D12" s="0" t="str">
        <f aca="false">TEXT(B12,"ddd")</f>
        <v>Sat</v>
      </c>
      <c r="E12" s="3" t="s">
        <v>27</v>
      </c>
      <c r="F12" s="3" t="s">
        <v>31</v>
      </c>
      <c r="G12" s="3" t="s">
        <v>21</v>
      </c>
      <c r="H12" s="3" t="s">
        <v>16</v>
      </c>
      <c r="I12" s="4" t="n">
        <v>423</v>
      </c>
      <c r="J12" s="4" t="n">
        <v>0</v>
      </c>
      <c r="K12" s="4" t="n">
        <v>20</v>
      </c>
      <c r="L12" s="4" t="n">
        <f aca="false">IF(O12="Delivered",I12-J12+K12,0)</f>
        <v>443</v>
      </c>
      <c r="M12" s="0" t="n">
        <v>45</v>
      </c>
      <c r="N12" s="0" t="n">
        <v>2.9</v>
      </c>
      <c r="O12" s="3" t="s">
        <v>17</v>
      </c>
    </row>
    <row r="13" customFormat="false" ht="15" hidden="false" customHeight="false" outlineLevel="0" collapsed="false">
      <c r="A13" s="0" t="s">
        <v>715</v>
      </c>
      <c r="B13" s="2" t="n">
        <v>45661</v>
      </c>
      <c r="C13" s="0" t="str">
        <f aca="false">TEXT(B13,"mmm")</f>
        <v>Jan</v>
      </c>
      <c r="D13" s="0" t="str">
        <f aca="false">TEXT(B13,"ddd")</f>
        <v>Sat</v>
      </c>
      <c r="E13" s="3" t="s">
        <v>45</v>
      </c>
      <c r="F13" s="3" t="s">
        <v>31</v>
      </c>
      <c r="G13" s="3" t="s">
        <v>21</v>
      </c>
      <c r="H13" s="3" t="s">
        <v>54</v>
      </c>
      <c r="I13" s="4" t="n">
        <v>431</v>
      </c>
      <c r="J13" s="4" t="n">
        <v>0</v>
      </c>
      <c r="K13" s="4" t="n">
        <v>20</v>
      </c>
      <c r="L13" s="4" t="n">
        <f aca="false">IF(O13="Delivered",I13-J13+K13,0)</f>
        <v>451</v>
      </c>
      <c r="M13" s="0" t="n">
        <v>26</v>
      </c>
      <c r="N13" s="0" t="n">
        <v>5</v>
      </c>
      <c r="O13" s="3" t="s">
        <v>17</v>
      </c>
    </row>
    <row r="14" customFormat="false" ht="15" hidden="false" customHeight="false" outlineLevel="0" collapsed="false">
      <c r="A14" s="0" t="s">
        <v>1256</v>
      </c>
      <c r="B14" s="2" t="n">
        <v>45661</v>
      </c>
      <c r="C14" s="0" t="str">
        <f aca="false">TEXT(B14,"mmm")</f>
        <v>Jan</v>
      </c>
      <c r="D14" s="0" t="str">
        <f aca="false">TEXT(B14,"ddd")</f>
        <v>Sat</v>
      </c>
      <c r="E14" s="3" t="s">
        <v>27</v>
      </c>
      <c r="F14" s="3" t="s">
        <v>25</v>
      </c>
      <c r="G14" s="3" t="s">
        <v>21</v>
      </c>
      <c r="H14" s="3" t="s">
        <v>22</v>
      </c>
      <c r="I14" s="4" t="n">
        <v>364</v>
      </c>
      <c r="J14" s="4" t="n">
        <v>0</v>
      </c>
      <c r="K14" s="4" t="n">
        <v>45</v>
      </c>
      <c r="L14" s="4" t="n">
        <f aca="false">IF(O14="Delivered",I14-J14+K14,0)</f>
        <v>409</v>
      </c>
      <c r="M14" s="0" t="n">
        <v>54</v>
      </c>
      <c r="N14" s="0" t="n">
        <v>3.7</v>
      </c>
      <c r="O14" s="3" t="s">
        <v>17</v>
      </c>
    </row>
    <row r="15" customFormat="false" ht="15" hidden="false" customHeight="false" outlineLevel="0" collapsed="false">
      <c r="A15" s="0" t="s">
        <v>643</v>
      </c>
      <c r="B15" s="2" t="n">
        <v>45662</v>
      </c>
      <c r="C15" s="0" t="str">
        <f aca="false">TEXT(B15,"mmm")</f>
        <v>Jan</v>
      </c>
      <c r="D15" s="0" t="str">
        <f aca="false">TEXT(B15,"ddd")</f>
        <v>Sun</v>
      </c>
      <c r="E15" s="3" t="s">
        <v>40</v>
      </c>
      <c r="F15" s="3" t="s">
        <v>28</v>
      </c>
      <c r="G15" s="3" t="s">
        <v>21</v>
      </c>
      <c r="H15" s="3" t="s">
        <v>16</v>
      </c>
      <c r="I15" s="4" t="n">
        <v>478</v>
      </c>
      <c r="J15" s="4" t="n">
        <v>94</v>
      </c>
      <c r="K15" s="4" t="n">
        <v>40</v>
      </c>
      <c r="L15" s="4" t="n">
        <f aca="false">IF(O15="Delivered",I15-J15+K15,0)</f>
        <v>424</v>
      </c>
      <c r="M15" s="0" t="n">
        <v>33</v>
      </c>
      <c r="N15" s="0" t="n">
        <v>4.5</v>
      </c>
      <c r="O15" s="3" t="s">
        <v>17</v>
      </c>
    </row>
    <row r="16" customFormat="false" ht="15" hidden="false" customHeight="false" outlineLevel="0" collapsed="false">
      <c r="A16" s="0" t="s">
        <v>898</v>
      </c>
      <c r="B16" s="2" t="n">
        <v>45662</v>
      </c>
      <c r="C16" s="0" t="str">
        <f aca="false">TEXT(B16,"mmm")</f>
        <v>Jan</v>
      </c>
      <c r="D16" s="0" t="str">
        <f aca="false">TEXT(B16,"ddd")</f>
        <v>Sun</v>
      </c>
      <c r="E16" s="3" t="s">
        <v>40</v>
      </c>
      <c r="F16" s="3" t="s">
        <v>14</v>
      </c>
      <c r="G16" s="3" t="s">
        <v>15</v>
      </c>
      <c r="H16" s="3" t="s">
        <v>34</v>
      </c>
      <c r="I16" s="4" t="n">
        <v>261</v>
      </c>
      <c r="J16" s="4" t="n">
        <v>28</v>
      </c>
      <c r="K16" s="4" t="n">
        <v>30</v>
      </c>
      <c r="L16" s="4" t="n">
        <f aca="false">IF(O16="Delivered",I16-J16+K16,0)</f>
        <v>263</v>
      </c>
      <c r="M16" s="0" t="n">
        <v>37</v>
      </c>
      <c r="N16" s="0" t="n">
        <v>4.6</v>
      </c>
      <c r="O16" s="3" t="s">
        <v>17</v>
      </c>
    </row>
    <row r="17" customFormat="false" ht="15" hidden="false" customHeight="false" outlineLevel="0" collapsed="false">
      <c r="A17" s="0" t="s">
        <v>487</v>
      </c>
      <c r="B17" s="2" t="n">
        <v>45663</v>
      </c>
      <c r="C17" s="0" t="str">
        <f aca="false">TEXT(B17,"mmm")</f>
        <v>Jan</v>
      </c>
      <c r="D17" s="0" t="str">
        <f aca="false">TEXT(B17,"ddd")</f>
        <v>Mon</v>
      </c>
      <c r="E17" s="3" t="s">
        <v>24</v>
      </c>
      <c r="F17" s="3" t="s">
        <v>28</v>
      </c>
      <c r="G17" s="3" t="s">
        <v>21</v>
      </c>
      <c r="H17" s="3" t="s">
        <v>34</v>
      </c>
      <c r="I17" s="4" t="n">
        <v>270</v>
      </c>
      <c r="J17" s="4" t="n">
        <v>0</v>
      </c>
      <c r="K17" s="4" t="n">
        <v>45</v>
      </c>
      <c r="L17" s="4" t="n">
        <f aca="false">IF(O17="Delivered",I17-J17+K17,0)</f>
        <v>315</v>
      </c>
      <c r="M17" s="0" t="n">
        <v>33</v>
      </c>
      <c r="N17" s="0" t="n">
        <v>3.8</v>
      </c>
      <c r="O17" s="3" t="s">
        <v>17</v>
      </c>
    </row>
    <row r="18" customFormat="false" ht="15" hidden="false" customHeight="false" outlineLevel="0" collapsed="false">
      <c r="A18" s="0" t="s">
        <v>979</v>
      </c>
      <c r="B18" s="2" t="n">
        <v>45663</v>
      </c>
      <c r="C18" s="0" t="str">
        <f aca="false">TEXT(B18,"mmm")</f>
        <v>Jan</v>
      </c>
      <c r="D18" s="0" t="str">
        <f aca="false">TEXT(B18,"ddd")</f>
        <v>Mon</v>
      </c>
      <c r="E18" s="3" t="s">
        <v>40</v>
      </c>
      <c r="F18" s="3" t="s">
        <v>28</v>
      </c>
      <c r="G18" s="3" t="s">
        <v>15</v>
      </c>
      <c r="H18" s="3" t="s">
        <v>36</v>
      </c>
      <c r="I18" s="4" t="n">
        <v>413</v>
      </c>
      <c r="J18" s="4" t="n">
        <v>72</v>
      </c>
      <c r="K18" s="4" t="n">
        <v>45</v>
      </c>
      <c r="L18" s="4" t="n">
        <f aca="false">IF(O18="Delivered",I18-J18+K18,0)</f>
        <v>386</v>
      </c>
      <c r="M18" s="0" t="n">
        <v>41</v>
      </c>
      <c r="N18" s="0" t="n">
        <v>3.5</v>
      </c>
      <c r="O18" s="3" t="s">
        <v>17</v>
      </c>
    </row>
    <row r="19" customFormat="false" ht="15" hidden="false" customHeight="false" outlineLevel="0" collapsed="false">
      <c r="A19" s="0" t="s">
        <v>272</v>
      </c>
      <c r="B19" s="2" t="n">
        <v>45664</v>
      </c>
      <c r="C19" s="0" t="str">
        <f aca="false">TEXT(B19,"mmm")</f>
        <v>Jan</v>
      </c>
      <c r="D19" s="0" t="str">
        <f aca="false">TEXT(B19,"ddd")</f>
        <v>Tue</v>
      </c>
      <c r="E19" s="3" t="s">
        <v>27</v>
      </c>
      <c r="F19" s="3" t="s">
        <v>49</v>
      </c>
      <c r="G19" s="3" t="s">
        <v>15</v>
      </c>
      <c r="H19" s="3" t="s">
        <v>22</v>
      </c>
      <c r="I19" s="4" t="n">
        <v>659</v>
      </c>
      <c r="J19" s="4" t="n">
        <v>0</v>
      </c>
      <c r="K19" s="4" t="n">
        <v>0</v>
      </c>
      <c r="L19" s="4" t="n">
        <f aca="false">IF(O19="Delivered",I19-J19+K19,0)</f>
        <v>659</v>
      </c>
      <c r="M19" s="0" t="n">
        <v>50</v>
      </c>
      <c r="N19" s="0" t="n">
        <v>3.3</v>
      </c>
      <c r="O19" s="3" t="s">
        <v>17</v>
      </c>
    </row>
    <row r="20" customFormat="false" ht="15" hidden="false" customHeight="false" outlineLevel="0" collapsed="false">
      <c r="A20" s="0" t="s">
        <v>627</v>
      </c>
      <c r="B20" s="2" t="n">
        <v>45664</v>
      </c>
      <c r="C20" s="0" t="str">
        <f aca="false">TEXT(B20,"mmm")</f>
        <v>Jan</v>
      </c>
      <c r="D20" s="0" t="str">
        <f aca="false">TEXT(B20,"ddd")</f>
        <v>Tue</v>
      </c>
      <c r="E20" s="3" t="s">
        <v>27</v>
      </c>
      <c r="F20" s="3" t="s">
        <v>20</v>
      </c>
      <c r="G20" s="3" t="s">
        <v>21</v>
      </c>
      <c r="H20" s="3" t="s">
        <v>22</v>
      </c>
      <c r="I20" s="4" t="n">
        <v>736</v>
      </c>
      <c r="J20" s="4" t="n">
        <v>0</v>
      </c>
      <c r="K20" s="4" t="n">
        <v>0</v>
      </c>
      <c r="L20" s="4" t="n">
        <f aca="false">IF(O20="Delivered",I20-J20+K20,0)</f>
        <v>736</v>
      </c>
      <c r="M20" s="0" t="n">
        <v>44</v>
      </c>
      <c r="N20" s="0" t="n">
        <v>4.3</v>
      </c>
      <c r="O20" s="3" t="s">
        <v>17</v>
      </c>
    </row>
    <row r="21" customFormat="false" ht="15" hidden="false" customHeight="false" outlineLevel="0" collapsed="false">
      <c r="A21" s="0" t="s">
        <v>808</v>
      </c>
      <c r="B21" s="2" t="n">
        <v>45665</v>
      </c>
      <c r="C21" s="0" t="str">
        <f aca="false">TEXT(B21,"mmm")</f>
        <v>Jan</v>
      </c>
      <c r="D21" s="0" t="str">
        <f aca="false">TEXT(B21,"ddd")</f>
        <v>Wed</v>
      </c>
      <c r="E21" s="3" t="s">
        <v>30</v>
      </c>
      <c r="F21" s="3" t="s">
        <v>56</v>
      </c>
      <c r="G21" s="3" t="s">
        <v>15</v>
      </c>
      <c r="H21" s="3" t="s">
        <v>34</v>
      </c>
      <c r="I21" s="4" t="n">
        <v>303</v>
      </c>
      <c r="J21" s="4" t="n">
        <v>37</v>
      </c>
      <c r="K21" s="4" t="n">
        <v>30</v>
      </c>
      <c r="L21" s="4" t="n">
        <f aca="false">IF(O21="Delivered",I21-J21+K21,0)</f>
        <v>296</v>
      </c>
      <c r="M21" s="0" t="n">
        <v>30</v>
      </c>
      <c r="N21" s="0" t="n">
        <v>3.2</v>
      </c>
      <c r="O21" s="3" t="s">
        <v>17</v>
      </c>
    </row>
    <row r="22" customFormat="false" ht="15" hidden="false" customHeight="false" outlineLevel="0" collapsed="false">
      <c r="A22" s="0" t="s">
        <v>946</v>
      </c>
      <c r="B22" s="2" t="n">
        <v>45665</v>
      </c>
      <c r="C22" s="0" t="str">
        <f aca="false">TEXT(B22,"mmm")</f>
        <v>Jan</v>
      </c>
      <c r="D22" s="0" t="str">
        <f aca="false">TEXT(B22,"ddd")</f>
        <v>Wed</v>
      </c>
      <c r="E22" s="3" t="s">
        <v>40</v>
      </c>
      <c r="F22" s="3" t="s">
        <v>31</v>
      </c>
      <c r="G22" s="3" t="s">
        <v>15</v>
      </c>
      <c r="H22" s="3" t="s">
        <v>22</v>
      </c>
      <c r="I22" s="4" t="n">
        <v>312</v>
      </c>
      <c r="J22" s="4" t="n">
        <v>66</v>
      </c>
      <c r="K22" s="4" t="n">
        <v>45</v>
      </c>
      <c r="L22" s="4" t="n">
        <f aca="false">IF(O22="Delivered",I22-J22+K22,0)</f>
        <v>291</v>
      </c>
      <c r="M22" s="0" t="n">
        <v>47</v>
      </c>
      <c r="N22" s="0" t="n">
        <v>4.3</v>
      </c>
      <c r="O22" s="3" t="s">
        <v>17</v>
      </c>
    </row>
    <row r="23" customFormat="false" ht="15" hidden="false" customHeight="false" outlineLevel="0" collapsed="false">
      <c r="A23" s="0" t="s">
        <v>311</v>
      </c>
      <c r="B23" s="2" t="n">
        <v>45666</v>
      </c>
      <c r="C23" s="0" t="str">
        <f aca="false">TEXT(B23,"mmm")</f>
        <v>Jan</v>
      </c>
      <c r="D23" s="0" t="str">
        <f aca="false">TEXT(B23,"ddd")</f>
        <v>Thu</v>
      </c>
      <c r="E23" s="3" t="s">
        <v>27</v>
      </c>
      <c r="F23" s="3" t="s">
        <v>25</v>
      </c>
      <c r="G23" s="3" t="s">
        <v>15</v>
      </c>
      <c r="H23" s="3" t="s">
        <v>36</v>
      </c>
      <c r="I23" s="4" t="n">
        <v>415</v>
      </c>
      <c r="J23" s="4" t="n">
        <v>56</v>
      </c>
      <c r="K23" s="4" t="n">
        <v>30</v>
      </c>
      <c r="L23" s="4" t="n">
        <f aca="false">IF(O23="Delivered",I23-J23+K23,0)</f>
        <v>389</v>
      </c>
      <c r="M23" s="0" t="n">
        <v>59</v>
      </c>
      <c r="N23" s="0" t="n">
        <v>4</v>
      </c>
      <c r="O23" s="3" t="s">
        <v>17</v>
      </c>
    </row>
    <row r="24" customFormat="false" ht="15" hidden="false" customHeight="false" outlineLevel="0" collapsed="false">
      <c r="A24" s="0" t="s">
        <v>931</v>
      </c>
      <c r="B24" s="2" t="n">
        <v>45666</v>
      </c>
      <c r="C24" s="0" t="str">
        <f aca="false">TEXT(B24,"mmm")</f>
        <v>Jan</v>
      </c>
      <c r="D24" s="0" t="str">
        <f aca="false">TEXT(B24,"ddd")</f>
        <v>Thu</v>
      </c>
      <c r="E24" s="3" t="s">
        <v>13</v>
      </c>
      <c r="F24" s="3" t="s">
        <v>20</v>
      </c>
      <c r="G24" s="3" t="s">
        <v>21</v>
      </c>
      <c r="H24" s="3" t="s">
        <v>36</v>
      </c>
      <c r="I24" s="4" t="n">
        <v>713</v>
      </c>
      <c r="J24" s="4" t="n">
        <v>0</v>
      </c>
      <c r="K24" s="4" t="n">
        <v>0</v>
      </c>
      <c r="L24" s="4" t="n">
        <f aca="false">IF(O24="Delivered",I24-J24+K24,0)</f>
        <v>713</v>
      </c>
      <c r="M24" s="0" t="n">
        <v>35</v>
      </c>
      <c r="N24" s="0" t="n">
        <v>3.9</v>
      </c>
      <c r="O24" s="3" t="s">
        <v>17</v>
      </c>
    </row>
    <row r="25" customFormat="false" ht="15" hidden="false" customHeight="false" outlineLevel="0" collapsed="false">
      <c r="A25" s="0" t="s">
        <v>961</v>
      </c>
      <c r="B25" s="2" t="n">
        <v>45666</v>
      </c>
      <c r="C25" s="0" t="str">
        <f aca="false">TEXT(B25,"mmm")</f>
        <v>Jan</v>
      </c>
      <c r="D25" s="0" t="str">
        <f aca="false">TEXT(B25,"ddd")</f>
        <v>Thu</v>
      </c>
      <c r="E25" s="3" t="s">
        <v>19</v>
      </c>
      <c r="F25" s="3" t="s">
        <v>20</v>
      </c>
      <c r="G25" s="3" t="s">
        <v>15</v>
      </c>
      <c r="H25" s="3" t="s">
        <v>16</v>
      </c>
      <c r="I25" s="4" t="n">
        <v>670</v>
      </c>
      <c r="J25" s="4" t="n">
        <v>0</v>
      </c>
      <c r="K25" s="4" t="n">
        <v>0</v>
      </c>
      <c r="L25" s="4" t="n">
        <f aca="false">IF(O25="Delivered",I25-J25+K25,0)</f>
        <v>670</v>
      </c>
      <c r="M25" s="0" t="n">
        <v>30</v>
      </c>
      <c r="O25" s="3" t="s">
        <v>17</v>
      </c>
    </row>
    <row r="26" customFormat="false" ht="15" hidden="false" customHeight="false" outlineLevel="0" collapsed="false">
      <c r="A26" s="0" t="s">
        <v>1197</v>
      </c>
      <c r="B26" s="2" t="n">
        <v>45666</v>
      </c>
      <c r="C26" s="0" t="str">
        <f aca="false">TEXT(B26,"mmm")</f>
        <v>Jan</v>
      </c>
      <c r="D26" s="0" t="str">
        <f aca="false">TEXT(B26,"ddd")</f>
        <v>Thu</v>
      </c>
      <c r="E26" s="3" t="s">
        <v>27</v>
      </c>
      <c r="F26" s="3" t="s">
        <v>56</v>
      </c>
      <c r="G26" s="3" t="s">
        <v>21</v>
      </c>
      <c r="H26" s="3" t="s">
        <v>54</v>
      </c>
      <c r="I26" s="4" t="n">
        <v>291</v>
      </c>
      <c r="J26" s="4" t="n">
        <v>58</v>
      </c>
      <c r="K26" s="4" t="n">
        <v>40</v>
      </c>
      <c r="L26" s="4" t="n">
        <f aca="false">IF(O26="Delivered",I26-J26+K26,0)</f>
        <v>273</v>
      </c>
      <c r="M26" s="0" t="n">
        <v>28</v>
      </c>
      <c r="N26" s="0" t="n">
        <v>4.8</v>
      </c>
      <c r="O26" s="3" t="s">
        <v>17</v>
      </c>
    </row>
    <row r="27" customFormat="false" ht="15" hidden="false" customHeight="false" outlineLevel="0" collapsed="false">
      <c r="A27" s="0" t="s">
        <v>211</v>
      </c>
      <c r="B27" s="2" t="n">
        <v>45667</v>
      </c>
      <c r="C27" s="0" t="str">
        <f aca="false">TEXT(B27,"mmm")</f>
        <v>Jan</v>
      </c>
      <c r="D27" s="0" t="str">
        <f aca="false">TEXT(B27,"ddd")</f>
        <v>Fri</v>
      </c>
      <c r="E27" s="3" t="s">
        <v>30</v>
      </c>
      <c r="F27" s="3" t="s">
        <v>31</v>
      </c>
      <c r="G27" s="3" t="s">
        <v>21</v>
      </c>
      <c r="H27" s="3" t="s">
        <v>36</v>
      </c>
      <c r="I27" s="4" t="n">
        <v>564</v>
      </c>
      <c r="J27" s="4" t="n">
        <v>0</v>
      </c>
      <c r="K27" s="4" t="n">
        <v>0</v>
      </c>
      <c r="L27" s="4" t="n">
        <f aca="false">IF(O27="Delivered",I27-J27+K27,0)</f>
        <v>564</v>
      </c>
      <c r="M27" s="0" t="n">
        <v>24</v>
      </c>
      <c r="N27" s="0" t="n">
        <v>4.2</v>
      </c>
      <c r="O27" s="3" t="s">
        <v>17</v>
      </c>
    </row>
    <row r="28" customFormat="false" ht="15" hidden="false" customHeight="false" outlineLevel="0" collapsed="false">
      <c r="A28" s="0" t="s">
        <v>343</v>
      </c>
      <c r="B28" s="2" t="n">
        <v>45667</v>
      </c>
      <c r="C28" s="0" t="str">
        <f aca="false">TEXT(B28,"mmm")</f>
        <v>Jan</v>
      </c>
      <c r="D28" s="0" t="str">
        <f aca="false">TEXT(B28,"ddd")</f>
        <v>Fri</v>
      </c>
      <c r="E28" s="3" t="s">
        <v>30</v>
      </c>
      <c r="F28" s="3" t="s">
        <v>31</v>
      </c>
      <c r="G28" s="3" t="s">
        <v>21</v>
      </c>
      <c r="H28" s="3" t="s">
        <v>1690</v>
      </c>
      <c r="I28" s="4" t="n">
        <v>675</v>
      </c>
      <c r="J28" s="4" t="n">
        <v>0</v>
      </c>
      <c r="K28" s="4" t="n">
        <v>0</v>
      </c>
      <c r="L28" s="4" t="n">
        <f aca="false">IF(O28="Delivered",I28-J28+K28,0)</f>
        <v>675</v>
      </c>
      <c r="M28" s="0" t="n">
        <v>31</v>
      </c>
      <c r="O28" s="3" t="s">
        <v>17</v>
      </c>
    </row>
    <row r="29" customFormat="false" ht="15" hidden="false" customHeight="false" outlineLevel="0" collapsed="false">
      <c r="A29" s="0" t="s">
        <v>136</v>
      </c>
      <c r="B29" s="2" t="n">
        <v>45668</v>
      </c>
      <c r="C29" s="0" t="str">
        <f aca="false">TEXT(B29,"mmm")</f>
        <v>Jan</v>
      </c>
      <c r="D29" s="0" t="str">
        <f aca="false">TEXT(B29,"ddd")</f>
        <v>Sat</v>
      </c>
      <c r="E29" s="3" t="s">
        <v>27</v>
      </c>
      <c r="F29" s="3" t="s">
        <v>28</v>
      </c>
      <c r="G29" s="3" t="s">
        <v>21</v>
      </c>
      <c r="H29" s="3" t="s">
        <v>22</v>
      </c>
      <c r="I29" s="4" t="n">
        <v>548</v>
      </c>
      <c r="J29" s="4" t="n">
        <v>0</v>
      </c>
      <c r="K29" s="4" t="n">
        <v>0</v>
      </c>
      <c r="L29" s="4" t="n">
        <f aca="false">IF(O29="Delivered",I29-J29+K29,0)</f>
        <v>548</v>
      </c>
      <c r="M29" s="0" t="n">
        <v>41</v>
      </c>
      <c r="N29" s="0" t="n">
        <v>5</v>
      </c>
      <c r="O29" s="3" t="s">
        <v>17</v>
      </c>
    </row>
    <row r="30" customFormat="false" ht="15" hidden="false" customHeight="false" outlineLevel="0" collapsed="false">
      <c r="A30" s="0" t="s">
        <v>193</v>
      </c>
      <c r="B30" s="2" t="n">
        <v>45668</v>
      </c>
      <c r="C30" s="0" t="str">
        <f aca="false">TEXT(B30,"mmm")</f>
        <v>Jan</v>
      </c>
      <c r="D30" s="0" t="str">
        <f aca="false">TEXT(B30,"ddd")</f>
        <v>Sat</v>
      </c>
      <c r="E30" s="3" t="s">
        <v>27</v>
      </c>
      <c r="F30" s="3" t="s">
        <v>28</v>
      </c>
      <c r="G30" s="3" t="s">
        <v>15</v>
      </c>
      <c r="H30" s="3" t="s">
        <v>22</v>
      </c>
      <c r="I30" s="4" t="n">
        <v>465</v>
      </c>
      <c r="J30" s="4" t="n">
        <v>0</v>
      </c>
      <c r="K30" s="4" t="n">
        <v>45</v>
      </c>
      <c r="L30" s="4" t="n">
        <f aca="false">IF(O30="Delivered",I30-J30+K30,0)</f>
        <v>510</v>
      </c>
      <c r="M30" s="0" t="n">
        <v>29</v>
      </c>
      <c r="O30" s="3" t="s">
        <v>17</v>
      </c>
    </row>
    <row r="31" customFormat="false" ht="15" hidden="false" customHeight="false" outlineLevel="0" collapsed="false">
      <c r="A31" s="0" t="s">
        <v>298</v>
      </c>
      <c r="B31" s="2" t="n">
        <v>45668</v>
      </c>
      <c r="C31" s="0" t="str">
        <f aca="false">TEXT(B31,"mmm")</f>
        <v>Jan</v>
      </c>
      <c r="D31" s="0" t="str">
        <f aca="false">TEXT(B31,"ddd")</f>
        <v>Sat</v>
      </c>
      <c r="E31" s="3" t="s">
        <v>24</v>
      </c>
      <c r="F31" s="3" t="s">
        <v>28</v>
      </c>
      <c r="G31" s="3" t="s">
        <v>21</v>
      </c>
      <c r="H31" s="3" t="s">
        <v>16</v>
      </c>
      <c r="I31" s="4" t="n">
        <v>460</v>
      </c>
      <c r="J31" s="4" t="n">
        <v>0</v>
      </c>
      <c r="K31" s="4" t="n">
        <v>20</v>
      </c>
      <c r="L31" s="4" t="n">
        <f aca="false">IF(O31="Delivered",I31-J31+K31,0)</f>
        <v>480</v>
      </c>
      <c r="M31" s="0" t="n">
        <v>31</v>
      </c>
      <c r="O31" s="3" t="s">
        <v>17</v>
      </c>
    </row>
    <row r="32" customFormat="false" ht="15" hidden="false" customHeight="false" outlineLevel="0" collapsed="false">
      <c r="A32" s="0" t="s">
        <v>709</v>
      </c>
      <c r="B32" s="2" t="n">
        <v>45668</v>
      </c>
      <c r="C32" s="0" t="str">
        <f aca="false">TEXT(B32,"mmm")</f>
        <v>Jan</v>
      </c>
      <c r="D32" s="0" t="str">
        <f aca="false">TEXT(B32,"ddd")</f>
        <v>Sat</v>
      </c>
      <c r="E32" s="3" t="s">
        <v>27</v>
      </c>
      <c r="F32" s="3" t="s">
        <v>25</v>
      </c>
      <c r="G32" s="3" t="s">
        <v>15</v>
      </c>
      <c r="H32" s="3" t="s">
        <v>16</v>
      </c>
      <c r="I32" s="4" t="n">
        <v>315</v>
      </c>
      <c r="J32" s="4" t="n">
        <v>0</v>
      </c>
      <c r="K32" s="4" t="n">
        <v>45</v>
      </c>
      <c r="L32" s="4" t="n">
        <f aca="false">IF(O32="Delivered",I32-J32+K32,0)</f>
        <v>360</v>
      </c>
      <c r="M32" s="0" t="n">
        <v>41</v>
      </c>
      <c r="O32" s="3" t="s">
        <v>17</v>
      </c>
    </row>
    <row r="33" customFormat="false" ht="15" hidden="false" customHeight="false" outlineLevel="0" collapsed="false">
      <c r="A33" s="0" t="s">
        <v>1013</v>
      </c>
      <c r="B33" s="2" t="n">
        <v>45668</v>
      </c>
      <c r="C33" s="0" t="str">
        <f aca="false">TEXT(B33,"mmm")</f>
        <v>Jan</v>
      </c>
      <c r="D33" s="0" t="str">
        <f aca="false">TEXT(B33,"ddd")</f>
        <v>Sat</v>
      </c>
      <c r="E33" s="3" t="s">
        <v>24</v>
      </c>
      <c r="F33" s="3" t="s">
        <v>25</v>
      </c>
      <c r="G33" s="3" t="s">
        <v>21</v>
      </c>
      <c r="H33" s="3" t="s">
        <v>16</v>
      </c>
      <c r="I33" s="4" t="n">
        <v>491</v>
      </c>
      <c r="J33" s="4" t="n">
        <v>0</v>
      </c>
      <c r="K33" s="4" t="n">
        <v>30</v>
      </c>
      <c r="L33" s="4" t="n">
        <f aca="false">IF(O33="Delivered",I33-J33+K33,0)</f>
        <v>521</v>
      </c>
      <c r="M33" s="0" t="n">
        <v>32</v>
      </c>
      <c r="N33" s="0" t="n">
        <v>5</v>
      </c>
      <c r="O33" s="3" t="s">
        <v>17</v>
      </c>
    </row>
    <row r="34" customFormat="false" ht="15" hidden="false" customHeight="false" outlineLevel="0" collapsed="false">
      <c r="A34" s="0" t="s">
        <v>1223</v>
      </c>
      <c r="B34" s="2" t="n">
        <v>45668</v>
      </c>
      <c r="C34" s="0" t="str">
        <f aca="false">TEXT(B34,"mmm")</f>
        <v>Jan</v>
      </c>
      <c r="D34" s="0" t="str">
        <f aca="false">TEXT(B34,"ddd")</f>
        <v>Sat</v>
      </c>
      <c r="E34" s="3" t="s">
        <v>13</v>
      </c>
      <c r="F34" s="3" t="s">
        <v>49</v>
      </c>
      <c r="G34" s="3" t="s">
        <v>15</v>
      </c>
      <c r="H34" s="3" t="s">
        <v>16</v>
      </c>
      <c r="I34" s="4" t="n">
        <v>477</v>
      </c>
      <c r="J34" s="4" t="n">
        <v>81</v>
      </c>
      <c r="K34" s="4" t="n">
        <v>30</v>
      </c>
      <c r="L34" s="4" t="n">
        <f aca="false">IF(O34="Delivered",I34-J34+K34,0)</f>
        <v>426</v>
      </c>
      <c r="M34" s="0" t="n">
        <v>35</v>
      </c>
      <c r="N34" s="0" t="n">
        <v>4.3</v>
      </c>
      <c r="O34" s="3" t="s">
        <v>17</v>
      </c>
    </row>
    <row r="35" customFormat="false" ht="15" hidden="false" customHeight="false" outlineLevel="0" collapsed="false">
      <c r="A35" s="0" t="s">
        <v>1530</v>
      </c>
      <c r="B35" s="2" t="n">
        <v>45668</v>
      </c>
      <c r="C35" s="0" t="str">
        <f aca="false">TEXT(B35,"mmm")</f>
        <v>Jan</v>
      </c>
      <c r="D35" s="0" t="str">
        <f aca="false">TEXT(B35,"ddd")</f>
        <v>Sat</v>
      </c>
      <c r="E35" s="3" t="s">
        <v>51</v>
      </c>
      <c r="F35" s="3" t="s">
        <v>28</v>
      </c>
      <c r="G35" s="3" t="s">
        <v>21</v>
      </c>
      <c r="H35" s="3" t="s">
        <v>22</v>
      </c>
      <c r="I35" s="4" t="n">
        <v>505</v>
      </c>
      <c r="J35" s="4" t="n">
        <v>108</v>
      </c>
      <c r="K35" s="4" t="n">
        <v>0</v>
      </c>
      <c r="L35" s="4" t="n">
        <f aca="false">IF(O35="Delivered",I35-J35+K35,0)</f>
        <v>397</v>
      </c>
      <c r="M35" s="0" t="n">
        <v>30</v>
      </c>
      <c r="N35" s="0" t="n">
        <v>5</v>
      </c>
      <c r="O35" s="3" t="s">
        <v>17</v>
      </c>
    </row>
    <row r="36" customFormat="false" ht="15" hidden="false" customHeight="false" outlineLevel="0" collapsed="false">
      <c r="A36" s="0" t="s">
        <v>1368</v>
      </c>
      <c r="B36" s="2" t="n">
        <v>45669</v>
      </c>
      <c r="C36" s="0" t="str">
        <f aca="false">TEXT(B36,"mmm")</f>
        <v>Jan</v>
      </c>
      <c r="D36" s="0" t="str">
        <f aca="false">TEXT(B36,"ddd")</f>
        <v>Sun</v>
      </c>
      <c r="E36" s="3" t="s">
        <v>13</v>
      </c>
      <c r="F36" s="3" t="s">
        <v>28</v>
      </c>
      <c r="G36" s="3" t="s">
        <v>21</v>
      </c>
      <c r="H36" s="3" t="s">
        <v>34</v>
      </c>
      <c r="I36" s="4" t="n">
        <v>520</v>
      </c>
      <c r="J36" s="4" t="n">
        <v>0</v>
      </c>
      <c r="K36" s="4" t="n">
        <v>0</v>
      </c>
      <c r="L36" s="4" t="n">
        <f aca="false">IF(O36="Delivered",I36-J36+K36,0)</f>
        <v>520</v>
      </c>
      <c r="M36" s="0" t="n">
        <v>19</v>
      </c>
      <c r="N36" s="0" t="n">
        <v>4.5</v>
      </c>
      <c r="O36" s="3" t="s">
        <v>17</v>
      </c>
    </row>
    <row r="37" customFormat="false" ht="15" hidden="false" customHeight="false" outlineLevel="0" collapsed="false">
      <c r="A37" s="0" t="s">
        <v>1487</v>
      </c>
      <c r="B37" s="2" t="n">
        <v>45669</v>
      </c>
      <c r="C37" s="0" t="str">
        <f aca="false">TEXT(B37,"mmm")</f>
        <v>Jan</v>
      </c>
      <c r="D37" s="0" t="str">
        <f aca="false">TEXT(B37,"ddd")</f>
        <v>Sun</v>
      </c>
      <c r="E37" s="3" t="s">
        <v>27</v>
      </c>
      <c r="F37" s="3" t="s">
        <v>28</v>
      </c>
      <c r="G37" s="3" t="s">
        <v>15</v>
      </c>
      <c r="H37" s="3" t="s">
        <v>54</v>
      </c>
      <c r="I37" s="4" t="n">
        <v>520</v>
      </c>
      <c r="J37" s="4" t="n">
        <v>79</v>
      </c>
      <c r="K37" s="4" t="n">
        <v>0</v>
      </c>
      <c r="L37" s="4" t="n">
        <f aca="false">IF(O37="Delivered",I37-J37+K37,0)</f>
        <v>441</v>
      </c>
      <c r="M37" s="0" t="n">
        <v>35</v>
      </c>
      <c r="N37" s="0" t="n">
        <v>4.3</v>
      </c>
      <c r="O37" s="3" t="s">
        <v>17</v>
      </c>
    </row>
    <row r="38" customFormat="false" ht="15" hidden="false" customHeight="false" outlineLevel="0" collapsed="false">
      <c r="A38" s="0" t="s">
        <v>508</v>
      </c>
      <c r="B38" s="2" t="n">
        <v>45670</v>
      </c>
      <c r="C38" s="0" t="str">
        <f aca="false">TEXT(B38,"mmm")</f>
        <v>Jan</v>
      </c>
      <c r="D38" s="0" t="str">
        <f aca="false">TEXT(B38,"ddd")</f>
        <v>Mon</v>
      </c>
      <c r="E38" s="3" t="s">
        <v>40</v>
      </c>
      <c r="F38" s="3" t="s">
        <v>25</v>
      </c>
      <c r="G38" s="3" t="s">
        <v>15</v>
      </c>
      <c r="H38" s="3" t="s">
        <v>16</v>
      </c>
      <c r="I38" s="4" t="n">
        <v>551</v>
      </c>
      <c r="J38" s="4" t="n">
        <v>115</v>
      </c>
      <c r="K38" s="4" t="n">
        <v>0</v>
      </c>
      <c r="L38" s="4" t="n">
        <f aca="false">IF(O38="Delivered",I38-J38+K38,0)</f>
        <v>436</v>
      </c>
      <c r="M38" s="0" t="n">
        <v>36</v>
      </c>
      <c r="N38" s="0" t="n">
        <v>5</v>
      </c>
      <c r="O38" s="3" t="s">
        <v>17</v>
      </c>
    </row>
    <row r="39" customFormat="false" ht="15" hidden="false" customHeight="false" outlineLevel="0" collapsed="false">
      <c r="A39" s="0" t="s">
        <v>772</v>
      </c>
      <c r="B39" s="2" t="n">
        <v>45670</v>
      </c>
      <c r="C39" s="0" t="str">
        <f aca="false">TEXT(B39,"mmm")</f>
        <v>Jan</v>
      </c>
      <c r="D39" s="0" t="str">
        <f aca="false">TEXT(B39,"ddd")</f>
        <v>Mon</v>
      </c>
      <c r="E39" s="3" t="s">
        <v>40</v>
      </c>
      <c r="F39" s="3" t="s">
        <v>14</v>
      </c>
      <c r="G39" s="3" t="s">
        <v>15</v>
      </c>
      <c r="H39" s="3" t="s">
        <v>22</v>
      </c>
      <c r="I39" s="4" t="n">
        <v>228</v>
      </c>
      <c r="J39" s="4" t="n">
        <v>0</v>
      </c>
      <c r="K39" s="4" t="n">
        <v>20</v>
      </c>
      <c r="L39" s="4" t="n">
        <f aca="false">IF(O39="Delivered",I39-J39+K39,0)</f>
        <v>248</v>
      </c>
      <c r="M39" s="0" t="n">
        <v>38</v>
      </c>
      <c r="N39" s="0" t="n">
        <v>4.1</v>
      </c>
      <c r="O39" s="3" t="s">
        <v>17</v>
      </c>
    </row>
    <row r="40" customFormat="false" ht="15" hidden="false" customHeight="false" outlineLevel="0" collapsed="false">
      <c r="A40" s="0" t="s">
        <v>118</v>
      </c>
      <c r="B40" s="2" t="n">
        <v>45671</v>
      </c>
      <c r="C40" s="0" t="str">
        <f aca="false">TEXT(B40,"mmm")</f>
        <v>Jan</v>
      </c>
      <c r="D40" s="0" t="str">
        <f aca="false">TEXT(B40,"ddd")</f>
        <v>Tue</v>
      </c>
      <c r="E40" s="3" t="s">
        <v>27</v>
      </c>
      <c r="F40" s="3" t="s">
        <v>28</v>
      </c>
      <c r="G40" s="3" t="s">
        <v>21</v>
      </c>
      <c r="H40" s="3" t="s">
        <v>22</v>
      </c>
      <c r="I40" s="4" t="n">
        <v>430</v>
      </c>
      <c r="J40" s="4" t="n">
        <v>0</v>
      </c>
      <c r="K40" s="4" t="n">
        <v>45</v>
      </c>
      <c r="L40" s="4" t="n">
        <f aca="false">IF(O40="Delivered",I40-J40+K40,0)</f>
        <v>475</v>
      </c>
      <c r="M40" s="0" t="n">
        <v>41</v>
      </c>
      <c r="N40" s="0" t="n">
        <v>4.9</v>
      </c>
      <c r="O40" s="3" t="s">
        <v>17</v>
      </c>
    </row>
    <row r="41" customFormat="false" ht="15" hidden="false" customHeight="false" outlineLevel="0" collapsed="false">
      <c r="A41" s="0" t="s">
        <v>900</v>
      </c>
      <c r="B41" s="2" t="n">
        <v>45671</v>
      </c>
      <c r="C41" s="0" t="str">
        <f aca="false">TEXT(B41,"mmm")</f>
        <v>Jan</v>
      </c>
      <c r="D41" s="0" t="str">
        <f aca="false">TEXT(B41,"ddd")</f>
        <v>Tue</v>
      </c>
      <c r="E41" s="3" t="s">
        <v>27</v>
      </c>
      <c r="F41" s="3" t="s">
        <v>25</v>
      </c>
      <c r="G41" s="3" t="s">
        <v>21</v>
      </c>
      <c r="H41" s="3" t="s">
        <v>16</v>
      </c>
      <c r="I41" s="4" t="n">
        <v>536</v>
      </c>
      <c r="J41" s="4" t="n">
        <v>0</v>
      </c>
      <c r="K41" s="4" t="n">
        <v>0</v>
      </c>
      <c r="L41" s="4" t="n">
        <f aca="false">IF(O41="Delivered",I41-J41+K41,0)</f>
        <v>536</v>
      </c>
      <c r="M41" s="0" t="n">
        <v>32</v>
      </c>
      <c r="N41" s="0" t="n">
        <v>4.4</v>
      </c>
      <c r="O41" s="3" t="s">
        <v>17</v>
      </c>
    </row>
    <row r="42" customFormat="false" ht="15" hidden="false" customHeight="false" outlineLevel="0" collapsed="false">
      <c r="A42" s="0" t="s">
        <v>929</v>
      </c>
      <c r="B42" s="2" t="n">
        <v>45671</v>
      </c>
      <c r="C42" s="0" t="str">
        <f aca="false">TEXT(B42,"mmm")</f>
        <v>Jan</v>
      </c>
      <c r="D42" s="0" t="str">
        <f aca="false">TEXT(B42,"ddd")</f>
        <v>Tue</v>
      </c>
      <c r="E42" s="3" t="s">
        <v>24</v>
      </c>
      <c r="F42" s="3" t="s">
        <v>20</v>
      </c>
      <c r="G42" s="3" t="s">
        <v>21</v>
      </c>
      <c r="H42" s="3" t="s">
        <v>34</v>
      </c>
      <c r="I42" s="4" t="n">
        <v>491</v>
      </c>
      <c r="J42" s="4" t="n">
        <v>58</v>
      </c>
      <c r="K42" s="4" t="n">
        <v>20</v>
      </c>
      <c r="L42" s="4" t="n">
        <f aca="false">IF(O42="Delivered",I42-J42+K42,0)</f>
        <v>453</v>
      </c>
      <c r="M42" s="0" t="n">
        <v>39</v>
      </c>
      <c r="N42" s="0" t="n">
        <v>4.2</v>
      </c>
      <c r="O42" s="3" t="s">
        <v>17</v>
      </c>
    </row>
    <row r="43" customFormat="false" ht="15" hidden="false" customHeight="false" outlineLevel="0" collapsed="false">
      <c r="A43" s="0" t="s">
        <v>1121</v>
      </c>
      <c r="B43" s="2" t="n">
        <v>45671</v>
      </c>
      <c r="C43" s="0" t="str">
        <f aca="false">TEXT(B43,"mmm")</f>
        <v>Jan</v>
      </c>
      <c r="D43" s="0" t="str">
        <f aca="false">TEXT(B43,"ddd")</f>
        <v>Tue</v>
      </c>
      <c r="E43" s="3" t="s">
        <v>45</v>
      </c>
      <c r="F43" s="3" t="s">
        <v>31</v>
      </c>
      <c r="G43" s="3" t="s">
        <v>15</v>
      </c>
      <c r="H43" s="3" t="s">
        <v>22</v>
      </c>
      <c r="I43" s="4" t="n">
        <v>579</v>
      </c>
      <c r="J43" s="4" t="n">
        <v>103</v>
      </c>
      <c r="K43" s="4" t="n">
        <v>0</v>
      </c>
      <c r="L43" s="4" t="n">
        <f aca="false">IF(O43="Delivered",I43-J43+K43,0)</f>
        <v>476</v>
      </c>
      <c r="M43" s="0" t="n">
        <v>12</v>
      </c>
      <c r="N43" s="0" t="n">
        <v>4.5</v>
      </c>
      <c r="O43" s="3" t="s">
        <v>17</v>
      </c>
    </row>
    <row r="44" customFormat="false" ht="15" hidden="false" customHeight="false" outlineLevel="0" collapsed="false">
      <c r="A44" s="0" t="s">
        <v>1320</v>
      </c>
      <c r="B44" s="2" t="n">
        <v>45673</v>
      </c>
      <c r="C44" s="0" t="str">
        <f aca="false">TEXT(B44,"mmm")</f>
        <v>Jan</v>
      </c>
      <c r="D44" s="0" t="str">
        <f aca="false">TEXT(B44,"ddd")</f>
        <v>Thu</v>
      </c>
      <c r="E44" s="3" t="s">
        <v>45</v>
      </c>
      <c r="F44" s="3" t="s">
        <v>56</v>
      </c>
      <c r="G44" s="3" t="s">
        <v>21</v>
      </c>
      <c r="H44" s="3" t="s">
        <v>34</v>
      </c>
      <c r="I44" s="4" t="n">
        <v>396</v>
      </c>
      <c r="J44" s="4" t="n">
        <v>0</v>
      </c>
      <c r="K44" s="4" t="n">
        <v>40</v>
      </c>
      <c r="L44" s="4" t="n">
        <f aca="false">IF(O44="Delivered",I44-J44+K44,0)</f>
        <v>436</v>
      </c>
      <c r="M44" s="0" t="n">
        <v>36</v>
      </c>
      <c r="N44" s="0" t="n">
        <v>4.3</v>
      </c>
      <c r="O44" s="3" t="s">
        <v>17</v>
      </c>
    </row>
    <row r="45" customFormat="false" ht="15" hidden="false" customHeight="false" outlineLevel="0" collapsed="false">
      <c r="A45" s="0" t="s">
        <v>1613</v>
      </c>
      <c r="B45" s="2" t="n">
        <v>45673</v>
      </c>
      <c r="C45" s="0" t="str">
        <f aca="false">TEXT(B45,"mmm")</f>
        <v>Jan</v>
      </c>
      <c r="D45" s="0" t="str">
        <f aca="false">TEXT(B45,"ddd")</f>
        <v>Thu</v>
      </c>
      <c r="E45" s="3" t="s">
        <v>27</v>
      </c>
      <c r="F45" s="3" t="s">
        <v>14</v>
      </c>
      <c r="G45" s="3" t="s">
        <v>15</v>
      </c>
      <c r="H45" s="3" t="s">
        <v>36</v>
      </c>
      <c r="I45" s="4" t="n">
        <v>213</v>
      </c>
      <c r="J45" s="4" t="n">
        <v>0</v>
      </c>
      <c r="K45" s="4" t="n">
        <v>45</v>
      </c>
      <c r="L45" s="4" t="n">
        <f aca="false">IF(O45="Delivered",I45-J45+K45,0)</f>
        <v>258</v>
      </c>
      <c r="M45" s="0" t="n">
        <v>34</v>
      </c>
      <c r="N45" s="0" t="n">
        <v>4.1</v>
      </c>
      <c r="O45" s="3" t="s">
        <v>17</v>
      </c>
    </row>
    <row r="46" customFormat="false" ht="15" hidden="false" customHeight="false" outlineLevel="0" collapsed="false">
      <c r="A46" s="0" t="s">
        <v>226</v>
      </c>
      <c r="B46" s="2" t="n">
        <v>45674</v>
      </c>
      <c r="C46" s="0" t="str">
        <f aca="false">TEXT(B46,"mmm")</f>
        <v>Jan</v>
      </c>
      <c r="D46" s="0" t="str">
        <f aca="false">TEXT(B46,"ddd")</f>
        <v>Fri</v>
      </c>
      <c r="E46" s="3" t="s">
        <v>24</v>
      </c>
      <c r="F46" s="3" t="s">
        <v>28</v>
      </c>
      <c r="G46" s="3" t="s">
        <v>15</v>
      </c>
      <c r="H46" s="3" t="s">
        <v>34</v>
      </c>
      <c r="I46" s="4" t="n">
        <v>489</v>
      </c>
      <c r="J46" s="4" t="n">
        <v>90</v>
      </c>
      <c r="K46" s="4" t="n">
        <v>40</v>
      </c>
      <c r="L46" s="4" t="n">
        <f aca="false">IF(O46="Delivered",I46-J46+K46,0)</f>
        <v>439</v>
      </c>
      <c r="M46" s="0" t="n">
        <v>26</v>
      </c>
      <c r="N46" s="0" t="n">
        <v>5</v>
      </c>
      <c r="O46" s="3" t="s">
        <v>17</v>
      </c>
    </row>
    <row r="47" customFormat="false" ht="15" hidden="false" customHeight="false" outlineLevel="0" collapsed="false">
      <c r="A47" s="0" t="s">
        <v>515</v>
      </c>
      <c r="B47" s="2" t="n">
        <v>45674</v>
      </c>
      <c r="C47" s="0" t="str">
        <f aca="false">TEXT(B47,"mmm")</f>
        <v>Jan</v>
      </c>
      <c r="D47" s="0" t="str">
        <f aca="false">TEXT(B47,"ddd")</f>
        <v>Fri</v>
      </c>
      <c r="E47" s="3" t="s">
        <v>24</v>
      </c>
      <c r="F47" s="3" t="s">
        <v>25</v>
      </c>
      <c r="G47" s="3" t="s">
        <v>15</v>
      </c>
      <c r="H47" s="3" t="s">
        <v>16</v>
      </c>
      <c r="I47" s="4" t="n">
        <v>614</v>
      </c>
      <c r="J47" s="4" t="n">
        <v>120</v>
      </c>
      <c r="K47" s="4" t="n">
        <v>0</v>
      </c>
      <c r="L47" s="4" t="n">
        <f aca="false">IF(O47="Delivered",I47-J47+K47,0)</f>
        <v>494</v>
      </c>
      <c r="M47" s="0" t="n">
        <v>44</v>
      </c>
      <c r="N47" s="0" t="n">
        <v>3.9</v>
      </c>
      <c r="O47" s="3" t="s">
        <v>17</v>
      </c>
    </row>
    <row r="48" customFormat="false" ht="15" hidden="false" customHeight="false" outlineLevel="0" collapsed="false">
      <c r="A48" s="0" t="s">
        <v>589</v>
      </c>
      <c r="B48" s="2" t="n">
        <v>45674</v>
      </c>
      <c r="C48" s="0" t="str">
        <f aca="false">TEXT(B48,"mmm")</f>
        <v>Jan</v>
      </c>
      <c r="D48" s="0" t="str">
        <f aca="false">TEXT(B48,"ddd")</f>
        <v>Fri</v>
      </c>
      <c r="E48" s="3" t="s">
        <v>27</v>
      </c>
      <c r="F48" s="3" t="s">
        <v>28</v>
      </c>
      <c r="G48" s="3" t="s">
        <v>15</v>
      </c>
      <c r="H48" s="3" t="s">
        <v>54</v>
      </c>
      <c r="I48" s="4" t="n">
        <v>440</v>
      </c>
      <c r="J48" s="4" t="n">
        <v>0</v>
      </c>
      <c r="K48" s="4" t="n">
        <v>30</v>
      </c>
      <c r="L48" s="4" t="n">
        <f aca="false">IF(O48="Delivered",I48-J48+K48,0)</f>
        <v>470</v>
      </c>
      <c r="M48" s="0" t="n">
        <v>49</v>
      </c>
      <c r="N48" s="0" t="n">
        <v>4.1</v>
      </c>
      <c r="O48" s="3" t="s">
        <v>17</v>
      </c>
    </row>
    <row r="49" customFormat="false" ht="15" hidden="false" customHeight="false" outlineLevel="0" collapsed="false">
      <c r="A49" s="0" t="s">
        <v>754</v>
      </c>
      <c r="B49" s="2" t="n">
        <v>45674</v>
      </c>
      <c r="C49" s="0" t="str">
        <f aca="false">TEXT(B49,"mmm")</f>
        <v>Jan</v>
      </c>
      <c r="D49" s="0" t="str">
        <f aca="false">TEXT(B49,"ddd")</f>
        <v>Fri</v>
      </c>
      <c r="E49" s="3" t="s">
        <v>19</v>
      </c>
      <c r="F49" s="3" t="s">
        <v>20</v>
      </c>
      <c r="G49" s="3" t="s">
        <v>15</v>
      </c>
      <c r="H49" s="3" t="s">
        <v>54</v>
      </c>
      <c r="I49" s="4" t="n">
        <v>407</v>
      </c>
      <c r="J49" s="4" t="n">
        <v>77</v>
      </c>
      <c r="K49" s="4" t="n">
        <v>20</v>
      </c>
      <c r="L49" s="4" t="n">
        <f aca="false">IF(O49="Delivered",I49-J49+K49,0)</f>
        <v>350</v>
      </c>
      <c r="M49" s="0" t="n">
        <v>32</v>
      </c>
      <c r="N49" s="0" t="n">
        <v>4.4</v>
      </c>
      <c r="O49" s="3" t="s">
        <v>17</v>
      </c>
    </row>
    <row r="50" customFormat="false" ht="15" hidden="false" customHeight="false" outlineLevel="0" collapsed="false">
      <c r="A50" s="0" t="s">
        <v>851</v>
      </c>
      <c r="B50" s="2" t="n">
        <v>45674</v>
      </c>
      <c r="C50" s="0" t="str">
        <f aca="false">TEXT(B50,"mmm")</f>
        <v>Jan</v>
      </c>
      <c r="D50" s="0" t="str">
        <f aca="false">TEXT(B50,"ddd")</f>
        <v>Fri</v>
      </c>
      <c r="E50" s="3" t="s">
        <v>27</v>
      </c>
      <c r="F50" s="3" t="s">
        <v>14</v>
      </c>
      <c r="G50" s="3" t="s">
        <v>15</v>
      </c>
      <c r="H50" s="3" t="s">
        <v>22</v>
      </c>
      <c r="I50" s="4" t="n">
        <v>215</v>
      </c>
      <c r="J50" s="4" t="n">
        <v>0</v>
      </c>
      <c r="K50" s="4" t="n">
        <v>30</v>
      </c>
      <c r="L50" s="4" t="n">
        <f aca="false">IF(O50="Delivered",I50-J50+K50,0)</f>
        <v>245</v>
      </c>
      <c r="M50" s="0" t="n">
        <v>47</v>
      </c>
      <c r="N50" s="0" t="n">
        <v>3.7</v>
      </c>
      <c r="O50" s="3" t="s">
        <v>17</v>
      </c>
    </row>
    <row r="51" customFormat="false" ht="15" hidden="false" customHeight="false" outlineLevel="0" collapsed="false">
      <c r="A51" s="0" t="s">
        <v>1557</v>
      </c>
      <c r="B51" s="2" t="n">
        <v>45674</v>
      </c>
      <c r="C51" s="0" t="str">
        <f aca="false">TEXT(B51,"mmm")</f>
        <v>Jan</v>
      </c>
      <c r="D51" s="0" t="str">
        <f aca="false">TEXT(B51,"ddd")</f>
        <v>Fri</v>
      </c>
      <c r="E51" s="3" t="s">
        <v>40</v>
      </c>
      <c r="F51" s="3" t="s">
        <v>25</v>
      </c>
      <c r="G51" s="3" t="s">
        <v>15</v>
      </c>
      <c r="H51" s="3" t="s">
        <v>22</v>
      </c>
      <c r="I51" s="4" t="n">
        <v>465</v>
      </c>
      <c r="J51" s="4" t="n">
        <v>97</v>
      </c>
      <c r="K51" s="4" t="n">
        <v>45</v>
      </c>
      <c r="L51" s="4" t="n">
        <f aca="false">IF(O51="Delivered",I51-J51+K51,0)</f>
        <v>413</v>
      </c>
      <c r="M51" s="0" t="n">
        <v>29</v>
      </c>
      <c r="N51" s="0" t="n">
        <v>4</v>
      </c>
      <c r="O51" s="3" t="s">
        <v>17</v>
      </c>
    </row>
    <row r="52" customFormat="false" ht="15" hidden="false" customHeight="false" outlineLevel="0" collapsed="false">
      <c r="A52" s="0" t="s">
        <v>529</v>
      </c>
      <c r="B52" s="2" t="n">
        <v>45675</v>
      </c>
      <c r="C52" s="0" t="str">
        <f aca="false">TEXT(B52,"mmm")</f>
        <v>Jan</v>
      </c>
      <c r="D52" s="0" t="str">
        <f aca="false">TEXT(B52,"ddd")</f>
        <v>Sat</v>
      </c>
      <c r="E52" s="3" t="s">
        <v>13</v>
      </c>
      <c r="F52" s="3" t="s">
        <v>31</v>
      </c>
      <c r="G52" s="3" t="s">
        <v>21</v>
      </c>
      <c r="H52" s="3" t="s">
        <v>34</v>
      </c>
      <c r="I52" s="4" t="n">
        <v>538</v>
      </c>
      <c r="J52" s="4" t="n">
        <v>122</v>
      </c>
      <c r="K52" s="4" t="n">
        <v>0</v>
      </c>
      <c r="L52" s="4" t="n">
        <f aca="false">IF(O52="Delivered",I52-J52+K52,0)</f>
        <v>416</v>
      </c>
      <c r="M52" s="0" t="n">
        <v>25</v>
      </c>
      <c r="N52" s="0" t="n">
        <v>4.1</v>
      </c>
      <c r="O52" s="3" t="s">
        <v>17</v>
      </c>
    </row>
    <row r="53" customFormat="false" ht="15" hidden="false" customHeight="false" outlineLevel="0" collapsed="false">
      <c r="A53" s="0" t="s">
        <v>1170</v>
      </c>
      <c r="B53" s="2" t="n">
        <v>45675</v>
      </c>
      <c r="C53" s="0" t="str">
        <f aca="false">TEXT(B53,"mmm")</f>
        <v>Jan</v>
      </c>
      <c r="D53" s="0" t="str">
        <f aca="false">TEXT(B53,"ddd")</f>
        <v>Sat</v>
      </c>
      <c r="E53" s="3" t="s">
        <v>27</v>
      </c>
      <c r="F53" s="3" t="s">
        <v>31</v>
      </c>
      <c r="G53" s="3" t="s">
        <v>15</v>
      </c>
      <c r="H53" s="3" t="s">
        <v>22</v>
      </c>
      <c r="I53" s="4" t="n">
        <v>674</v>
      </c>
      <c r="J53" s="4" t="n">
        <v>0</v>
      </c>
      <c r="K53" s="4" t="n">
        <v>0</v>
      </c>
      <c r="L53" s="4" t="n">
        <f aca="false">IF(O53="Delivered",I53-J53+K53,0)</f>
        <v>674</v>
      </c>
      <c r="M53" s="0" t="n">
        <v>46</v>
      </c>
      <c r="N53" s="0" t="n">
        <v>4.3</v>
      </c>
      <c r="O53" s="3" t="s">
        <v>17</v>
      </c>
    </row>
    <row r="54" customFormat="false" ht="15" hidden="false" customHeight="false" outlineLevel="0" collapsed="false">
      <c r="A54" s="0" t="s">
        <v>1484</v>
      </c>
      <c r="B54" s="2" t="n">
        <v>45675</v>
      </c>
      <c r="C54" s="0" t="str">
        <f aca="false">TEXT(B54,"mmm")</f>
        <v>Jan</v>
      </c>
      <c r="D54" s="0" t="str">
        <f aca="false">TEXT(B54,"ddd")</f>
        <v>Sat</v>
      </c>
      <c r="E54" s="3" t="s">
        <v>40</v>
      </c>
      <c r="F54" s="3" t="s">
        <v>31</v>
      </c>
      <c r="G54" s="3" t="s">
        <v>21</v>
      </c>
      <c r="H54" s="3" t="s">
        <v>22</v>
      </c>
      <c r="I54" s="4" t="n">
        <v>325</v>
      </c>
      <c r="J54" s="4" t="n">
        <v>50</v>
      </c>
      <c r="K54" s="4" t="n">
        <v>30</v>
      </c>
      <c r="L54" s="4" t="n">
        <f aca="false">IF(O54="Delivered",I54-J54+K54,0)</f>
        <v>305</v>
      </c>
      <c r="M54" s="0" t="n">
        <v>49</v>
      </c>
      <c r="N54" s="0" t="n">
        <v>3.5</v>
      </c>
      <c r="O54" s="3" t="s">
        <v>17</v>
      </c>
    </row>
    <row r="55" customFormat="false" ht="15" hidden="false" customHeight="false" outlineLevel="0" collapsed="false">
      <c r="A55" s="0" t="s">
        <v>1538</v>
      </c>
      <c r="B55" s="2" t="n">
        <v>45675</v>
      </c>
      <c r="C55" s="0" t="str">
        <f aca="false">TEXT(B55,"mmm")</f>
        <v>Jan</v>
      </c>
      <c r="D55" s="0" t="str">
        <f aca="false">TEXT(B55,"ddd")</f>
        <v>Sat</v>
      </c>
      <c r="E55" s="3" t="s">
        <v>40</v>
      </c>
      <c r="F55" s="3" t="s">
        <v>78</v>
      </c>
      <c r="G55" s="3" t="s">
        <v>21</v>
      </c>
      <c r="H55" s="3" t="s">
        <v>36</v>
      </c>
      <c r="I55" s="4" t="n">
        <v>294</v>
      </c>
      <c r="J55" s="4" t="n">
        <v>0</v>
      </c>
      <c r="K55" s="4" t="n">
        <v>30</v>
      </c>
      <c r="L55" s="4" t="n">
        <f aca="false">IF(O55="Delivered",I55-J55+K55,0)</f>
        <v>324</v>
      </c>
      <c r="M55" s="0" t="n">
        <v>36</v>
      </c>
      <c r="N55" s="0" t="n">
        <v>4.6</v>
      </c>
      <c r="O55" s="3" t="s">
        <v>17</v>
      </c>
    </row>
    <row r="56" customFormat="false" ht="15" hidden="false" customHeight="false" outlineLevel="0" collapsed="false">
      <c r="A56" s="0" t="s">
        <v>1561</v>
      </c>
      <c r="B56" s="2" t="n">
        <v>45675</v>
      </c>
      <c r="C56" s="0" t="str">
        <f aca="false">TEXT(B56,"mmm")</f>
        <v>Jan</v>
      </c>
      <c r="D56" s="0" t="str">
        <f aca="false">TEXT(B56,"ddd")</f>
        <v>Sat</v>
      </c>
      <c r="E56" s="3" t="s">
        <v>24</v>
      </c>
      <c r="F56" s="3" t="s">
        <v>49</v>
      </c>
      <c r="G56" s="3" t="s">
        <v>15</v>
      </c>
      <c r="H56" s="3" t="s">
        <v>36</v>
      </c>
      <c r="I56" s="4" t="n">
        <v>435</v>
      </c>
      <c r="J56" s="4" t="n">
        <v>0</v>
      </c>
      <c r="K56" s="4" t="n">
        <v>30</v>
      </c>
      <c r="L56" s="4" t="n">
        <f aca="false">IF(O56="Delivered",I56-J56+K56,0)</f>
        <v>465</v>
      </c>
      <c r="M56" s="0" t="n">
        <v>44</v>
      </c>
      <c r="N56" s="0" t="n">
        <v>4.2</v>
      </c>
      <c r="O56" s="3" t="s">
        <v>17</v>
      </c>
    </row>
    <row r="57" customFormat="false" ht="15" hidden="false" customHeight="false" outlineLevel="0" collapsed="false">
      <c r="A57" s="0" t="s">
        <v>180</v>
      </c>
      <c r="B57" s="2" t="n">
        <v>45676</v>
      </c>
      <c r="C57" s="0" t="str">
        <f aca="false">TEXT(B57,"mmm")</f>
        <v>Jan</v>
      </c>
      <c r="D57" s="0" t="str">
        <f aca="false">TEXT(B57,"ddd")</f>
        <v>Sun</v>
      </c>
      <c r="E57" s="3" t="s">
        <v>24</v>
      </c>
      <c r="F57" s="3" t="s">
        <v>31</v>
      </c>
      <c r="G57" s="3" t="s">
        <v>15</v>
      </c>
      <c r="H57" s="3" t="s">
        <v>22</v>
      </c>
      <c r="I57" s="4" t="n">
        <v>451</v>
      </c>
      <c r="J57" s="4" t="n">
        <v>49</v>
      </c>
      <c r="K57" s="4" t="n">
        <v>30</v>
      </c>
      <c r="L57" s="4" t="n">
        <f aca="false">IF(O57="Delivered",I57-J57+K57,0)</f>
        <v>432</v>
      </c>
      <c r="M57" s="0" t="n">
        <v>29</v>
      </c>
      <c r="N57" s="0" t="n">
        <v>5</v>
      </c>
      <c r="O57" s="3" t="s">
        <v>17</v>
      </c>
    </row>
    <row r="58" customFormat="false" ht="15" hidden="false" customHeight="false" outlineLevel="0" collapsed="false">
      <c r="A58" s="0" t="s">
        <v>547</v>
      </c>
      <c r="B58" s="2" t="n">
        <v>45676</v>
      </c>
      <c r="C58" s="0" t="str">
        <f aca="false">TEXT(B58,"mmm")</f>
        <v>Jan</v>
      </c>
      <c r="D58" s="0" t="str">
        <f aca="false">TEXT(B58,"ddd")</f>
        <v>Sun</v>
      </c>
      <c r="E58" s="3" t="s">
        <v>51</v>
      </c>
      <c r="F58" s="3" t="s">
        <v>28</v>
      </c>
      <c r="G58" s="3" t="s">
        <v>15</v>
      </c>
      <c r="H58" s="3" t="s">
        <v>22</v>
      </c>
      <c r="I58" s="4" t="n">
        <v>573</v>
      </c>
      <c r="J58" s="4" t="n">
        <v>0</v>
      </c>
      <c r="K58" s="4" t="n">
        <v>0</v>
      </c>
      <c r="L58" s="4" t="n">
        <f aca="false">IF(O58="Delivered",I58-J58+K58,0)</f>
        <v>573</v>
      </c>
      <c r="M58" s="0" t="n">
        <v>30</v>
      </c>
      <c r="N58" s="0" t="n">
        <v>4.5</v>
      </c>
      <c r="O58" s="3" t="s">
        <v>17</v>
      </c>
    </row>
    <row r="59" customFormat="false" ht="15" hidden="false" customHeight="false" outlineLevel="0" collapsed="false">
      <c r="A59" s="0" t="s">
        <v>741</v>
      </c>
      <c r="B59" s="2" t="n">
        <v>45676</v>
      </c>
      <c r="C59" s="0" t="str">
        <f aca="false">TEXT(B59,"mmm")</f>
        <v>Jan</v>
      </c>
      <c r="D59" s="0" t="str">
        <f aca="false">TEXT(B59,"ddd")</f>
        <v>Sun</v>
      </c>
      <c r="E59" s="3" t="s">
        <v>24</v>
      </c>
      <c r="F59" s="3" t="s">
        <v>78</v>
      </c>
      <c r="G59" s="3" t="s">
        <v>21</v>
      </c>
      <c r="H59" s="3" t="s">
        <v>22</v>
      </c>
      <c r="I59" s="4" t="n">
        <v>440</v>
      </c>
      <c r="J59" s="4" t="n">
        <v>0</v>
      </c>
      <c r="K59" s="4" t="n">
        <v>40</v>
      </c>
      <c r="L59" s="4" t="n">
        <f aca="false">IF(O59="Delivered",I59-J59+K59,0)</f>
        <v>480</v>
      </c>
      <c r="M59" s="0" t="n">
        <v>24</v>
      </c>
      <c r="O59" s="3" t="s">
        <v>17</v>
      </c>
    </row>
    <row r="60" customFormat="false" ht="15" hidden="false" customHeight="false" outlineLevel="0" collapsed="false">
      <c r="A60" s="0" t="s">
        <v>855</v>
      </c>
      <c r="B60" s="2" t="n">
        <v>45676</v>
      </c>
      <c r="C60" s="0" t="str">
        <f aca="false">TEXT(B60,"mmm")</f>
        <v>Jan</v>
      </c>
      <c r="D60" s="0" t="str">
        <f aca="false">TEXT(B60,"ddd")</f>
        <v>Sun</v>
      </c>
      <c r="E60" s="3" t="s">
        <v>24</v>
      </c>
      <c r="F60" s="3" t="s">
        <v>14</v>
      </c>
      <c r="G60" s="3" t="s">
        <v>21</v>
      </c>
      <c r="H60" s="3" t="s">
        <v>22</v>
      </c>
      <c r="I60" s="4" t="n">
        <v>306</v>
      </c>
      <c r="J60" s="4" t="n">
        <v>42</v>
      </c>
      <c r="K60" s="4" t="n">
        <v>20</v>
      </c>
      <c r="L60" s="4" t="n">
        <f aca="false">IF(O60="Delivered",I60-J60+K60,0)</f>
        <v>0</v>
      </c>
      <c r="O60" s="3" t="s">
        <v>68</v>
      </c>
    </row>
    <row r="61" customFormat="false" ht="15" hidden="false" customHeight="false" outlineLevel="0" collapsed="false">
      <c r="A61" s="0" t="s">
        <v>67</v>
      </c>
      <c r="B61" s="2" t="n">
        <v>45677</v>
      </c>
      <c r="C61" s="0" t="str">
        <f aca="false">TEXT(B61,"mmm")</f>
        <v>Jan</v>
      </c>
      <c r="D61" s="0" t="str">
        <f aca="false">TEXT(B61,"ddd")</f>
        <v>Mon</v>
      </c>
      <c r="E61" s="3" t="s">
        <v>27</v>
      </c>
      <c r="F61" s="3" t="s">
        <v>14</v>
      </c>
      <c r="G61" s="3" t="s">
        <v>21</v>
      </c>
      <c r="H61" s="3" t="s">
        <v>22</v>
      </c>
      <c r="I61" s="4" t="n">
        <v>367</v>
      </c>
      <c r="J61" s="4" t="n">
        <v>0</v>
      </c>
      <c r="K61" s="4" t="n">
        <v>40</v>
      </c>
      <c r="L61" s="4" t="n">
        <f aca="false">IF(O61="Delivered",I61-J61+K61,0)</f>
        <v>0</v>
      </c>
      <c r="O61" s="3" t="s">
        <v>68</v>
      </c>
    </row>
    <row r="62" customFormat="false" ht="15" hidden="false" customHeight="false" outlineLevel="0" collapsed="false">
      <c r="A62" s="0" t="s">
        <v>241</v>
      </c>
      <c r="B62" s="2" t="n">
        <v>45677</v>
      </c>
      <c r="C62" s="0" t="str">
        <f aca="false">TEXT(B62,"mmm")</f>
        <v>Jan</v>
      </c>
      <c r="D62" s="0" t="str">
        <f aca="false">TEXT(B62,"ddd")</f>
        <v>Mon</v>
      </c>
      <c r="E62" s="3" t="s">
        <v>51</v>
      </c>
      <c r="F62" s="3" t="s">
        <v>31</v>
      </c>
      <c r="G62" s="3" t="s">
        <v>15</v>
      </c>
      <c r="H62" s="3" t="s">
        <v>54</v>
      </c>
      <c r="I62" s="4" t="n">
        <v>383</v>
      </c>
      <c r="J62" s="4" t="n">
        <v>0</v>
      </c>
      <c r="K62" s="4" t="n">
        <v>30</v>
      </c>
      <c r="L62" s="4" t="n">
        <f aca="false">IF(O62="Delivered",I62-J62+K62,0)</f>
        <v>413</v>
      </c>
      <c r="M62" s="0" t="n">
        <v>28</v>
      </c>
      <c r="N62" s="0" t="n">
        <v>4.6</v>
      </c>
      <c r="O62" s="3" t="s">
        <v>17</v>
      </c>
    </row>
    <row r="63" customFormat="false" ht="15" hidden="false" customHeight="false" outlineLevel="0" collapsed="false">
      <c r="A63" s="0" t="s">
        <v>356</v>
      </c>
      <c r="B63" s="2" t="n">
        <v>45677</v>
      </c>
      <c r="C63" s="0" t="str">
        <f aca="false">TEXT(B63,"mmm")</f>
        <v>Jan</v>
      </c>
      <c r="D63" s="0" t="str">
        <f aca="false">TEXT(B63,"ddd")</f>
        <v>Mon</v>
      </c>
      <c r="E63" s="3" t="s">
        <v>40</v>
      </c>
      <c r="F63" s="3" t="s">
        <v>28</v>
      </c>
      <c r="G63" s="3" t="s">
        <v>15</v>
      </c>
      <c r="H63" s="3" t="s">
        <v>36</v>
      </c>
      <c r="I63" s="4" t="n">
        <v>508</v>
      </c>
      <c r="J63" s="4" t="n">
        <v>95</v>
      </c>
      <c r="K63" s="4" t="n">
        <v>0</v>
      </c>
      <c r="L63" s="4" t="n">
        <f aca="false">IF(O63="Delivered",I63-J63+K63,0)</f>
        <v>413</v>
      </c>
      <c r="M63" s="0" t="n">
        <v>48</v>
      </c>
      <c r="N63" s="0" t="n">
        <v>4</v>
      </c>
      <c r="O63" s="3" t="s">
        <v>17</v>
      </c>
    </row>
    <row r="64" customFormat="false" ht="15" hidden="false" customHeight="false" outlineLevel="0" collapsed="false">
      <c r="A64" s="0" t="s">
        <v>666</v>
      </c>
      <c r="B64" s="2" t="n">
        <v>45677</v>
      </c>
      <c r="C64" s="0" t="str">
        <f aca="false">TEXT(B64,"mmm")</f>
        <v>Jan</v>
      </c>
      <c r="D64" s="0" t="str">
        <f aca="false">TEXT(B64,"ddd")</f>
        <v>Mon</v>
      </c>
      <c r="E64" s="3" t="s">
        <v>24</v>
      </c>
      <c r="F64" s="3" t="s">
        <v>25</v>
      </c>
      <c r="G64" s="3" t="s">
        <v>21</v>
      </c>
      <c r="H64" s="3" t="s">
        <v>22</v>
      </c>
      <c r="I64" s="4" t="n">
        <v>568</v>
      </c>
      <c r="J64" s="4" t="n">
        <v>0</v>
      </c>
      <c r="K64" s="4" t="n">
        <v>0</v>
      </c>
      <c r="L64" s="4" t="n">
        <f aca="false">IF(O64="Delivered",I64-J64+K64,0)</f>
        <v>0</v>
      </c>
      <c r="O64" s="3" t="s">
        <v>68</v>
      </c>
    </row>
    <row r="65" customFormat="false" ht="15" hidden="false" customHeight="false" outlineLevel="0" collapsed="false">
      <c r="A65" s="0" t="s">
        <v>1045</v>
      </c>
      <c r="B65" s="2" t="n">
        <v>45677</v>
      </c>
      <c r="C65" s="0" t="str">
        <f aca="false">TEXT(B65,"mmm")</f>
        <v>Jan</v>
      </c>
      <c r="D65" s="0" t="str">
        <f aca="false">TEXT(B65,"ddd")</f>
        <v>Mon</v>
      </c>
      <c r="E65" s="3" t="s">
        <v>13</v>
      </c>
      <c r="F65" s="3" t="s">
        <v>28</v>
      </c>
      <c r="G65" s="3" t="s">
        <v>21</v>
      </c>
      <c r="H65" s="3" t="s">
        <v>36</v>
      </c>
      <c r="I65" s="4" t="n">
        <v>413</v>
      </c>
      <c r="J65" s="4" t="n">
        <v>0</v>
      </c>
      <c r="K65" s="4" t="n">
        <v>20</v>
      </c>
      <c r="L65" s="4" t="n">
        <f aca="false">IF(O65="Delivered",I65-J65+K65,0)</f>
        <v>433</v>
      </c>
      <c r="M65" s="0" t="n">
        <v>37</v>
      </c>
      <c r="N65" s="0" t="n">
        <v>4.3</v>
      </c>
      <c r="O65" s="3" t="s">
        <v>17</v>
      </c>
    </row>
    <row r="66" customFormat="false" ht="15" hidden="false" customHeight="false" outlineLevel="0" collapsed="false">
      <c r="A66" s="0" t="s">
        <v>1429</v>
      </c>
      <c r="B66" s="2" t="n">
        <v>45677</v>
      </c>
      <c r="C66" s="0" t="str">
        <f aca="false">TEXT(B66,"mmm")</f>
        <v>Jan</v>
      </c>
      <c r="D66" s="0" t="str">
        <f aca="false">TEXT(B66,"ddd")</f>
        <v>Mon</v>
      </c>
      <c r="E66" s="3" t="s">
        <v>13</v>
      </c>
      <c r="F66" s="3" t="s">
        <v>78</v>
      </c>
      <c r="G66" s="3" t="s">
        <v>15</v>
      </c>
      <c r="H66" s="3" t="s">
        <v>54</v>
      </c>
      <c r="I66" s="4" t="n">
        <v>368</v>
      </c>
      <c r="J66" s="4" t="n">
        <v>37</v>
      </c>
      <c r="K66" s="4" t="n">
        <v>20</v>
      </c>
      <c r="L66" s="4" t="n">
        <f aca="false">IF(O66="Delivered",I66-J66+K66,0)</f>
        <v>351</v>
      </c>
      <c r="M66" s="0" t="n">
        <v>27</v>
      </c>
      <c r="N66" s="0" t="n">
        <v>5</v>
      </c>
      <c r="O66" s="3" t="s">
        <v>17</v>
      </c>
    </row>
    <row r="67" customFormat="false" ht="15" hidden="false" customHeight="false" outlineLevel="0" collapsed="false">
      <c r="A67" s="0" t="s">
        <v>1565</v>
      </c>
      <c r="B67" s="2" t="n">
        <v>45677</v>
      </c>
      <c r="C67" s="0" t="str">
        <f aca="false">TEXT(B67,"mmm")</f>
        <v>Jan</v>
      </c>
      <c r="D67" s="0" t="str">
        <f aca="false">TEXT(B67,"ddd")</f>
        <v>Mon</v>
      </c>
      <c r="E67" s="3" t="s">
        <v>40</v>
      </c>
      <c r="F67" s="3" t="s">
        <v>20</v>
      </c>
      <c r="G67" s="3" t="s">
        <v>15</v>
      </c>
      <c r="H67" s="3" t="s">
        <v>22</v>
      </c>
      <c r="I67" s="4" t="n">
        <v>800</v>
      </c>
      <c r="J67" s="4" t="n">
        <v>139</v>
      </c>
      <c r="K67" s="4" t="n">
        <v>0</v>
      </c>
      <c r="L67" s="4" t="n">
        <f aca="false">IF(O67="Delivered",I67-J67+K67,0)</f>
        <v>661</v>
      </c>
      <c r="M67" s="0" t="n">
        <v>44</v>
      </c>
      <c r="N67" s="0" t="n">
        <v>3.4</v>
      </c>
      <c r="O67" s="3" t="s">
        <v>17</v>
      </c>
    </row>
    <row r="68" customFormat="false" ht="15" hidden="false" customHeight="false" outlineLevel="0" collapsed="false">
      <c r="A68" s="0" t="s">
        <v>895</v>
      </c>
      <c r="B68" s="2" t="n">
        <v>45678</v>
      </c>
      <c r="C68" s="0" t="str">
        <f aca="false">TEXT(B68,"mmm")</f>
        <v>Jan</v>
      </c>
      <c r="D68" s="0" t="str">
        <f aca="false">TEXT(B68,"ddd")</f>
        <v>Tue</v>
      </c>
      <c r="E68" s="3" t="s">
        <v>27</v>
      </c>
      <c r="F68" s="3" t="s">
        <v>31</v>
      </c>
      <c r="G68" s="3" t="s">
        <v>15</v>
      </c>
      <c r="H68" s="3" t="s">
        <v>54</v>
      </c>
      <c r="I68" s="4" t="n">
        <v>395</v>
      </c>
      <c r="J68" s="4" t="n">
        <v>92</v>
      </c>
      <c r="K68" s="4" t="n">
        <v>30</v>
      </c>
      <c r="L68" s="4" t="n">
        <f aca="false">IF(O68="Delivered",I68-J68+K68,0)</f>
        <v>333</v>
      </c>
      <c r="M68" s="0" t="n">
        <v>34</v>
      </c>
      <c r="N68" s="0" t="n">
        <v>4.2</v>
      </c>
      <c r="O68" s="3" t="s">
        <v>17</v>
      </c>
    </row>
    <row r="69" customFormat="false" ht="15" hidden="false" customHeight="false" outlineLevel="0" collapsed="false">
      <c r="A69" s="0" t="s">
        <v>362</v>
      </c>
      <c r="B69" s="2" t="n">
        <v>45679</v>
      </c>
      <c r="C69" s="0" t="str">
        <f aca="false">TEXT(B69,"mmm")</f>
        <v>Jan</v>
      </c>
      <c r="D69" s="0" t="str">
        <f aca="false">TEXT(B69,"ddd")</f>
        <v>Wed</v>
      </c>
      <c r="E69" s="3" t="s">
        <v>24</v>
      </c>
      <c r="F69" s="3" t="s">
        <v>20</v>
      </c>
      <c r="G69" s="3" t="s">
        <v>15</v>
      </c>
      <c r="H69" s="3" t="s">
        <v>16</v>
      </c>
      <c r="I69" s="4" t="n">
        <v>714</v>
      </c>
      <c r="J69" s="4" t="n">
        <v>0</v>
      </c>
      <c r="K69" s="4" t="n">
        <v>0</v>
      </c>
      <c r="L69" s="4" t="n">
        <f aca="false">IF(O69="Delivered",I69-J69+K69,0)</f>
        <v>714</v>
      </c>
      <c r="M69" s="0" t="n">
        <v>32</v>
      </c>
      <c r="N69" s="0" t="n">
        <v>4.3</v>
      </c>
      <c r="O69" s="3" t="s">
        <v>17</v>
      </c>
    </row>
    <row r="70" customFormat="false" ht="15" hidden="false" customHeight="false" outlineLevel="0" collapsed="false">
      <c r="A70" s="0" t="s">
        <v>756</v>
      </c>
      <c r="B70" s="2" t="n">
        <v>45679</v>
      </c>
      <c r="C70" s="0" t="str">
        <f aca="false">TEXT(B70,"mmm")</f>
        <v>Jan</v>
      </c>
      <c r="D70" s="0" t="str">
        <f aca="false">TEXT(B70,"ddd")</f>
        <v>Wed</v>
      </c>
      <c r="E70" s="3" t="s">
        <v>27</v>
      </c>
      <c r="F70" s="3" t="s">
        <v>20</v>
      </c>
      <c r="G70" s="3" t="s">
        <v>21</v>
      </c>
      <c r="H70" s="3" t="s">
        <v>36</v>
      </c>
      <c r="I70" s="4" t="n">
        <v>519</v>
      </c>
      <c r="J70" s="4" t="n">
        <v>0</v>
      </c>
      <c r="K70" s="4" t="n">
        <v>0</v>
      </c>
      <c r="L70" s="4" t="n">
        <f aca="false">IF(O70="Delivered",I70-J70+K70,0)</f>
        <v>519</v>
      </c>
      <c r="M70" s="0" t="n">
        <v>50</v>
      </c>
      <c r="N70" s="0" t="n">
        <v>3.8</v>
      </c>
      <c r="O70" s="3" t="s">
        <v>17</v>
      </c>
    </row>
    <row r="71" customFormat="false" ht="15" hidden="false" customHeight="false" outlineLevel="0" collapsed="false">
      <c r="A71" s="0" t="s">
        <v>765</v>
      </c>
      <c r="B71" s="2" t="n">
        <v>45679</v>
      </c>
      <c r="C71" s="0" t="str">
        <f aca="false">TEXT(B71,"mmm")</f>
        <v>Jan</v>
      </c>
      <c r="D71" s="0" t="str">
        <f aca="false">TEXT(B71,"ddd")</f>
        <v>Wed</v>
      </c>
      <c r="E71" s="3" t="s">
        <v>30</v>
      </c>
      <c r="F71" s="3" t="s">
        <v>14</v>
      </c>
      <c r="G71" s="3" t="s">
        <v>15</v>
      </c>
      <c r="H71" s="3" t="s">
        <v>22</v>
      </c>
      <c r="I71" s="4" t="n">
        <v>333</v>
      </c>
      <c r="J71" s="4" t="n">
        <v>63</v>
      </c>
      <c r="K71" s="4" t="n">
        <v>45</v>
      </c>
      <c r="L71" s="4" t="n">
        <f aca="false">IF(O71="Delivered",I71-J71+K71,0)</f>
        <v>315</v>
      </c>
      <c r="M71" s="0" t="n">
        <v>27</v>
      </c>
      <c r="O71" s="3" t="s">
        <v>17</v>
      </c>
    </row>
    <row r="72" customFormat="false" ht="15" hidden="false" customHeight="false" outlineLevel="0" collapsed="false">
      <c r="A72" s="0" t="s">
        <v>891</v>
      </c>
      <c r="B72" s="2" t="n">
        <v>45679</v>
      </c>
      <c r="C72" s="0" t="str">
        <f aca="false">TEXT(B72,"mmm")</f>
        <v>Jan</v>
      </c>
      <c r="D72" s="0" t="str">
        <f aca="false">TEXT(B72,"ddd")</f>
        <v>Wed</v>
      </c>
      <c r="E72" s="3" t="s">
        <v>40</v>
      </c>
      <c r="F72" s="3" t="s">
        <v>49</v>
      </c>
      <c r="G72" s="3" t="s">
        <v>21</v>
      </c>
      <c r="H72" s="3" t="s">
        <v>22</v>
      </c>
      <c r="I72" s="4" t="n">
        <v>447</v>
      </c>
      <c r="J72" s="4" t="n">
        <v>96</v>
      </c>
      <c r="K72" s="4" t="n">
        <v>45</v>
      </c>
      <c r="L72" s="4" t="n">
        <f aca="false">IF(O72="Delivered",I72-J72+K72,0)</f>
        <v>396</v>
      </c>
      <c r="M72" s="0" t="n">
        <v>48</v>
      </c>
      <c r="N72" s="0" t="n">
        <v>3.3</v>
      </c>
      <c r="O72" s="3" t="s">
        <v>17</v>
      </c>
    </row>
    <row r="73" customFormat="false" ht="15" hidden="false" customHeight="false" outlineLevel="0" collapsed="false">
      <c r="A73" s="0" t="s">
        <v>1369</v>
      </c>
      <c r="B73" s="2" t="n">
        <v>45679</v>
      </c>
      <c r="C73" s="0" t="str">
        <f aca="false">TEXT(B73,"mmm")</f>
        <v>Jan</v>
      </c>
      <c r="D73" s="0" t="str">
        <f aca="false">TEXT(B73,"ddd")</f>
        <v>Wed</v>
      </c>
      <c r="E73" s="3" t="s">
        <v>27</v>
      </c>
      <c r="F73" s="3" t="s">
        <v>28</v>
      </c>
      <c r="G73" s="3" t="s">
        <v>21</v>
      </c>
      <c r="H73" s="3" t="s">
        <v>22</v>
      </c>
      <c r="I73" s="4" t="n">
        <v>464</v>
      </c>
      <c r="J73" s="4" t="n">
        <v>0</v>
      </c>
      <c r="K73" s="4" t="n">
        <v>40</v>
      </c>
      <c r="L73" s="4" t="n">
        <f aca="false">IF(O73="Delivered",I73-J73+K73,0)</f>
        <v>504</v>
      </c>
      <c r="M73" s="0" t="n">
        <v>41</v>
      </c>
      <c r="N73" s="0" t="n">
        <v>3.8</v>
      </c>
      <c r="O73" s="3" t="s">
        <v>17</v>
      </c>
    </row>
    <row r="74" customFormat="false" ht="15" hidden="false" customHeight="false" outlineLevel="0" collapsed="false">
      <c r="A74" s="0" t="s">
        <v>1622</v>
      </c>
      <c r="B74" s="2" t="n">
        <v>45679</v>
      </c>
      <c r="C74" s="0" t="str">
        <f aca="false">TEXT(B74,"mmm")</f>
        <v>Jan</v>
      </c>
      <c r="D74" s="0" t="str">
        <f aca="false">TEXT(B74,"ddd")</f>
        <v>Wed</v>
      </c>
      <c r="E74" s="3" t="s">
        <v>24</v>
      </c>
      <c r="F74" s="3" t="s">
        <v>25</v>
      </c>
      <c r="G74" s="3" t="s">
        <v>21</v>
      </c>
      <c r="H74" s="3" t="s">
        <v>36</v>
      </c>
      <c r="I74" s="4" t="n">
        <v>421</v>
      </c>
      <c r="J74" s="4" t="n">
        <v>78</v>
      </c>
      <c r="K74" s="4" t="n">
        <v>40</v>
      </c>
      <c r="L74" s="4" t="n">
        <f aca="false">IF(O74="Delivered",I74-J74+K74,0)</f>
        <v>383</v>
      </c>
      <c r="M74" s="0" t="n">
        <v>34</v>
      </c>
      <c r="N74" s="0" t="n">
        <v>5</v>
      </c>
      <c r="O74" s="3" t="s">
        <v>17</v>
      </c>
    </row>
    <row r="75" customFormat="false" ht="15" hidden="false" customHeight="false" outlineLevel="0" collapsed="false">
      <c r="A75" s="0" t="s">
        <v>862</v>
      </c>
      <c r="B75" s="2" t="n">
        <v>45680</v>
      </c>
      <c r="C75" s="0" t="str">
        <f aca="false">TEXT(B75,"mmm")</f>
        <v>Jan</v>
      </c>
      <c r="D75" s="0" t="str">
        <f aca="false">TEXT(B75,"ddd")</f>
        <v>Thu</v>
      </c>
      <c r="E75" s="3" t="s">
        <v>13</v>
      </c>
      <c r="F75" s="3" t="s">
        <v>49</v>
      </c>
      <c r="G75" s="3" t="s">
        <v>21</v>
      </c>
      <c r="H75" s="3" t="s">
        <v>16</v>
      </c>
      <c r="I75" s="4" t="n">
        <v>614</v>
      </c>
      <c r="J75" s="4" t="n">
        <v>83</v>
      </c>
      <c r="K75" s="4" t="n">
        <v>0</v>
      </c>
      <c r="L75" s="4" t="n">
        <f aca="false">IF(O75="Delivered",I75-J75+K75,0)</f>
        <v>531</v>
      </c>
      <c r="M75" s="0" t="n">
        <v>40</v>
      </c>
      <c r="N75" s="0" t="n">
        <v>4.1</v>
      </c>
      <c r="O75" s="3" t="s">
        <v>17</v>
      </c>
    </row>
    <row r="76" customFormat="false" ht="15" hidden="false" customHeight="false" outlineLevel="0" collapsed="false">
      <c r="A76" s="0" t="s">
        <v>956</v>
      </c>
      <c r="B76" s="2" t="n">
        <v>45680</v>
      </c>
      <c r="C76" s="0" t="str">
        <f aca="false">TEXT(B76,"mmm")</f>
        <v>Jan</v>
      </c>
      <c r="D76" s="0" t="str">
        <f aca="false">TEXT(B76,"ddd")</f>
        <v>Thu</v>
      </c>
      <c r="E76" s="3" t="s">
        <v>40</v>
      </c>
      <c r="F76" s="3" t="s">
        <v>28</v>
      </c>
      <c r="G76" s="3" t="s">
        <v>15</v>
      </c>
      <c r="H76" s="3" t="s">
        <v>34</v>
      </c>
      <c r="I76" s="4" t="n">
        <v>312</v>
      </c>
      <c r="J76" s="4" t="n">
        <v>64</v>
      </c>
      <c r="K76" s="4" t="n">
        <v>20</v>
      </c>
      <c r="L76" s="4" t="n">
        <f aca="false">IF(O76="Delivered",I76-J76+K76,0)</f>
        <v>268</v>
      </c>
      <c r="M76" s="0" t="n">
        <v>37</v>
      </c>
      <c r="N76" s="0" t="n">
        <v>4.4</v>
      </c>
      <c r="O76" s="3" t="s">
        <v>17</v>
      </c>
    </row>
    <row r="77" customFormat="false" ht="15" hidden="false" customHeight="false" outlineLevel="0" collapsed="false">
      <c r="A77" s="0" t="s">
        <v>1137</v>
      </c>
      <c r="B77" s="2" t="n">
        <v>45680</v>
      </c>
      <c r="C77" s="0" t="str">
        <f aca="false">TEXT(B77,"mmm")</f>
        <v>Jan</v>
      </c>
      <c r="D77" s="0" t="str">
        <f aca="false">TEXT(B77,"ddd")</f>
        <v>Thu</v>
      </c>
      <c r="E77" s="3" t="s">
        <v>30</v>
      </c>
      <c r="F77" s="3" t="s">
        <v>56</v>
      </c>
      <c r="G77" s="3" t="s">
        <v>15</v>
      </c>
      <c r="H77" s="3" t="s">
        <v>22</v>
      </c>
      <c r="I77" s="4" t="n">
        <v>378</v>
      </c>
      <c r="J77" s="4" t="n">
        <v>52</v>
      </c>
      <c r="K77" s="4" t="n">
        <v>20</v>
      </c>
      <c r="L77" s="4" t="n">
        <f aca="false">IF(O77="Delivered",I77-J77+K77,0)</f>
        <v>346</v>
      </c>
      <c r="M77" s="0" t="n">
        <v>29</v>
      </c>
      <c r="N77" s="0" t="n">
        <v>4.1</v>
      </c>
      <c r="O77" s="3" t="s">
        <v>17</v>
      </c>
    </row>
    <row r="78" customFormat="false" ht="15" hidden="false" customHeight="false" outlineLevel="0" collapsed="false">
      <c r="A78" s="0" t="s">
        <v>1296</v>
      </c>
      <c r="B78" s="2" t="n">
        <v>45680</v>
      </c>
      <c r="C78" s="0" t="str">
        <f aca="false">TEXT(B78,"mmm")</f>
        <v>Jan</v>
      </c>
      <c r="D78" s="0" t="str">
        <f aca="false">TEXT(B78,"ddd")</f>
        <v>Thu</v>
      </c>
      <c r="E78" s="3" t="s">
        <v>30</v>
      </c>
      <c r="F78" s="3" t="s">
        <v>28</v>
      </c>
      <c r="G78" s="3" t="s">
        <v>15</v>
      </c>
      <c r="H78" s="3" t="s">
        <v>36</v>
      </c>
      <c r="I78" s="4" t="n">
        <v>364</v>
      </c>
      <c r="J78" s="4" t="n">
        <v>77</v>
      </c>
      <c r="K78" s="4" t="n">
        <v>40</v>
      </c>
      <c r="L78" s="4" t="n">
        <f aca="false">IF(O78="Delivered",I78-J78+K78,0)</f>
        <v>327</v>
      </c>
      <c r="M78" s="0" t="n">
        <v>20</v>
      </c>
      <c r="N78" s="0" t="n">
        <v>5</v>
      </c>
      <c r="O78" s="3" t="s">
        <v>17</v>
      </c>
    </row>
    <row r="79" customFormat="false" ht="15" hidden="false" customHeight="false" outlineLevel="0" collapsed="false">
      <c r="A79" s="0" t="s">
        <v>1671</v>
      </c>
      <c r="B79" s="2" t="n">
        <v>45680</v>
      </c>
      <c r="C79" s="0" t="str">
        <f aca="false">TEXT(B79,"mmm")</f>
        <v>Jan</v>
      </c>
      <c r="D79" s="0" t="str">
        <f aca="false">TEXT(B79,"ddd")</f>
        <v>Thu</v>
      </c>
      <c r="E79" s="3" t="s">
        <v>24</v>
      </c>
      <c r="F79" s="3" t="s">
        <v>25</v>
      </c>
      <c r="G79" s="3" t="s">
        <v>21</v>
      </c>
      <c r="H79" s="3" t="s">
        <v>36</v>
      </c>
      <c r="I79" s="4" t="n">
        <v>439</v>
      </c>
      <c r="J79" s="4" t="n">
        <v>0</v>
      </c>
      <c r="K79" s="4" t="n">
        <v>45</v>
      </c>
      <c r="L79" s="4" t="n">
        <f aca="false">IF(O79="Delivered",I79-J79+K79,0)</f>
        <v>484</v>
      </c>
      <c r="M79" s="0" t="n">
        <v>36</v>
      </c>
      <c r="N79" s="0" t="n">
        <v>4.7</v>
      </c>
      <c r="O79" s="3" t="s">
        <v>17</v>
      </c>
    </row>
    <row r="80" customFormat="false" ht="15" hidden="false" customHeight="false" outlineLevel="0" collapsed="false">
      <c r="A80" s="0" t="s">
        <v>346</v>
      </c>
      <c r="B80" s="2" t="n">
        <v>45681</v>
      </c>
      <c r="C80" s="0" t="str">
        <f aca="false">TEXT(B80,"mmm")</f>
        <v>Jan</v>
      </c>
      <c r="D80" s="0" t="str">
        <f aca="false">TEXT(B80,"ddd")</f>
        <v>Fri</v>
      </c>
      <c r="E80" s="3" t="s">
        <v>13</v>
      </c>
      <c r="F80" s="3" t="s">
        <v>20</v>
      </c>
      <c r="G80" s="3" t="s">
        <v>15</v>
      </c>
      <c r="H80" s="3" t="s">
        <v>34</v>
      </c>
      <c r="I80" s="4" t="n">
        <v>563</v>
      </c>
      <c r="J80" s="4" t="n">
        <v>129</v>
      </c>
      <c r="K80" s="4" t="n">
        <v>0</v>
      </c>
      <c r="L80" s="4" t="n">
        <f aca="false">IF(O80="Delivered",I80-J80+K80,0)</f>
        <v>434</v>
      </c>
      <c r="M80" s="0" t="n">
        <v>41</v>
      </c>
      <c r="N80" s="0" t="n">
        <v>3.8</v>
      </c>
      <c r="O80" s="3" t="s">
        <v>17</v>
      </c>
    </row>
    <row r="81" customFormat="false" ht="15" hidden="false" customHeight="false" outlineLevel="0" collapsed="false">
      <c r="A81" s="0" t="s">
        <v>369</v>
      </c>
      <c r="B81" s="2" t="n">
        <v>45681</v>
      </c>
      <c r="C81" s="0" t="str">
        <f aca="false">TEXT(B81,"mmm")</f>
        <v>Jan</v>
      </c>
      <c r="D81" s="0" t="str">
        <f aca="false">TEXT(B81,"ddd")</f>
        <v>Fri</v>
      </c>
      <c r="E81" s="3" t="s">
        <v>24</v>
      </c>
      <c r="F81" s="3" t="s">
        <v>28</v>
      </c>
      <c r="G81" s="3" t="s">
        <v>15</v>
      </c>
      <c r="H81" s="3" t="s">
        <v>54</v>
      </c>
      <c r="I81" s="4" t="n">
        <v>314</v>
      </c>
      <c r="J81" s="4" t="n">
        <v>34</v>
      </c>
      <c r="K81" s="4" t="n">
        <v>40</v>
      </c>
      <c r="L81" s="4" t="n">
        <f aca="false">IF(O81="Delivered",I81-J81+K81,0)</f>
        <v>0</v>
      </c>
      <c r="O81" s="3" t="s">
        <v>68</v>
      </c>
    </row>
    <row r="82" customFormat="false" ht="15" hidden="false" customHeight="false" outlineLevel="0" collapsed="false">
      <c r="A82" s="0" t="s">
        <v>517</v>
      </c>
      <c r="B82" s="2" t="n">
        <v>45681</v>
      </c>
      <c r="C82" s="0" t="str">
        <f aca="false">TEXT(B82,"mmm")</f>
        <v>Jan</v>
      </c>
      <c r="D82" s="0" t="str">
        <f aca="false">TEXT(B82,"ddd")</f>
        <v>Fri</v>
      </c>
      <c r="E82" s="3" t="s">
        <v>24</v>
      </c>
      <c r="F82" s="3" t="s">
        <v>56</v>
      </c>
      <c r="G82" s="3" t="s">
        <v>21</v>
      </c>
      <c r="H82" s="3" t="s">
        <v>36</v>
      </c>
      <c r="I82" s="4" t="n">
        <v>304</v>
      </c>
      <c r="J82" s="4" t="n">
        <v>66</v>
      </c>
      <c r="K82" s="4" t="n">
        <v>40</v>
      </c>
      <c r="L82" s="4" t="n">
        <f aca="false">IF(O82="Delivered",I82-J82+K82,0)</f>
        <v>278</v>
      </c>
      <c r="M82" s="0" t="n">
        <v>43</v>
      </c>
      <c r="N82" s="0" t="n">
        <v>3.8</v>
      </c>
      <c r="O82" s="3" t="s">
        <v>17</v>
      </c>
    </row>
    <row r="83" customFormat="false" ht="15" hidden="false" customHeight="false" outlineLevel="0" collapsed="false">
      <c r="A83" s="0" t="s">
        <v>1316</v>
      </c>
      <c r="B83" s="2" t="n">
        <v>45681</v>
      </c>
      <c r="C83" s="0" t="str">
        <f aca="false">TEXT(B83,"mmm")</f>
        <v>Jan</v>
      </c>
      <c r="D83" s="0" t="str">
        <f aca="false">TEXT(B83,"ddd")</f>
        <v>Fri</v>
      </c>
      <c r="E83" s="3" t="s">
        <v>24</v>
      </c>
      <c r="F83" s="3" t="s">
        <v>49</v>
      </c>
      <c r="G83" s="3" t="s">
        <v>21</v>
      </c>
      <c r="H83" s="3" t="s">
        <v>36</v>
      </c>
      <c r="I83" s="4" t="n">
        <v>354</v>
      </c>
      <c r="J83" s="4" t="n">
        <v>0</v>
      </c>
      <c r="K83" s="4" t="n">
        <v>45</v>
      </c>
      <c r="L83" s="4" t="n">
        <f aca="false">IF(O83="Delivered",I83-J83+K83,0)</f>
        <v>399</v>
      </c>
      <c r="M83" s="0" t="n">
        <v>38</v>
      </c>
      <c r="N83" s="0" t="n">
        <v>4.1</v>
      </c>
      <c r="O83" s="3" t="s">
        <v>17</v>
      </c>
    </row>
    <row r="84" customFormat="false" ht="15" hidden="false" customHeight="false" outlineLevel="0" collapsed="false">
      <c r="A84" s="0" t="s">
        <v>1477</v>
      </c>
      <c r="B84" s="2" t="n">
        <v>45681</v>
      </c>
      <c r="C84" s="0" t="str">
        <f aca="false">TEXT(B84,"mmm")</f>
        <v>Jan</v>
      </c>
      <c r="D84" s="0" t="str">
        <f aca="false">TEXT(B84,"ddd")</f>
        <v>Fri</v>
      </c>
      <c r="E84" s="3" t="s">
        <v>40</v>
      </c>
      <c r="F84" s="3" t="s">
        <v>49</v>
      </c>
      <c r="G84" s="3" t="s">
        <v>15</v>
      </c>
      <c r="H84" s="3" t="s">
        <v>22</v>
      </c>
      <c r="I84" s="4" t="n">
        <v>407</v>
      </c>
      <c r="J84" s="4" t="n">
        <v>0</v>
      </c>
      <c r="K84" s="4" t="n">
        <v>30</v>
      </c>
      <c r="L84" s="4" t="n">
        <f aca="false">IF(O84="Delivered",I84-J84+K84,0)</f>
        <v>437</v>
      </c>
      <c r="M84" s="0" t="n">
        <v>34</v>
      </c>
      <c r="N84" s="0" t="n">
        <v>3.9</v>
      </c>
      <c r="O84" s="3" t="s">
        <v>17</v>
      </c>
    </row>
    <row r="85" customFormat="false" ht="15" hidden="false" customHeight="false" outlineLevel="0" collapsed="false">
      <c r="A85" s="0" t="s">
        <v>344</v>
      </c>
      <c r="B85" s="2" t="n">
        <v>45682</v>
      </c>
      <c r="C85" s="0" t="str">
        <f aca="false">TEXT(B85,"mmm")</f>
        <v>Jan</v>
      </c>
      <c r="D85" s="0" t="str">
        <f aca="false">TEXT(B85,"ddd")</f>
        <v>Sat</v>
      </c>
      <c r="E85" s="3" t="s">
        <v>27</v>
      </c>
      <c r="F85" s="3" t="s">
        <v>78</v>
      </c>
      <c r="G85" s="3" t="s">
        <v>21</v>
      </c>
      <c r="H85" s="3" t="s">
        <v>16</v>
      </c>
      <c r="I85" s="4" t="n">
        <v>235</v>
      </c>
      <c r="J85" s="4" t="n">
        <v>38</v>
      </c>
      <c r="K85" s="4" t="n">
        <v>20</v>
      </c>
      <c r="L85" s="4" t="n">
        <f aca="false">IF(O85="Delivered",I85-J85+K85,0)</f>
        <v>217</v>
      </c>
      <c r="M85" s="0" t="n">
        <v>57</v>
      </c>
      <c r="N85" s="0" t="n">
        <v>3.5</v>
      </c>
      <c r="O85" s="3" t="s">
        <v>17</v>
      </c>
    </row>
    <row r="86" customFormat="false" ht="15" hidden="false" customHeight="false" outlineLevel="0" collapsed="false">
      <c r="A86" s="0" t="s">
        <v>545</v>
      </c>
      <c r="B86" s="2" t="n">
        <v>45682</v>
      </c>
      <c r="C86" s="0" t="str">
        <f aca="false">TEXT(B86,"mmm")</f>
        <v>Jan</v>
      </c>
      <c r="D86" s="0" t="str">
        <f aca="false">TEXT(B86,"ddd")</f>
        <v>Sat</v>
      </c>
      <c r="E86" s="3" t="s">
        <v>40</v>
      </c>
      <c r="F86" s="3" t="s">
        <v>25</v>
      </c>
      <c r="G86" s="3" t="s">
        <v>21</v>
      </c>
      <c r="H86" s="3" t="s">
        <v>36</v>
      </c>
      <c r="I86" s="4" t="n">
        <v>435</v>
      </c>
      <c r="J86" s="4" t="n">
        <v>0</v>
      </c>
      <c r="K86" s="4" t="n">
        <v>45</v>
      </c>
      <c r="L86" s="4" t="n">
        <f aca="false">IF(O86="Delivered",I86-J86+K86,0)</f>
        <v>480</v>
      </c>
      <c r="M86" s="0" t="n">
        <v>38</v>
      </c>
      <c r="N86" s="0" t="n">
        <v>4.6</v>
      </c>
      <c r="O86" s="3" t="s">
        <v>17</v>
      </c>
    </row>
    <row r="87" customFormat="false" ht="15" hidden="false" customHeight="false" outlineLevel="0" collapsed="false">
      <c r="A87" s="0" t="s">
        <v>621</v>
      </c>
      <c r="B87" s="2" t="n">
        <v>45682</v>
      </c>
      <c r="C87" s="0" t="str">
        <f aca="false">TEXT(B87,"mmm")</f>
        <v>Jan</v>
      </c>
      <c r="D87" s="0" t="str">
        <f aca="false">TEXT(B87,"ddd")</f>
        <v>Sat</v>
      </c>
      <c r="E87" s="3" t="s">
        <v>40</v>
      </c>
      <c r="F87" s="3" t="s">
        <v>78</v>
      </c>
      <c r="G87" s="3" t="s">
        <v>15</v>
      </c>
      <c r="H87" s="3" t="s">
        <v>22</v>
      </c>
      <c r="I87" s="4" t="n">
        <v>470</v>
      </c>
      <c r="J87" s="4" t="n">
        <v>52</v>
      </c>
      <c r="K87" s="4" t="n">
        <v>30</v>
      </c>
      <c r="L87" s="4" t="n">
        <f aca="false">IF(O87="Delivered",I87-J87+K87,0)</f>
        <v>448</v>
      </c>
      <c r="M87" s="0" t="n">
        <v>26</v>
      </c>
      <c r="O87" s="3" t="s">
        <v>17</v>
      </c>
    </row>
    <row r="88" customFormat="false" ht="15" hidden="false" customHeight="false" outlineLevel="0" collapsed="false">
      <c r="A88" s="0" t="s">
        <v>1411</v>
      </c>
      <c r="B88" s="2" t="n">
        <v>45682</v>
      </c>
      <c r="C88" s="0" t="str">
        <f aca="false">TEXT(B88,"mmm")</f>
        <v>Jan</v>
      </c>
      <c r="D88" s="0" t="str">
        <f aca="false">TEXT(B88,"ddd")</f>
        <v>Sat</v>
      </c>
      <c r="E88" s="3" t="s">
        <v>30</v>
      </c>
      <c r="F88" s="3" t="s">
        <v>56</v>
      </c>
      <c r="G88" s="3" t="s">
        <v>21</v>
      </c>
      <c r="H88" s="3" t="s">
        <v>36</v>
      </c>
      <c r="I88" s="4" t="n">
        <v>349</v>
      </c>
      <c r="J88" s="4" t="n">
        <v>78</v>
      </c>
      <c r="K88" s="4" t="n">
        <v>40</v>
      </c>
      <c r="L88" s="4" t="n">
        <f aca="false">IF(O88="Delivered",I88-J88+K88,0)</f>
        <v>311</v>
      </c>
      <c r="M88" s="0" t="n">
        <v>31</v>
      </c>
      <c r="N88" s="0" t="n">
        <v>4.4</v>
      </c>
      <c r="O88" s="3" t="s">
        <v>17</v>
      </c>
    </row>
    <row r="89" customFormat="false" ht="15" hidden="false" customHeight="false" outlineLevel="0" collapsed="false">
      <c r="A89" s="0" t="s">
        <v>125</v>
      </c>
      <c r="B89" s="2" t="n">
        <v>45683</v>
      </c>
      <c r="C89" s="0" t="str">
        <f aca="false">TEXT(B89,"mmm")</f>
        <v>Jan</v>
      </c>
      <c r="D89" s="0" t="str">
        <f aca="false">TEXT(B89,"ddd")</f>
        <v>Sun</v>
      </c>
      <c r="E89" s="3" t="s">
        <v>40</v>
      </c>
      <c r="F89" s="3" t="s">
        <v>14</v>
      </c>
      <c r="G89" s="3" t="s">
        <v>21</v>
      </c>
      <c r="H89" s="3" t="s">
        <v>36</v>
      </c>
      <c r="I89" s="4" t="n">
        <v>314</v>
      </c>
      <c r="J89" s="4" t="n">
        <v>0</v>
      </c>
      <c r="K89" s="4" t="n">
        <v>45</v>
      </c>
      <c r="L89" s="4" t="n">
        <f aca="false">IF(O89="Delivered",I89-J89+K89,0)</f>
        <v>359</v>
      </c>
      <c r="M89" s="0" t="n">
        <v>40</v>
      </c>
      <c r="N89" s="0" t="n">
        <v>3.5</v>
      </c>
      <c r="O89" s="3" t="s">
        <v>17</v>
      </c>
    </row>
    <row r="90" customFormat="false" ht="15" hidden="false" customHeight="false" outlineLevel="0" collapsed="false">
      <c r="A90" s="0" t="s">
        <v>523</v>
      </c>
      <c r="B90" s="2" t="n">
        <v>45683</v>
      </c>
      <c r="C90" s="0" t="str">
        <f aca="false">TEXT(B90,"mmm")</f>
        <v>Jan</v>
      </c>
      <c r="D90" s="0" t="str">
        <f aca="false">TEXT(B90,"ddd")</f>
        <v>Sun</v>
      </c>
      <c r="E90" s="3" t="s">
        <v>40</v>
      </c>
      <c r="F90" s="3" t="s">
        <v>49</v>
      </c>
      <c r="G90" s="3" t="s">
        <v>21</v>
      </c>
      <c r="H90" s="3" t="s">
        <v>16</v>
      </c>
      <c r="I90" s="4" t="n">
        <v>491</v>
      </c>
      <c r="J90" s="4" t="n">
        <v>86</v>
      </c>
      <c r="K90" s="4" t="n">
        <v>45</v>
      </c>
      <c r="L90" s="4" t="n">
        <f aca="false">IF(O90="Delivered",I90-J90+K90,0)</f>
        <v>450</v>
      </c>
      <c r="M90" s="0" t="n">
        <v>49</v>
      </c>
      <c r="N90" s="0" t="n">
        <v>4.4</v>
      </c>
      <c r="O90" s="3" t="s">
        <v>17</v>
      </c>
    </row>
    <row r="91" customFormat="false" ht="15" hidden="false" customHeight="false" outlineLevel="0" collapsed="false">
      <c r="A91" s="0" t="s">
        <v>682</v>
      </c>
      <c r="B91" s="2" t="n">
        <v>45683</v>
      </c>
      <c r="C91" s="0" t="str">
        <f aca="false">TEXT(B91,"mmm")</f>
        <v>Jan</v>
      </c>
      <c r="D91" s="0" t="str">
        <f aca="false">TEXT(B91,"ddd")</f>
        <v>Sun</v>
      </c>
      <c r="E91" s="3" t="s">
        <v>19</v>
      </c>
      <c r="F91" s="3" t="s">
        <v>56</v>
      </c>
      <c r="G91" s="3" t="s">
        <v>21</v>
      </c>
      <c r="H91" s="3" t="s">
        <v>16</v>
      </c>
      <c r="I91" s="4" t="n">
        <v>529</v>
      </c>
      <c r="J91" s="4" t="n">
        <v>0</v>
      </c>
      <c r="K91" s="4" t="n">
        <v>0</v>
      </c>
      <c r="L91" s="4" t="n">
        <f aca="false">IF(O91="Delivered",I91-J91+K91,0)</f>
        <v>529</v>
      </c>
      <c r="M91" s="0" t="n">
        <v>31</v>
      </c>
      <c r="N91" s="0" t="n">
        <v>4.6</v>
      </c>
      <c r="O91" s="3" t="s">
        <v>17</v>
      </c>
    </row>
    <row r="92" customFormat="false" ht="15" hidden="false" customHeight="false" outlineLevel="0" collapsed="false">
      <c r="A92" s="0" t="s">
        <v>866</v>
      </c>
      <c r="B92" s="2" t="n">
        <v>45684</v>
      </c>
      <c r="C92" s="0" t="str">
        <f aca="false">TEXT(B92,"mmm")</f>
        <v>Jan</v>
      </c>
      <c r="D92" s="0" t="str">
        <f aca="false">TEXT(B92,"ddd")</f>
        <v>Mon</v>
      </c>
      <c r="E92" s="3" t="s">
        <v>13</v>
      </c>
      <c r="F92" s="3" t="s">
        <v>31</v>
      </c>
      <c r="G92" s="3" t="s">
        <v>21</v>
      </c>
      <c r="H92" s="3" t="s">
        <v>22</v>
      </c>
      <c r="I92" s="4" t="n">
        <v>310</v>
      </c>
      <c r="J92" s="4" t="n">
        <v>39</v>
      </c>
      <c r="K92" s="4" t="n">
        <v>20</v>
      </c>
      <c r="L92" s="4" t="n">
        <f aca="false">IF(O92="Delivered",I92-J92+K92,0)</f>
        <v>291</v>
      </c>
      <c r="M92" s="0" t="n">
        <v>26</v>
      </c>
      <c r="N92" s="0" t="n">
        <v>4.7</v>
      </c>
      <c r="O92" s="3" t="s">
        <v>17</v>
      </c>
    </row>
    <row r="93" customFormat="false" ht="15" hidden="false" customHeight="false" outlineLevel="0" collapsed="false">
      <c r="A93" s="0" t="s">
        <v>1394</v>
      </c>
      <c r="B93" s="2" t="n">
        <v>45684</v>
      </c>
      <c r="C93" s="0" t="str">
        <f aca="false">TEXT(B93,"mmm")</f>
        <v>Jan</v>
      </c>
      <c r="D93" s="0" t="str">
        <f aca="false">TEXT(B93,"ddd")</f>
        <v>Mon</v>
      </c>
      <c r="E93" s="3" t="s">
        <v>45</v>
      </c>
      <c r="F93" s="3" t="s">
        <v>25</v>
      </c>
      <c r="G93" s="3" t="s">
        <v>15</v>
      </c>
      <c r="H93" s="3" t="s">
        <v>54</v>
      </c>
      <c r="I93" s="4" t="n">
        <v>446</v>
      </c>
      <c r="J93" s="4" t="n">
        <v>76</v>
      </c>
      <c r="K93" s="4" t="n">
        <v>30</v>
      </c>
      <c r="L93" s="4" t="n">
        <f aca="false">IF(O93="Delivered",I93-J93+K93,0)</f>
        <v>400</v>
      </c>
      <c r="M93" s="0" t="n">
        <v>30</v>
      </c>
      <c r="N93" s="0" t="n">
        <v>3.5</v>
      </c>
      <c r="O93" s="3" t="s">
        <v>17</v>
      </c>
    </row>
    <row r="94" customFormat="false" ht="15" hidden="false" customHeight="false" outlineLevel="0" collapsed="false">
      <c r="A94" s="0" t="s">
        <v>1570</v>
      </c>
      <c r="B94" s="2" t="n">
        <v>45684</v>
      </c>
      <c r="C94" s="0" t="str">
        <f aca="false">TEXT(B94,"mmm")</f>
        <v>Jan</v>
      </c>
      <c r="D94" s="0" t="str">
        <f aca="false">TEXT(B94,"ddd")</f>
        <v>Mon</v>
      </c>
      <c r="E94" s="3" t="s">
        <v>27</v>
      </c>
      <c r="F94" s="3" t="s">
        <v>20</v>
      </c>
      <c r="G94" s="3" t="s">
        <v>21</v>
      </c>
      <c r="H94" s="3" t="s">
        <v>36</v>
      </c>
      <c r="I94" s="4" t="n">
        <v>647</v>
      </c>
      <c r="J94" s="4" t="n">
        <v>92</v>
      </c>
      <c r="K94" s="4" t="n">
        <v>0</v>
      </c>
      <c r="L94" s="4" t="n">
        <f aca="false">IF(O94="Delivered",I94-J94+K94,0)</f>
        <v>555</v>
      </c>
      <c r="M94" s="0" t="n">
        <v>33</v>
      </c>
      <c r="N94" s="0" t="n">
        <v>4.2</v>
      </c>
      <c r="O94" s="3" t="s">
        <v>17</v>
      </c>
    </row>
    <row r="95" customFormat="false" ht="15" hidden="false" customHeight="false" outlineLevel="0" collapsed="false">
      <c r="A95" s="0" t="s">
        <v>1677</v>
      </c>
      <c r="B95" s="2" t="n">
        <v>45684</v>
      </c>
      <c r="C95" s="0" t="str">
        <f aca="false">TEXT(B95,"mmm")</f>
        <v>Jan</v>
      </c>
      <c r="D95" s="0" t="str">
        <f aca="false">TEXT(B95,"ddd")</f>
        <v>Mon</v>
      </c>
      <c r="E95" s="3" t="s">
        <v>30</v>
      </c>
      <c r="F95" s="3" t="s">
        <v>56</v>
      </c>
      <c r="G95" s="3" t="s">
        <v>15</v>
      </c>
      <c r="H95" s="3" t="s">
        <v>54</v>
      </c>
      <c r="I95" s="4" t="n">
        <v>423</v>
      </c>
      <c r="J95" s="4" t="n">
        <v>0</v>
      </c>
      <c r="K95" s="4" t="n">
        <v>40</v>
      </c>
      <c r="L95" s="4" t="n">
        <f aca="false">IF(O95="Delivered",I95-J95+K95,0)</f>
        <v>463</v>
      </c>
      <c r="M95" s="0" t="n">
        <v>25</v>
      </c>
      <c r="N95" s="0" t="n">
        <v>4.2</v>
      </c>
      <c r="O95" s="3" t="s">
        <v>17</v>
      </c>
    </row>
    <row r="96" customFormat="false" ht="15" hidden="false" customHeight="false" outlineLevel="0" collapsed="false">
      <c r="A96" s="0" t="s">
        <v>1151</v>
      </c>
      <c r="B96" s="2" t="n">
        <v>45685</v>
      </c>
      <c r="C96" s="0" t="str">
        <f aca="false">TEXT(B96,"mmm")</f>
        <v>Jan</v>
      </c>
      <c r="D96" s="0" t="str">
        <f aca="false">TEXT(B96,"ddd")</f>
        <v>Tue</v>
      </c>
      <c r="E96" s="3" t="s">
        <v>40</v>
      </c>
      <c r="F96" s="3" t="s">
        <v>28</v>
      </c>
      <c r="G96" s="3" t="s">
        <v>15</v>
      </c>
      <c r="H96" s="3" t="s">
        <v>36</v>
      </c>
      <c r="I96" s="4" t="n">
        <v>488</v>
      </c>
      <c r="J96" s="4" t="n">
        <v>55</v>
      </c>
      <c r="K96" s="4" t="n">
        <v>20</v>
      </c>
      <c r="L96" s="4" t="n">
        <f aca="false">IF(O96="Delivered",I96-J96+K96,0)</f>
        <v>453</v>
      </c>
      <c r="M96" s="0" t="n">
        <v>30</v>
      </c>
      <c r="N96" s="0" t="n">
        <v>4.3</v>
      </c>
      <c r="O96" s="3" t="s">
        <v>17</v>
      </c>
    </row>
    <row r="97" customFormat="false" ht="15" hidden="false" customHeight="false" outlineLevel="0" collapsed="false">
      <c r="A97" s="0" t="s">
        <v>1579</v>
      </c>
      <c r="B97" s="2" t="n">
        <v>45685</v>
      </c>
      <c r="C97" s="0" t="str">
        <f aca="false">TEXT(B97,"mmm")</f>
        <v>Jan</v>
      </c>
      <c r="D97" s="0" t="str">
        <f aca="false">TEXT(B97,"ddd")</f>
        <v>Tue</v>
      </c>
      <c r="E97" s="3" t="s">
        <v>51</v>
      </c>
      <c r="F97" s="3" t="s">
        <v>28</v>
      </c>
      <c r="G97" s="3" t="s">
        <v>15</v>
      </c>
      <c r="H97" s="3" t="s">
        <v>22</v>
      </c>
      <c r="I97" s="4" t="n">
        <v>438</v>
      </c>
      <c r="J97" s="4" t="n">
        <v>94</v>
      </c>
      <c r="K97" s="4" t="n">
        <v>30</v>
      </c>
      <c r="L97" s="4" t="n">
        <f aca="false">IF(O97="Delivered",I97-J97+K97,0)</f>
        <v>374</v>
      </c>
      <c r="M97" s="0" t="n">
        <v>40</v>
      </c>
      <c r="N97" s="0" t="n">
        <v>3.9</v>
      </c>
      <c r="O97" s="3" t="s">
        <v>17</v>
      </c>
    </row>
    <row r="98" customFormat="false" ht="15" hidden="false" customHeight="false" outlineLevel="0" collapsed="false">
      <c r="A98" s="0" t="s">
        <v>50</v>
      </c>
      <c r="B98" s="2" t="n">
        <v>45686</v>
      </c>
      <c r="C98" s="0" t="str">
        <f aca="false">TEXT(B98,"mmm")</f>
        <v>Jan</v>
      </c>
      <c r="D98" s="0" t="str">
        <f aca="false">TEXT(B98,"ddd")</f>
        <v>Wed</v>
      </c>
      <c r="E98" s="3" t="s">
        <v>51</v>
      </c>
      <c r="F98" s="3" t="s">
        <v>31</v>
      </c>
      <c r="G98" s="3" t="s">
        <v>15</v>
      </c>
      <c r="H98" s="3" t="s">
        <v>36</v>
      </c>
      <c r="I98" s="4" t="n">
        <v>540</v>
      </c>
      <c r="J98" s="4" t="n">
        <v>0</v>
      </c>
      <c r="K98" s="4" t="n">
        <v>0</v>
      </c>
      <c r="L98" s="4" t="n">
        <f aca="false">IF(O98="Delivered",I98-J98+K98,0)</f>
        <v>540</v>
      </c>
      <c r="M98" s="0" t="n">
        <v>30</v>
      </c>
      <c r="N98" s="0" t="n">
        <v>3.8</v>
      </c>
      <c r="O98" s="3" t="s">
        <v>17</v>
      </c>
    </row>
    <row r="99" customFormat="false" ht="15" hidden="false" customHeight="false" outlineLevel="0" collapsed="false">
      <c r="A99" s="0" t="s">
        <v>1624</v>
      </c>
      <c r="B99" s="2" t="n">
        <v>45686</v>
      </c>
      <c r="C99" s="0" t="str">
        <f aca="false">TEXT(B99,"mmm")</f>
        <v>Jan</v>
      </c>
      <c r="D99" s="0" t="str">
        <f aca="false">TEXT(B99,"ddd")</f>
        <v>Wed</v>
      </c>
      <c r="E99" s="3" t="s">
        <v>40</v>
      </c>
      <c r="F99" s="3" t="s">
        <v>49</v>
      </c>
      <c r="G99" s="3" t="s">
        <v>21</v>
      </c>
      <c r="H99" s="3" t="s">
        <v>22</v>
      </c>
      <c r="I99" s="4" t="n">
        <v>565</v>
      </c>
      <c r="J99" s="4" t="n">
        <v>0</v>
      </c>
      <c r="K99" s="4" t="n">
        <v>0</v>
      </c>
      <c r="L99" s="4" t="n">
        <f aca="false">IF(O99="Delivered",I99-J99+K99,0)</f>
        <v>565</v>
      </c>
      <c r="M99" s="0" t="n">
        <v>43</v>
      </c>
      <c r="N99" s="0" t="n">
        <v>4.5</v>
      </c>
      <c r="O99" s="3" t="s">
        <v>17</v>
      </c>
    </row>
    <row r="100" customFormat="false" ht="15" hidden="false" customHeight="false" outlineLevel="0" collapsed="false">
      <c r="A100" s="0" t="s">
        <v>332</v>
      </c>
      <c r="B100" s="2" t="n">
        <v>45687</v>
      </c>
      <c r="C100" s="0" t="str">
        <f aca="false">TEXT(B100,"mmm")</f>
        <v>Jan</v>
      </c>
      <c r="D100" s="0" t="str">
        <f aca="false">TEXT(B100,"ddd")</f>
        <v>Thu</v>
      </c>
      <c r="E100" s="3" t="s">
        <v>45</v>
      </c>
      <c r="F100" s="3" t="s">
        <v>20</v>
      </c>
      <c r="G100" s="3" t="s">
        <v>15</v>
      </c>
      <c r="H100" s="3" t="s">
        <v>16</v>
      </c>
      <c r="I100" s="4" t="n">
        <v>450</v>
      </c>
      <c r="J100" s="4" t="n">
        <v>103</v>
      </c>
      <c r="K100" s="4" t="n">
        <v>40</v>
      </c>
      <c r="L100" s="4" t="n">
        <f aca="false">IF(O100="Delivered",I100-J100+K100,0)</f>
        <v>387</v>
      </c>
      <c r="M100" s="0" t="n">
        <v>33</v>
      </c>
      <c r="N100" s="0" t="n">
        <v>4.7</v>
      </c>
      <c r="O100" s="3" t="s">
        <v>17</v>
      </c>
    </row>
    <row r="101" customFormat="false" ht="15" hidden="false" customHeight="false" outlineLevel="0" collapsed="false">
      <c r="A101" s="0" t="s">
        <v>805</v>
      </c>
      <c r="B101" s="2" t="n">
        <v>45687</v>
      </c>
      <c r="C101" s="0" t="str">
        <f aca="false">TEXT(B101,"mmm")</f>
        <v>Jan</v>
      </c>
      <c r="D101" s="0" t="str">
        <f aca="false">TEXT(B101,"ddd")</f>
        <v>Thu</v>
      </c>
      <c r="E101" s="3" t="s">
        <v>30</v>
      </c>
      <c r="F101" s="3" t="s">
        <v>28</v>
      </c>
      <c r="G101" s="3" t="s">
        <v>21</v>
      </c>
      <c r="H101" s="3" t="s">
        <v>34</v>
      </c>
      <c r="I101" s="4" t="n">
        <v>419</v>
      </c>
      <c r="J101" s="4" t="n">
        <v>91</v>
      </c>
      <c r="K101" s="4" t="n">
        <v>40</v>
      </c>
      <c r="L101" s="4" t="n">
        <f aca="false">IF(O101="Delivered",I101-J101+K101,0)</f>
        <v>0</v>
      </c>
      <c r="O101" s="3" t="s">
        <v>68</v>
      </c>
    </row>
    <row r="102" customFormat="false" ht="15" hidden="false" customHeight="false" outlineLevel="0" collapsed="false">
      <c r="A102" s="0" t="s">
        <v>857</v>
      </c>
      <c r="B102" s="2" t="n">
        <v>45687</v>
      </c>
      <c r="C102" s="0" t="str">
        <f aca="false">TEXT(B102,"mmm")</f>
        <v>Jan</v>
      </c>
      <c r="D102" s="0" t="str">
        <f aca="false">TEXT(B102,"ddd")</f>
        <v>Thu</v>
      </c>
      <c r="E102" s="3" t="s">
        <v>40</v>
      </c>
      <c r="F102" s="3" t="s">
        <v>25</v>
      </c>
      <c r="G102" s="3" t="s">
        <v>15</v>
      </c>
      <c r="H102" s="3" t="s">
        <v>22</v>
      </c>
      <c r="I102" s="4" t="n">
        <v>318</v>
      </c>
      <c r="J102" s="4" t="n">
        <v>54</v>
      </c>
      <c r="K102" s="4" t="n">
        <v>20</v>
      </c>
      <c r="L102" s="4" t="n">
        <f aca="false">IF(O102="Delivered",I102-J102+K102,0)</f>
        <v>284</v>
      </c>
      <c r="M102" s="0" t="n">
        <v>35</v>
      </c>
      <c r="N102" s="0" t="n">
        <v>4.4</v>
      </c>
      <c r="O102" s="3" t="s">
        <v>17</v>
      </c>
    </row>
    <row r="103" customFormat="false" ht="15" hidden="false" customHeight="false" outlineLevel="0" collapsed="false">
      <c r="A103" s="0" t="s">
        <v>1384</v>
      </c>
      <c r="B103" s="2" t="n">
        <v>45687</v>
      </c>
      <c r="C103" s="0" t="str">
        <f aca="false">TEXT(B103,"mmm")</f>
        <v>Jan</v>
      </c>
      <c r="D103" s="0" t="str">
        <f aca="false">TEXT(B103,"ddd")</f>
        <v>Thu</v>
      </c>
      <c r="E103" s="3" t="s">
        <v>27</v>
      </c>
      <c r="F103" s="3" t="s">
        <v>28</v>
      </c>
      <c r="G103" s="3" t="s">
        <v>15</v>
      </c>
      <c r="H103" s="3" t="s">
        <v>22</v>
      </c>
      <c r="I103" s="4" t="n">
        <v>414</v>
      </c>
      <c r="J103" s="4" t="n">
        <v>55</v>
      </c>
      <c r="K103" s="4" t="n">
        <v>20</v>
      </c>
      <c r="L103" s="4" t="n">
        <f aca="false">IF(O103="Delivered",I103-J103+K103,0)</f>
        <v>379</v>
      </c>
      <c r="M103" s="0" t="n">
        <v>43</v>
      </c>
      <c r="N103" s="0" t="n">
        <v>4.3</v>
      </c>
      <c r="O103" s="3" t="s">
        <v>17</v>
      </c>
    </row>
    <row r="104" customFormat="false" ht="15" hidden="false" customHeight="false" outlineLevel="0" collapsed="false">
      <c r="A104" s="0" t="s">
        <v>1667</v>
      </c>
      <c r="B104" s="2" t="n">
        <v>45687</v>
      </c>
      <c r="C104" s="0" t="str">
        <f aca="false">TEXT(B104,"mmm")</f>
        <v>Jan</v>
      </c>
      <c r="D104" s="0" t="str">
        <f aca="false">TEXT(B104,"ddd")</f>
        <v>Thu</v>
      </c>
      <c r="E104" s="3" t="s">
        <v>24</v>
      </c>
      <c r="F104" s="3" t="s">
        <v>20</v>
      </c>
      <c r="G104" s="3" t="s">
        <v>21</v>
      </c>
      <c r="H104" s="3" t="s">
        <v>54</v>
      </c>
      <c r="I104" s="4" t="n">
        <v>672</v>
      </c>
      <c r="J104" s="4" t="n">
        <v>0</v>
      </c>
      <c r="K104" s="4" t="n">
        <v>0</v>
      </c>
      <c r="L104" s="4" t="n">
        <f aca="false">IF(O104="Delivered",I104-J104+K104,0)</f>
        <v>672</v>
      </c>
      <c r="M104" s="0" t="n">
        <v>35</v>
      </c>
      <c r="N104" s="0" t="n">
        <v>3.3</v>
      </c>
      <c r="O104" s="3" t="s">
        <v>17</v>
      </c>
    </row>
    <row r="105" customFormat="false" ht="15" hidden="false" customHeight="false" outlineLevel="0" collapsed="false">
      <c r="A105" s="0" t="s">
        <v>1272</v>
      </c>
      <c r="B105" s="2" t="n">
        <v>45688</v>
      </c>
      <c r="C105" s="0" t="str">
        <f aca="false">TEXT(B105,"mmm")</f>
        <v>Jan</v>
      </c>
      <c r="D105" s="0" t="str">
        <f aca="false">TEXT(B105,"ddd")</f>
        <v>Fri</v>
      </c>
      <c r="E105" s="3" t="s">
        <v>27</v>
      </c>
      <c r="F105" s="3" t="s">
        <v>25</v>
      </c>
      <c r="G105" s="3" t="s">
        <v>15</v>
      </c>
      <c r="H105" s="3" t="s">
        <v>54</v>
      </c>
      <c r="I105" s="4" t="n">
        <v>312</v>
      </c>
      <c r="J105" s="4" t="n">
        <v>73</v>
      </c>
      <c r="K105" s="4" t="n">
        <v>20</v>
      </c>
      <c r="L105" s="4" t="n">
        <f aca="false">IF(O105="Delivered",I105-J105+K105,0)</f>
        <v>259</v>
      </c>
      <c r="M105" s="0" t="n">
        <v>36</v>
      </c>
      <c r="N105" s="0" t="n">
        <v>4.4</v>
      </c>
      <c r="O105" s="3" t="s">
        <v>17</v>
      </c>
    </row>
    <row r="106" customFormat="false" ht="15" hidden="false" customHeight="false" outlineLevel="0" collapsed="false">
      <c r="A106" s="0" t="s">
        <v>1315</v>
      </c>
      <c r="B106" s="2" t="n">
        <v>45688</v>
      </c>
      <c r="C106" s="0" t="str">
        <f aca="false">TEXT(B106,"mmm")</f>
        <v>Jan</v>
      </c>
      <c r="D106" s="0" t="str">
        <f aca="false">TEXT(B106,"ddd")</f>
        <v>Fri</v>
      </c>
      <c r="E106" s="3" t="s">
        <v>51</v>
      </c>
      <c r="F106" s="3" t="s">
        <v>31</v>
      </c>
      <c r="G106" s="3" t="s">
        <v>15</v>
      </c>
      <c r="H106" s="3" t="s">
        <v>36</v>
      </c>
      <c r="I106" s="4" t="n">
        <v>620</v>
      </c>
      <c r="J106" s="4" t="n">
        <v>130</v>
      </c>
      <c r="K106" s="4" t="n">
        <v>0</v>
      </c>
      <c r="L106" s="4" t="n">
        <f aca="false">IF(O106="Delivered",I106-J106+K106,0)</f>
        <v>490</v>
      </c>
      <c r="M106" s="0" t="n">
        <v>31</v>
      </c>
      <c r="N106" s="0" t="n">
        <v>4.9</v>
      </c>
      <c r="O106" s="3" t="s">
        <v>17</v>
      </c>
    </row>
    <row r="107" customFormat="false" ht="15" hidden="false" customHeight="false" outlineLevel="0" collapsed="false">
      <c r="A107" s="0" t="s">
        <v>619</v>
      </c>
      <c r="B107" s="2" t="n">
        <v>45689</v>
      </c>
      <c r="C107" s="0" t="str">
        <f aca="false">TEXT(B107,"mmm")</f>
        <v>Feb</v>
      </c>
      <c r="D107" s="0" t="str">
        <f aca="false">TEXT(B107,"ddd")</f>
        <v>Sat</v>
      </c>
      <c r="E107" s="3" t="s">
        <v>40</v>
      </c>
      <c r="F107" s="3" t="s">
        <v>78</v>
      </c>
      <c r="G107" s="3" t="s">
        <v>15</v>
      </c>
      <c r="H107" s="3" t="s">
        <v>36</v>
      </c>
      <c r="I107" s="4" t="n">
        <v>479</v>
      </c>
      <c r="J107" s="4" t="n">
        <v>0</v>
      </c>
      <c r="K107" s="4" t="n">
        <v>45</v>
      </c>
      <c r="L107" s="4" t="n">
        <f aca="false">IF(O107="Delivered",I107-J107+K107,0)</f>
        <v>524</v>
      </c>
      <c r="M107" s="0" t="n">
        <v>38</v>
      </c>
      <c r="N107" s="0" t="n">
        <v>4.2</v>
      </c>
      <c r="O107" s="3" t="s">
        <v>17</v>
      </c>
    </row>
    <row r="108" customFormat="false" ht="15" hidden="false" customHeight="false" outlineLevel="0" collapsed="false">
      <c r="A108" s="0" t="s">
        <v>1059</v>
      </c>
      <c r="B108" s="2" t="n">
        <v>45689</v>
      </c>
      <c r="C108" s="0" t="str">
        <f aca="false">TEXT(B108,"mmm")</f>
        <v>Feb</v>
      </c>
      <c r="D108" s="0" t="str">
        <f aca="false">TEXT(B108,"ddd")</f>
        <v>Sat</v>
      </c>
      <c r="E108" s="3" t="s">
        <v>24</v>
      </c>
      <c r="F108" s="3" t="s">
        <v>56</v>
      </c>
      <c r="G108" s="3" t="s">
        <v>15</v>
      </c>
      <c r="H108" s="3" t="s">
        <v>22</v>
      </c>
      <c r="I108" s="4" t="n">
        <v>335</v>
      </c>
      <c r="J108" s="4" t="n">
        <v>57</v>
      </c>
      <c r="K108" s="4" t="n">
        <v>20</v>
      </c>
      <c r="L108" s="4" t="n">
        <f aca="false">IF(O108="Delivered",I108-J108+K108,0)</f>
        <v>298</v>
      </c>
      <c r="M108" s="0" t="n">
        <v>24</v>
      </c>
      <c r="N108" s="0" t="n">
        <v>4.4</v>
      </c>
      <c r="O108" s="3" t="s">
        <v>17</v>
      </c>
    </row>
    <row r="109" customFormat="false" ht="15" hidden="false" customHeight="false" outlineLevel="0" collapsed="false">
      <c r="A109" s="0" t="s">
        <v>928</v>
      </c>
      <c r="B109" s="2" t="n">
        <v>45692</v>
      </c>
      <c r="C109" s="0" t="str">
        <f aca="false">TEXT(B109,"mmm")</f>
        <v>Feb</v>
      </c>
      <c r="D109" s="0" t="str">
        <f aca="false">TEXT(B109,"ddd")</f>
        <v>Tue</v>
      </c>
      <c r="E109" s="3" t="s">
        <v>24</v>
      </c>
      <c r="F109" s="3" t="s">
        <v>31</v>
      </c>
      <c r="G109" s="3" t="s">
        <v>21</v>
      </c>
      <c r="H109" s="3" t="s">
        <v>34</v>
      </c>
      <c r="I109" s="4" t="n">
        <v>573</v>
      </c>
      <c r="J109" s="4" t="n">
        <v>0</v>
      </c>
      <c r="K109" s="4" t="n">
        <v>0</v>
      </c>
      <c r="L109" s="4" t="n">
        <f aca="false">IF(O109="Delivered",I109-J109+K109,0)</f>
        <v>0</v>
      </c>
      <c r="O109" s="3" t="s">
        <v>68</v>
      </c>
    </row>
    <row r="110" customFormat="false" ht="15" hidden="false" customHeight="false" outlineLevel="0" collapsed="false">
      <c r="A110" s="0" t="s">
        <v>1608</v>
      </c>
      <c r="B110" s="2" t="n">
        <v>45692</v>
      </c>
      <c r="C110" s="0" t="str">
        <f aca="false">TEXT(B110,"mmm")</f>
        <v>Feb</v>
      </c>
      <c r="D110" s="0" t="str">
        <f aca="false">TEXT(B110,"ddd")</f>
        <v>Tue</v>
      </c>
      <c r="E110" s="3" t="s">
        <v>27</v>
      </c>
      <c r="F110" s="3" t="s">
        <v>31</v>
      </c>
      <c r="G110" s="3" t="s">
        <v>21</v>
      </c>
      <c r="H110" s="3" t="s">
        <v>22</v>
      </c>
      <c r="I110" s="4" t="n">
        <v>420</v>
      </c>
      <c r="J110" s="4" t="n">
        <v>0</v>
      </c>
      <c r="K110" s="4" t="n">
        <v>30</v>
      </c>
      <c r="L110" s="4" t="n">
        <f aca="false">IF(O110="Delivered",I110-J110+K110,0)</f>
        <v>450</v>
      </c>
      <c r="M110" s="0" t="n">
        <v>49</v>
      </c>
      <c r="N110" s="0" t="n">
        <v>3.8</v>
      </c>
      <c r="O110" s="3" t="s">
        <v>17</v>
      </c>
    </row>
    <row r="111" customFormat="false" ht="15" hidden="false" customHeight="false" outlineLevel="0" collapsed="false">
      <c r="A111" s="0" t="s">
        <v>657</v>
      </c>
      <c r="B111" s="2" t="n">
        <v>45693</v>
      </c>
      <c r="C111" s="0" t="str">
        <f aca="false">TEXT(B111,"mmm")</f>
        <v>Feb</v>
      </c>
      <c r="D111" s="0" t="str">
        <f aca="false">TEXT(B111,"ddd")</f>
        <v>Wed</v>
      </c>
      <c r="E111" s="3" t="s">
        <v>27</v>
      </c>
      <c r="F111" s="3" t="s">
        <v>78</v>
      </c>
      <c r="G111" s="3" t="s">
        <v>21</v>
      </c>
      <c r="H111" s="3" t="s">
        <v>16</v>
      </c>
      <c r="I111" s="4" t="n">
        <v>310</v>
      </c>
      <c r="J111" s="4" t="n">
        <v>0</v>
      </c>
      <c r="K111" s="4" t="n">
        <v>20</v>
      </c>
      <c r="L111" s="4" t="n">
        <f aca="false">IF(O111="Delivered",I111-J111+K111,0)</f>
        <v>330</v>
      </c>
      <c r="M111" s="0" t="n">
        <v>43</v>
      </c>
      <c r="N111" s="0" t="n">
        <v>4.3</v>
      </c>
      <c r="O111" s="3" t="s">
        <v>17</v>
      </c>
    </row>
    <row r="112" customFormat="false" ht="15" hidden="false" customHeight="false" outlineLevel="0" collapsed="false">
      <c r="A112" s="0" t="s">
        <v>1550</v>
      </c>
      <c r="B112" s="2" t="n">
        <v>45693</v>
      </c>
      <c r="C112" s="0" t="str">
        <f aca="false">TEXT(B112,"mmm")</f>
        <v>Feb</v>
      </c>
      <c r="D112" s="0" t="str">
        <f aca="false">TEXT(B112,"ddd")</f>
        <v>Wed</v>
      </c>
      <c r="E112" s="3" t="s">
        <v>24</v>
      </c>
      <c r="F112" s="3" t="s">
        <v>31</v>
      </c>
      <c r="G112" s="3" t="s">
        <v>21</v>
      </c>
      <c r="H112" s="3" t="s">
        <v>22</v>
      </c>
      <c r="I112" s="4" t="n">
        <v>491</v>
      </c>
      <c r="J112" s="4" t="n">
        <v>0</v>
      </c>
      <c r="K112" s="4" t="n">
        <v>30</v>
      </c>
      <c r="L112" s="4" t="n">
        <f aca="false">IF(O112="Delivered",I112-J112+K112,0)</f>
        <v>521</v>
      </c>
      <c r="M112" s="0" t="n">
        <v>36</v>
      </c>
      <c r="N112" s="0" t="n">
        <v>4.2</v>
      </c>
      <c r="O112" s="3" t="s">
        <v>17</v>
      </c>
    </row>
    <row r="113" customFormat="false" ht="15" hidden="false" customHeight="false" outlineLevel="0" collapsed="false">
      <c r="A113" s="0" t="s">
        <v>198</v>
      </c>
      <c r="B113" s="2" t="n">
        <v>45694</v>
      </c>
      <c r="C113" s="0" t="str">
        <f aca="false">TEXT(B113,"mmm")</f>
        <v>Feb</v>
      </c>
      <c r="D113" s="0" t="str">
        <f aca="false">TEXT(B113,"ddd")</f>
        <v>Thu</v>
      </c>
      <c r="E113" s="3" t="s">
        <v>13</v>
      </c>
      <c r="F113" s="3" t="s">
        <v>56</v>
      </c>
      <c r="G113" s="3" t="s">
        <v>15</v>
      </c>
      <c r="H113" s="3" t="s">
        <v>16</v>
      </c>
      <c r="I113" s="4" t="n">
        <v>360</v>
      </c>
      <c r="J113" s="4" t="n">
        <v>0</v>
      </c>
      <c r="K113" s="4" t="n">
        <v>40</v>
      </c>
      <c r="L113" s="4" t="n">
        <f aca="false">IF(O113="Delivered",I113-J113+K113,0)</f>
        <v>400</v>
      </c>
      <c r="M113" s="0" t="n">
        <v>31</v>
      </c>
      <c r="N113" s="0" t="n">
        <v>4</v>
      </c>
      <c r="O113" s="3" t="s">
        <v>17</v>
      </c>
    </row>
    <row r="114" customFormat="false" ht="15" hidden="false" customHeight="false" outlineLevel="0" collapsed="false">
      <c r="A114" s="0" t="s">
        <v>178</v>
      </c>
      <c r="B114" s="2" t="n">
        <v>45695</v>
      </c>
      <c r="C114" s="0" t="str">
        <f aca="false">TEXT(B114,"mmm")</f>
        <v>Feb</v>
      </c>
      <c r="D114" s="0" t="str">
        <f aca="false">TEXT(B114,"ddd")</f>
        <v>Fri</v>
      </c>
      <c r="E114" s="3" t="s">
        <v>30</v>
      </c>
      <c r="F114" s="3" t="s">
        <v>25</v>
      </c>
      <c r="G114" s="3" t="s">
        <v>21</v>
      </c>
      <c r="H114" s="3" t="s">
        <v>36</v>
      </c>
      <c r="I114" s="4" t="n">
        <v>588</v>
      </c>
      <c r="J114" s="4" t="n">
        <v>0</v>
      </c>
      <c r="K114" s="4" t="n">
        <v>0</v>
      </c>
      <c r="L114" s="4" t="n">
        <f aca="false">IF(O114="Delivered",I114-J114+K114,0)</f>
        <v>588</v>
      </c>
      <c r="M114" s="0" t="n">
        <v>46</v>
      </c>
      <c r="N114" s="0" t="n">
        <v>3.1</v>
      </c>
      <c r="O114" s="3" t="s">
        <v>17</v>
      </c>
    </row>
    <row r="115" customFormat="false" ht="15" hidden="false" customHeight="false" outlineLevel="0" collapsed="false">
      <c r="A115" s="0" t="s">
        <v>424</v>
      </c>
      <c r="B115" s="2" t="n">
        <v>45695</v>
      </c>
      <c r="C115" s="0" t="str">
        <f aca="false">TEXT(B115,"mmm")</f>
        <v>Feb</v>
      </c>
      <c r="D115" s="0" t="str">
        <f aca="false">TEXT(B115,"ddd")</f>
        <v>Fri</v>
      </c>
      <c r="E115" s="3" t="s">
        <v>30</v>
      </c>
      <c r="F115" s="3" t="s">
        <v>25</v>
      </c>
      <c r="G115" s="3" t="s">
        <v>15</v>
      </c>
      <c r="H115" s="3" t="s">
        <v>22</v>
      </c>
      <c r="I115" s="4" t="n">
        <v>538</v>
      </c>
      <c r="J115" s="4" t="n">
        <v>63</v>
      </c>
      <c r="K115" s="4" t="n">
        <v>0</v>
      </c>
      <c r="L115" s="4" t="n">
        <f aca="false">IF(O115="Delivered",I115-J115+K115,0)</f>
        <v>475</v>
      </c>
      <c r="M115" s="0" t="n">
        <v>37</v>
      </c>
      <c r="N115" s="0" t="n">
        <v>3.4</v>
      </c>
      <c r="O115" s="3" t="s">
        <v>17</v>
      </c>
    </row>
    <row r="116" customFormat="false" ht="15" hidden="false" customHeight="false" outlineLevel="0" collapsed="false">
      <c r="A116" s="0" t="s">
        <v>675</v>
      </c>
      <c r="B116" s="2" t="n">
        <v>45695</v>
      </c>
      <c r="C116" s="0" t="str">
        <f aca="false">TEXT(B116,"mmm")</f>
        <v>Feb</v>
      </c>
      <c r="D116" s="0" t="str">
        <f aca="false">TEXT(B116,"ddd")</f>
        <v>Fri</v>
      </c>
      <c r="E116" s="3" t="s">
        <v>51</v>
      </c>
      <c r="F116" s="3" t="s">
        <v>28</v>
      </c>
      <c r="G116" s="3" t="s">
        <v>15</v>
      </c>
      <c r="H116" s="3" t="s">
        <v>16</v>
      </c>
      <c r="I116" s="4" t="n">
        <v>296</v>
      </c>
      <c r="J116" s="4" t="n">
        <v>72</v>
      </c>
      <c r="K116" s="4" t="n">
        <v>30</v>
      </c>
      <c r="L116" s="4" t="n">
        <f aca="false">IF(O116="Delivered",I116-J116+K116,0)</f>
        <v>254</v>
      </c>
      <c r="M116" s="0" t="n">
        <v>31</v>
      </c>
      <c r="N116" s="0" t="n">
        <v>4.2</v>
      </c>
      <c r="O116" s="3" t="s">
        <v>17</v>
      </c>
    </row>
    <row r="117" customFormat="false" ht="15" hidden="false" customHeight="false" outlineLevel="0" collapsed="false">
      <c r="A117" s="0" t="s">
        <v>749</v>
      </c>
      <c r="B117" s="2" t="n">
        <v>45695</v>
      </c>
      <c r="C117" s="0" t="str">
        <f aca="false">TEXT(B117,"mmm")</f>
        <v>Feb</v>
      </c>
      <c r="D117" s="0" t="str">
        <f aca="false">TEXT(B117,"ddd")</f>
        <v>Fri</v>
      </c>
      <c r="E117" s="3" t="s">
        <v>24</v>
      </c>
      <c r="F117" s="3" t="s">
        <v>28</v>
      </c>
      <c r="G117" s="3" t="s">
        <v>15</v>
      </c>
      <c r="H117" s="3" t="s">
        <v>34</v>
      </c>
      <c r="I117" s="4" t="n">
        <v>415</v>
      </c>
      <c r="J117" s="4" t="n">
        <v>44</v>
      </c>
      <c r="K117" s="4" t="n">
        <v>45</v>
      </c>
      <c r="L117" s="4" t="n">
        <f aca="false">IF(O117="Delivered",I117-J117+K117,0)</f>
        <v>416</v>
      </c>
      <c r="M117" s="0" t="n">
        <v>32</v>
      </c>
      <c r="N117" s="0" t="n">
        <v>4.5</v>
      </c>
      <c r="O117" s="3" t="s">
        <v>17</v>
      </c>
    </row>
    <row r="118" customFormat="false" ht="15" hidden="false" customHeight="false" outlineLevel="0" collapsed="false">
      <c r="A118" s="0" t="s">
        <v>786</v>
      </c>
      <c r="B118" s="2" t="n">
        <v>45695</v>
      </c>
      <c r="C118" s="0" t="str">
        <f aca="false">TEXT(B118,"mmm")</f>
        <v>Feb</v>
      </c>
      <c r="D118" s="0" t="str">
        <f aca="false">TEXT(B118,"ddd")</f>
        <v>Fri</v>
      </c>
      <c r="E118" s="3" t="s">
        <v>27</v>
      </c>
      <c r="F118" s="3" t="s">
        <v>28</v>
      </c>
      <c r="G118" s="3" t="s">
        <v>21</v>
      </c>
      <c r="H118" s="3" t="s">
        <v>36</v>
      </c>
      <c r="I118" s="4" t="n">
        <v>474</v>
      </c>
      <c r="J118" s="4" t="n">
        <v>0</v>
      </c>
      <c r="K118" s="4" t="n">
        <v>30</v>
      </c>
      <c r="L118" s="4" t="n">
        <f aca="false">IF(O118="Delivered",I118-J118+K118,0)</f>
        <v>504</v>
      </c>
      <c r="M118" s="0" t="n">
        <v>33</v>
      </c>
      <c r="N118" s="0" t="n">
        <v>4.8</v>
      </c>
      <c r="O118" s="3" t="s">
        <v>17</v>
      </c>
    </row>
    <row r="119" customFormat="false" ht="15" hidden="false" customHeight="false" outlineLevel="0" collapsed="false">
      <c r="A119" s="0" t="s">
        <v>1344</v>
      </c>
      <c r="B119" s="2" t="n">
        <v>45695</v>
      </c>
      <c r="C119" s="0" t="str">
        <f aca="false">TEXT(B119,"mmm")</f>
        <v>Feb</v>
      </c>
      <c r="D119" s="0" t="str">
        <f aca="false">TEXT(B119,"ddd")</f>
        <v>Fri</v>
      </c>
      <c r="E119" s="3" t="s">
        <v>40</v>
      </c>
      <c r="F119" s="3" t="s">
        <v>28</v>
      </c>
      <c r="G119" s="3" t="s">
        <v>15</v>
      </c>
      <c r="H119" s="3" t="s">
        <v>36</v>
      </c>
      <c r="I119" s="4" t="n">
        <v>500</v>
      </c>
      <c r="J119" s="4" t="n">
        <v>0</v>
      </c>
      <c r="K119" s="4" t="n">
        <v>0</v>
      </c>
      <c r="L119" s="4" t="n">
        <f aca="false">IF(O119="Delivered",I119-J119+K119,0)</f>
        <v>500</v>
      </c>
      <c r="M119" s="0" t="n">
        <v>41</v>
      </c>
      <c r="O119" s="3" t="s">
        <v>17</v>
      </c>
    </row>
    <row r="120" customFormat="false" ht="15" hidden="false" customHeight="false" outlineLevel="0" collapsed="false">
      <c r="A120" s="0" t="s">
        <v>149</v>
      </c>
      <c r="B120" s="2" t="n">
        <v>45696</v>
      </c>
      <c r="C120" s="0" t="str">
        <f aca="false">TEXT(B120,"mmm")</f>
        <v>Feb</v>
      </c>
      <c r="D120" s="0" t="str">
        <f aca="false">TEXT(B120,"ddd")</f>
        <v>Sat</v>
      </c>
      <c r="E120" s="3" t="s">
        <v>40</v>
      </c>
      <c r="F120" s="3" t="s">
        <v>56</v>
      </c>
      <c r="G120" s="3" t="s">
        <v>15</v>
      </c>
      <c r="H120" s="3" t="s">
        <v>16</v>
      </c>
      <c r="I120" s="4" t="n">
        <v>224</v>
      </c>
      <c r="J120" s="4" t="n">
        <v>24</v>
      </c>
      <c r="K120" s="4" t="n">
        <v>40</v>
      </c>
      <c r="L120" s="4" t="n">
        <f aca="false">IF(O120="Delivered",I120-J120+K120,0)</f>
        <v>240</v>
      </c>
      <c r="M120" s="0" t="n">
        <v>18</v>
      </c>
      <c r="N120" s="0" t="n">
        <v>4.1</v>
      </c>
      <c r="O120" s="3" t="s">
        <v>17</v>
      </c>
    </row>
    <row r="121" customFormat="false" ht="15" hidden="false" customHeight="false" outlineLevel="0" collapsed="false">
      <c r="A121" s="0" t="s">
        <v>451</v>
      </c>
      <c r="B121" s="2" t="n">
        <v>45696</v>
      </c>
      <c r="C121" s="0" t="str">
        <f aca="false">TEXT(B121,"mmm")</f>
        <v>Feb</v>
      </c>
      <c r="D121" s="0" t="str">
        <f aca="false">TEXT(B121,"ddd")</f>
        <v>Sat</v>
      </c>
      <c r="E121" s="3" t="s">
        <v>27</v>
      </c>
      <c r="F121" s="3" t="s">
        <v>20</v>
      </c>
      <c r="G121" s="3" t="s">
        <v>21</v>
      </c>
      <c r="H121" s="3" t="s">
        <v>22</v>
      </c>
      <c r="I121" s="4" t="n">
        <v>566</v>
      </c>
      <c r="J121" s="4" t="n">
        <v>0</v>
      </c>
      <c r="K121" s="4" t="n">
        <v>0</v>
      </c>
      <c r="L121" s="4" t="n">
        <f aca="false">IF(O121="Delivered",I121-J121+K121,0)</f>
        <v>566</v>
      </c>
      <c r="M121" s="0" t="n">
        <v>47</v>
      </c>
      <c r="N121" s="0" t="n">
        <v>3.8</v>
      </c>
      <c r="O121" s="3" t="s">
        <v>17</v>
      </c>
    </row>
    <row r="122" customFormat="false" ht="15" hidden="false" customHeight="false" outlineLevel="0" collapsed="false">
      <c r="A122" s="0" t="s">
        <v>137</v>
      </c>
      <c r="B122" s="2" t="n">
        <v>45697</v>
      </c>
      <c r="C122" s="0" t="str">
        <f aca="false">TEXT(B122,"mmm")</f>
        <v>Feb</v>
      </c>
      <c r="D122" s="0" t="str">
        <f aca="false">TEXT(B122,"ddd")</f>
        <v>Sun</v>
      </c>
      <c r="E122" s="3" t="s">
        <v>51</v>
      </c>
      <c r="F122" s="3" t="s">
        <v>25</v>
      </c>
      <c r="G122" s="3" t="s">
        <v>21</v>
      </c>
      <c r="H122" s="3" t="s">
        <v>36</v>
      </c>
      <c r="I122" s="4" t="n">
        <v>400</v>
      </c>
      <c r="J122" s="4" t="n">
        <v>42</v>
      </c>
      <c r="K122" s="4" t="n">
        <v>30</v>
      </c>
      <c r="L122" s="4" t="n">
        <f aca="false">IF(O122="Delivered",I122-J122+K122,0)</f>
        <v>388</v>
      </c>
      <c r="M122" s="0" t="n">
        <v>27</v>
      </c>
      <c r="N122" s="0" t="n">
        <v>4.3</v>
      </c>
      <c r="O122" s="3" t="s">
        <v>17</v>
      </c>
    </row>
    <row r="123" customFormat="false" ht="15" hidden="false" customHeight="false" outlineLevel="0" collapsed="false">
      <c r="A123" s="0" t="s">
        <v>506</v>
      </c>
      <c r="B123" s="2" t="n">
        <v>45697</v>
      </c>
      <c r="C123" s="0" t="str">
        <f aca="false">TEXT(B123,"mmm")</f>
        <v>Feb</v>
      </c>
      <c r="D123" s="0" t="str">
        <f aca="false">TEXT(B123,"ddd")</f>
        <v>Sun</v>
      </c>
      <c r="E123" s="3" t="s">
        <v>45</v>
      </c>
      <c r="F123" s="3" t="s">
        <v>56</v>
      </c>
      <c r="G123" s="3" t="s">
        <v>21</v>
      </c>
      <c r="H123" s="3" t="s">
        <v>16</v>
      </c>
      <c r="I123" s="4" t="n">
        <v>299</v>
      </c>
      <c r="J123" s="4" t="n">
        <v>0</v>
      </c>
      <c r="K123" s="4" t="n">
        <v>20</v>
      </c>
      <c r="L123" s="4" t="n">
        <f aca="false">IF(O123="Delivered",I123-J123+K123,0)</f>
        <v>319</v>
      </c>
      <c r="M123" s="0" t="n">
        <v>25</v>
      </c>
      <c r="N123" s="0" t="n">
        <v>4</v>
      </c>
      <c r="O123" s="3" t="s">
        <v>17</v>
      </c>
    </row>
    <row r="124" customFormat="false" ht="15" hidden="false" customHeight="false" outlineLevel="0" collapsed="false">
      <c r="A124" s="0" t="s">
        <v>553</v>
      </c>
      <c r="B124" s="2" t="n">
        <v>45697</v>
      </c>
      <c r="C124" s="0" t="str">
        <f aca="false">TEXT(B124,"mmm")</f>
        <v>Feb</v>
      </c>
      <c r="D124" s="0" t="str">
        <f aca="false">TEXT(B124,"ddd")</f>
        <v>Sun</v>
      </c>
      <c r="E124" s="3" t="s">
        <v>45</v>
      </c>
      <c r="F124" s="3" t="s">
        <v>78</v>
      </c>
      <c r="G124" s="3" t="s">
        <v>15</v>
      </c>
      <c r="H124" s="3" t="s">
        <v>34</v>
      </c>
      <c r="I124" s="4" t="n">
        <v>475</v>
      </c>
      <c r="J124" s="4" t="n">
        <v>0</v>
      </c>
      <c r="K124" s="4" t="n">
        <v>45</v>
      </c>
      <c r="L124" s="4" t="n">
        <f aca="false">IF(O124="Delivered",I124-J124+K124,0)</f>
        <v>520</v>
      </c>
      <c r="M124" s="0" t="n">
        <v>27</v>
      </c>
      <c r="N124" s="0" t="n">
        <v>4.8</v>
      </c>
      <c r="O124" s="3" t="s">
        <v>17</v>
      </c>
    </row>
    <row r="125" customFormat="false" ht="15" hidden="false" customHeight="false" outlineLevel="0" collapsed="false">
      <c r="A125" s="0" t="s">
        <v>1193</v>
      </c>
      <c r="B125" s="2" t="n">
        <v>45697</v>
      </c>
      <c r="C125" s="0" t="str">
        <f aca="false">TEXT(B125,"mmm")</f>
        <v>Feb</v>
      </c>
      <c r="D125" s="0" t="str">
        <f aca="false">TEXT(B125,"ddd")</f>
        <v>Sun</v>
      </c>
      <c r="E125" s="3" t="s">
        <v>27</v>
      </c>
      <c r="F125" s="3" t="s">
        <v>56</v>
      </c>
      <c r="G125" s="3" t="s">
        <v>21</v>
      </c>
      <c r="H125" s="3" t="s">
        <v>34</v>
      </c>
      <c r="I125" s="4" t="n">
        <v>443</v>
      </c>
      <c r="J125" s="4" t="n">
        <v>0</v>
      </c>
      <c r="K125" s="4" t="n">
        <v>40</v>
      </c>
      <c r="L125" s="4" t="n">
        <f aca="false">IF(O125="Delivered",I125-J125+K125,0)</f>
        <v>483</v>
      </c>
      <c r="M125" s="0" t="n">
        <v>31</v>
      </c>
      <c r="N125" s="0" t="n">
        <v>4.1</v>
      </c>
      <c r="O125" s="3" t="s">
        <v>17</v>
      </c>
    </row>
    <row r="126" customFormat="false" ht="15" hidden="false" customHeight="false" outlineLevel="0" collapsed="false">
      <c r="A126" s="0" t="s">
        <v>1607</v>
      </c>
      <c r="B126" s="2" t="n">
        <v>45697</v>
      </c>
      <c r="C126" s="0" t="str">
        <f aca="false">TEXT(B126,"mmm")</f>
        <v>Feb</v>
      </c>
      <c r="D126" s="0" t="str">
        <f aca="false">TEXT(B126,"ddd")</f>
        <v>Sun</v>
      </c>
      <c r="E126" s="3" t="s">
        <v>13</v>
      </c>
      <c r="F126" s="3" t="s">
        <v>31</v>
      </c>
      <c r="G126" s="3" t="s">
        <v>21</v>
      </c>
      <c r="H126" s="3" t="s">
        <v>54</v>
      </c>
      <c r="I126" s="4" t="n">
        <v>507</v>
      </c>
      <c r="J126" s="4" t="n">
        <v>0</v>
      </c>
      <c r="K126" s="4" t="n">
        <v>0</v>
      </c>
      <c r="L126" s="4" t="n">
        <f aca="false">IF(O126="Delivered",I126-J126+K126,0)</f>
        <v>507</v>
      </c>
      <c r="M126" s="0" t="n">
        <v>35</v>
      </c>
      <c r="N126" s="0" t="n">
        <v>4.1</v>
      </c>
      <c r="O126" s="3" t="s">
        <v>17</v>
      </c>
    </row>
    <row r="127" customFormat="false" ht="15" hidden="false" customHeight="false" outlineLevel="0" collapsed="false">
      <c r="A127" s="0" t="s">
        <v>1638</v>
      </c>
      <c r="B127" s="2" t="n">
        <v>45697</v>
      </c>
      <c r="C127" s="0" t="str">
        <f aca="false">TEXT(B127,"mmm")</f>
        <v>Feb</v>
      </c>
      <c r="D127" s="0" t="str">
        <f aca="false">TEXT(B127,"ddd")</f>
        <v>Sun</v>
      </c>
      <c r="E127" s="3" t="s">
        <v>24</v>
      </c>
      <c r="F127" s="3" t="s">
        <v>25</v>
      </c>
      <c r="G127" s="3" t="s">
        <v>21</v>
      </c>
      <c r="H127" s="3" t="s">
        <v>16</v>
      </c>
      <c r="I127" s="4" t="n">
        <v>469</v>
      </c>
      <c r="J127" s="4" t="n">
        <v>105</v>
      </c>
      <c r="K127" s="4" t="n">
        <v>40</v>
      </c>
      <c r="L127" s="4" t="n">
        <f aca="false">IF(O127="Delivered",I127-J127+K127,0)</f>
        <v>404</v>
      </c>
      <c r="M127" s="0" t="n">
        <v>38</v>
      </c>
      <c r="N127" s="0" t="n">
        <v>4.5</v>
      </c>
      <c r="O127" s="3" t="s">
        <v>17</v>
      </c>
    </row>
    <row r="128" customFormat="false" ht="15" hidden="false" customHeight="false" outlineLevel="0" collapsed="false">
      <c r="A128" s="0" t="s">
        <v>1329</v>
      </c>
      <c r="B128" s="2" t="n">
        <v>45698</v>
      </c>
      <c r="C128" s="0" t="str">
        <f aca="false">TEXT(B128,"mmm")</f>
        <v>Feb</v>
      </c>
      <c r="D128" s="0" t="str">
        <f aca="false">TEXT(B128,"ddd")</f>
        <v>Mon</v>
      </c>
      <c r="E128" s="3" t="s">
        <v>27</v>
      </c>
      <c r="F128" s="3" t="s">
        <v>56</v>
      </c>
      <c r="G128" s="3" t="s">
        <v>21</v>
      </c>
      <c r="H128" s="3" t="s">
        <v>22</v>
      </c>
      <c r="I128" s="4" t="n">
        <v>476</v>
      </c>
      <c r="J128" s="4" t="n">
        <v>60</v>
      </c>
      <c r="K128" s="4" t="n">
        <v>30</v>
      </c>
      <c r="L128" s="4" t="n">
        <f aca="false">IF(O128="Delivered",I128-J128+K128,0)</f>
        <v>446</v>
      </c>
      <c r="M128" s="0" t="n">
        <v>40</v>
      </c>
      <c r="N128" s="0" t="n">
        <v>3.8</v>
      </c>
      <c r="O128" s="3" t="s">
        <v>17</v>
      </c>
    </row>
    <row r="129" customFormat="false" ht="15" hidden="false" customHeight="false" outlineLevel="0" collapsed="false">
      <c r="A129" s="0" t="s">
        <v>29</v>
      </c>
      <c r="B129" s="2" t="n">
        <v>45699</v>
      </c>
      <c r="C129" s="0" t="str">
        <f aca="false">TEXT(B129,"mmm")</f>
        <v>Feb</v>
      </c>
      <c r="D129" s="0" t="str">
        <f aca="false">TEXT(B129,"ddd")</f>
        <v>Tue</v>
      </c>
      <c r="E129" s="3" t="s">
        <v>30</v>
      </c>
      <c r="F129" s="3" t="s">
        <v>31</v>
      </c>
      <c r="G129" s="3" t="s">
        <v>15</v>
      </c>
      <c r="H129" s="3" t="s">
        <v>22</v>
      </c>
      <c r="I129" s="4" t="n">
        <v>678</v>
      </c>
      <c r="J129" s="4" t="n">
        <v>0</v>
      </c>
      <c r="K129" s="4" t="n">
        <v>0</v>
      </c>
      <c r="L129" s="4" t="n">
        <f aca="false">IF(O129="Delivered",I129-J129+K129,0)</f>
        <v>678</v>
      </c>
      <c r="M129" s="0" t="n">
        <v>31</v>
      </c>
      <c r="N129" s="0" t="n">
        <v>3.8</v>
      </c>
      <c r="O129" s="3" t="s">
        <v>17</v>
      </c>
    </row>
    <row r="130" customFormat="false" ht="15" hidden="false" customHeight="false" outlineLevel="0" collapsed="false">
      <c r="A130" s="0" t="s">
        <v>254</v>
      </c>
      <c r="B130" s="2" t="n">
        <v>45699</v>
      </c>
      <c r="C130" s="0" t="str">
        <f aca="false">TEXT(B130,"mmm")</f>
        <v>Feb</v>
      </c>
      <c r="D130" s="0" t="str">
        <f aca="false">TEXT(B130,"ddd")</f>
        <v>Tue</v>
      </c>
      <c r="E130" s="3" t="s">
        <v>27</v>
      </c>
      <c r="F130" s="3" t="s">
        <v>14</v>
      </c>
      <c r="G130" s="3" t="s">
        <v>21</v>
      </c>
      <c r="H130" s="3" t="s">
        <v>22</v>
      </c>
      <c r="I130" s="4" t="n">
        <v>310</v>
      </c>
      <c r="J130" s="4" t="n">
        <v>42</v>
      </c>
      <c r="K130" s="4" t="n">
        <v>20</v>
      </c>
      <c r="L130" s="4" t="n">
        <f aca="false">IF(O130="Delivered",I130-J130+K130,0)</f>
        <v>288</v>
      </c>
      <c r="M130" s="0" t="n">
        <v>43</v>
      </c>
      <c r="N130" s="0" t="n">
        <v>5</v>
      </c>
      <c r="O130" s="3" t="s">
        <v>17</v>
      </c>
    </row>
    <row r="131" customFormat="false" ht="15" hidden="false" customHeight="false" outlineLevel="0" collapsed="false">
      <c r="A131" s="0" t="s">
        <v>422</v>
      </c>
      <c r="B131" s="2" t="n">
        <v>45699</v>
      </c>
      <c r="C131" s="0" t="str">
        <f aca="false">TEXT(B131,"mmm")</f>
        <v>Feb</v>
      </c>
      <c r="D131" s="0" t="str">
        <f aca="false">TEXT(B131,"ddd")</f>
        <v>Tue</v>
      </c>
      <c r="E131" s="3" t="s">
        <v>40</v>
      </c>
      <c r="F131" s="3" t="s">
        <v>56</v>
      </c>
      <c r="G131" s="3" t="s">
        <v>15</v>
      </c>
      <c r="H131" s="3" t="s">
        <v>16</v>
      </c>
      <c r="I131" s="4" t="n">
        <v>385</v>
      </c>
      <c r="J131" s="4" t="n">
        <v>0</v>
      </c>
      <c r="K131" s="4" t="n">
        <v>45</v>
      </c>
      <c r="L131" s="4" t="n">
        <f aca="false">IF(O131="Delivered",I131-J131+K131,0)</f>
        <v>0</v>
      </c>
      <c r="O131" s="3" t="s">
        <v>68</v>
      </c>
    </row>
    <row r="132" customFormat="false" ht="15" hidden="false" customHeight="false" outlineLevel="0" collapsed="false">
      <c r="A132" s="0" t="s">
        <v>437</v>
      </c>
      <c r="B132" s="2" t="n">
        <v>45699</v>
      </c>
      <c r="C132" s="0" t="str">
        <f aca="false">TEXT(B132,"mmm")</f>
        <v>Feb</v>
      </c>
      <c r="D132" s="0" t="str">
        <f aca="false">TEXT(B132,"ddd")</f>
        <v>Tue</v>
      </c>
      <c r="E132" s="3" t="s">
        <v>13</v>
      </c>
      <c r="F132" s="3" t="s">
        <v>56</v>
      </c>
      <c r="G132" s="3" t="s">
        <v>21</v>
      </c>
      <c r="H132" s="3" t="s">
        <v>36</v>
      </c>
      <c r="I132" s="4" t="n">
        <v>305</v>
      </c>
      <c r="J132" s="4" t="n">
        <v>35</v>
      </c>
      <c r="K132" s="4" t="n">
        <v>45</v>
      </c>
      <c r="L132" s="4" t="n">
        <f aca="false">IF(O132="Delivered",I132-J132+K132,0)</f>
        <v>315</v>
      </c>
      <c r="M132" s="0" t="n">
        <v>29</v>
      </c>
      <c r="N132" s="0" t="n">
        <v>4.9</v>
      </c>
      <c r="O132" s="3" t="s">
        <v>17</v>
      </c>
    </row>
    <row r="133" customFormat="false" ht="15" hidden="false" customHeight="false" outlineLevel="0" collapsed="false">
      <c r="A133" s="0" t="s">
        <v>983</v>
      </c>
      <c r="B133" s="2" t="n">
        <v>45699</v>
      </c>
      <c r="C133" s="0" t="str">
        <f aca="false">TEXT(B133,"mmm")</f>
        <v>Feb</v>
      </c>
      <c r="D133" s="0" t="str">
        <f aca="false">TEXT(B133,"ddd")</f>
        <v>Tue</v>
      </c>
      <c r="E133" s="3" t="s">
        <v>13</v>
      </c>
      <c r="F133" s="3" t="s">
        <v>78</v>
      </c>
      <c r="G133" s="3" t="s">
        <v>15</v>
      </c>
      <c r="H133" s="3" t="s">
        <v>34</v>
      </c>
      <c r="I133" s="4" t="n">
        <v>484</v>
      </c>
      <c r="J133" s="4" t="n">
        <v>0</v>
      </c>
      <c r="K133" s="4" t="n">
        <v>30</v>
      </c>
      <c r="L133" s="4" t="n">
        <f aca="false">IF(O133="Delivered",I133-J133+K133,0)</f>
        <v>514</v>
      </c>
      <c r="M133" s="0" t="n">
        <v>40</v>
      </c>
      <c r="N133" s="0" t="n">
        <v>3.8</v>
      </c>
      <c r="O133" s="3" t="s">
        <v>17</v>
      </c>
    </row>
    <row r="134" customFormat="false" ht="15" hidden="false" customHeight="false" outlineLevel="0" collapsed="false">
      <c r="A134" s="0" t="s">
        <v>1290</v>
      </c>
      <c r="B134" s="2" t="n">
        <v>45699</v>
      </c>
      <c r="C134" s="0" t="str">
        <f aca="false">TEXT(B134,"mmm")</f>
        <v>Feb</v>
      </c>
      <c r="D134" s="0" t="str">
        <f aca="false">TEXT(B134,"ddd")</f>
        <v>Tue</v>
      </c>
      <c r="E134" s="3" t="s">
        <v>45</v>
      </c>
      <c r="F134" s="3" t="s">
        <v>56</v>
      </c>
      <c r="G134" s="3" t="s">
        <v>21</v>
      </c>
      <c r="H134" s="3" t="s">
        <v>22</v>
      </c>
      <c r="I134" s="4" t="n">
        <v>356</v>
      </c>
      <c r="J134" s="4" t="n">
        <v>0</v>
      </c>
      <c r="K134" s="4" t="n">
        <v>45</v>
      </c>
      <c r="L134" s="4" t="n">
        <f aca="false">IF(O134="Delivered",I134-J134+K134,0)</f>
        <v>401</v>
      </c>
      <c r="M134" s="0" t="n">
        <v>32</v>
      </c>
      <c r="N134" s="0" t="n">
        <v>4.9</v>
      </c>
      <c r="O134" s="3" t="s">
        <v>17</v>
      </c>
    </row>
    <row r="135" customFormat="false" ht="15" hidden="false" customHeight="false" outlineLevel="0" collapsed="false">
      <c r="A135" s="0" t="s">
        <v>1465</v>
      </c>
      <c r="B135" s="2" t="n">
        <v>45699</v>
      </c>
      <c r="C135" s="0" t="str">
        <f aca="false">TEXT(B135,"mmm")</f>
        <v>Feb</v>
      </c>
      <c r="D135" s="0" t="str">
        <f aca="false">TEXT(B135,"ddd")</f>
        <v>Tue</v>
      </c>
      <c r="E135" s="3" t="s">
        <v>13</v>
      </c>
      <c r="F135" s="3" t="s">
        <v>56</v>
      </c>
      <c r="G135" s="3" t="s">
        <v>21</v>
      </c>
      <c r="H135" s="3" t="s">
        <v>36</v>
      </c>
      <c r="I135" s="4" t="n">
        <v>370</v>
      </c>
      <c r="J135" s="4" t="n">
        <v>0</v>
      </c>
      <c r="K135" s="4" t="n">
        <v>20</v>
      </c>
      <c r="L135" s="4" t="n">
        <f aca="false">IF(O135="Delivered",I135-J135+K135,0)</f>
        <v>390</v>
      </c>
      <c r="M135" s="0" t="n">
        <v>37</v>
      </c>
      <c r="N135" s="0" t="n">
        <v>4.2</v>
      </c>
      <c r="O135" s="3" t="s">
        <v>17</v>
      </c>
    </row>
    <row r="136" customFormat="false" ht="15" hidden="false" customHeight="false" outlineLevel="0" collapsed="false">
      <c r="A136" s="0" t="s">
        <v>1587</v>
      </c>
      <c r="B136" s="2" t="n">
        <v>45699</v>
      </c>
      <c r="C136" s="0" t="str">
        <f aca="false">TEXT(B136,"mmm")</f>
        <v>Feb</v>
      </c>
      <c r="D136" s="0" t="str">
        <f aca="false">TEXT(B136,"ddd")</f>
        <v>Tue</v>
      </c>
      <c r="E136" s="3" t="s">
        <v>40</v>
      </c>
      <c r="F136" s="3" t="s">
        <v>56</v>
      </c>
      <c r="G136" s="3" t="s">
        <v>21</v>
      </c>
      <c r="H136" s="3" t="s">
        <v>34</v>
      </c>
      <c r="I136" s="4" t="n">
        <v>486</v>
      </c>
      <c r="J136" s="4" t="n">
        <v>0</v>
      </c>
      <c r="K136" s="4" t="n">
        <v>40</v>
      </c>
      <c r="L136" s="4" t="n">
        <f aca="false">IF(O136="Delivered",I136-J136+K136,0)</f>
        <v>526</v>
      </c>
      <c r="M136" s="0" t="n">
        <v>34</v>
      </c>
      <c r="N136" s="0" t="n">
        <v>3.6</v>
      </c>
      <c r="O136" s="3" t="s">
        <v>17</v>
      </c>
    </row>
    <row r="137" customFormat="false" ht="15" hidden="false" customHeight="false" outlineLevel="0" collapsed="false">
      <c r="A137" s="0" t="s">
        <v>161</v>
      </c>
      <c r="B137" s="2" t="n">
        <v>45700</v>
      </c>
      <c r="C137" s="0" t="str">
        <f aca="false">TEXT(B137,"mmm")</f>
        <v>Feb</v>
      </c>
      <c r="D137" s="0" t="str">
        <f aca="false">TEXT(B137,"ddd")</f>
        <v>Wed</v>
      </c>
      <c r="E137" s="3" t="s">
        <v>27</v>
      </c>
      <c r="F137" s="3" t="s">
        <v>31</v>
      </c>
      <c r="G137" s="3" t="s">
        <v>15</v>
      </c>
      <c r="H137" s="3" t="s">
        <v>22</v>
      </c>
      <c r="I137" s="4" t="n">
        <v>580</v>
      </c>
      <c r="J137" s="4" t="n">
        <v>75</v>
      </c>
      <c r="K137" s="4" t="n">
        <v>0</v>
      </c>
      <c r="L137" s="4" t="n">
        <f aca="false">IF(O137="Delivered",I137-J137+K137,0)</f>
        <v>505</v>
      </c>
      <c r="M137" s="0" t="n">
        <v>45</v>
      </c>
      <c r="N137" s="0" t="n">
        <v>4.5</v>
      </c>
      <c r="O137" s="3" t="s">
        <v>17</v>
      </c>
    </row>
    <row r="138" customFormat="false" ht="15" hidden="false" customHeight="false" outlineLevel="0" collapsed="false">
      <c r="A138" s="0" t="s">
        <v>1064</v>
      </c>
      <c r="B138" s="2" t="n">
        <v>45700</v>
      </c>
      <c r="C138" s="0" t="str">
        <f aca="false">TEXT(B138,"mmm")</f>
        <v>Feb</v>
      </c>
      <c r="D138" s="0" t="str">
        <f aca="false">TEXT(B138,"ddd")</f>
        <v>Wed</v>
      </c>
      <c r="E138" s="3" t="s">
        <v>40</v>
      </c>
      <c r="F138" s="3" t="s">
        <v>25</v>
      </c>
      <c r="G138" s="3" t="s">
        <v>21</v>
      </c>
      <c r="H138" s="3" t="s">
        <v>36</v>
      </c>
      <c r="I138" s="4" t="n">
        <v>472</v>
      </c>
      <c r="J138" s="4" t="n">
        <v>84</v>
      </c>
      <c r="K138" s="4" t="n">
        <v>20</v>
      </c>
      <c r="L138" s="4" t="n">
        <f aca="false">IF(O138="Delivered",I138-J138+K138,0)</f>
        <v>408</v>
      </c>
      <c r="M138" s="0" t="n">
        <v>30</v>
      </c>
      <c r="N138" s="0" t="n">
        <v>4.5</v>
      </c>
      <c r="O138" s="3" t="s">
        <v>17</v>
      </c>
    </row>
    <row r="139" customFormat="false" ht="15" hidden="false" customHeight="false" outlineLevel="0" collapsed="false">
      <c r="A139" s="0" t="s">
        <v>1312</v>
      </c>
      <c r="B139" s="2" t="n">
        <v>45700</v>
      </c>
      <c r="C139" s="0" t="str">
        <f aca="false">TEXT(B139,"mmm")</f>
        <v>Feb</v>
      </c>
      <c r="D139" s="0" t="str">
        <f aca="false">TEXT(B139,"ddd")</f>
        <v>Wed</v>
      </c>
      <c r="E139" s="3" t="s">
        <v>30</v>
      </c>
      <c r="F139" s="3" t="s">
        <v>56</v>
      </c>
      <c r="G139" s="3" t="s">
        <v>21</v>
      </c>
      <c r="H139" s="3" t="s">
        <v>54</v>
      </c>
      <c r="I139" s="4" t="n">
        <v>386</v>
      </c>
      <c r="J139" s="4" t="n">
        <v>0</v>
      </c>
      <c r="K139" s="4" t="n">
        <v>20</v>
      </c>
      <c r="L139" s="4" t="n">
        <f aca="false">IF(O139="Delivered",I139-J139+K139,0)</f>
        <v>406</v>
      </c>
      <c r="M139" s="0" t="n">
        <v>31</v>
      </c>
      <c r="N139" s="0" t="n">
        <v>4.7</v>
      </c>
      <c r="O139" s="3" t="s">
        <v>17</v>
      </c>
    </row>
    <row r="140" customFormat="false" ht="15" hidden="false" customHeight="false" outlineLevel="0" collapsed="false">
      <c r="A140" s="0" t="s">
        <v>1545</v>
      </c>
      <c r="B140" s="2" t="n">
        <v>45700</v>
      </c>
      <c r="C140" s="0" t="str">
        <f aca="false">TEXT(B140,"mmm")</f>
        <v>Feb</v>
      </c>
      <c r="D140" s="0" t="str">
        <f aca="false">TEXT(B140,"ddd")</f>
        <v>Wed</v>
      </c>
      <c r="E140" s="3" t="s">
        <v>13</v>
      </c>
      <c r="F140" s="3" t="s">
        <v>25</v>
      </c>
      <c r="G140" s="3" t="s">
        <v>21</v>
      </c>
      <c r="H140" s="3" t="s">
        <v>22</v>
      </c>
      <c r="I140" s="4" t="n">
        <v>352</v>
      </c>
      <c r="J140" s="4" t="n">
        <v>0</v>
      </c>
      <c r="K140" s="4" t="n">
        <v>20</v>
      </c>
      <c r="L140" s="4" t="n">
        <f aca="false">IF(O140="Delivered",I140-J140+K140,0)</f>
        <v>372</v>
      </c>
      <c r="M140" s="0" t="n">
        <v>30</v>
      </c>
      <c r="N140" s="0" t="n">
        <v>4.4</v>
      </c>
      <c r="O140" s="3" t="s">
        <v>17</v>
      </c>
    </row>
    <row r="141" customFormat="false" ht="15" hidden="false" customHeight="false" outlineLevel="0" collapsed="false">
      <c r="A141" s="0" t="s">
        <v>371</v>
      </c>
      <c r="B141" s="2" t="n">
        <v>45701</v>
      </c>
      <c r="C141" s="0" t="str">
        <f aca="false">TEXT(B141,"mmm")</f>
        <v>Feb</v>
      </c>
      <c r="D141" s="0" t="str">
        <f aca="false">TEXT(B141,"ddd")</f>
        <v>Thu</v>
      </c>
      <c r="E141" s="3" t="s">
        <v>13</v>
      </c>
      <c r="F141" s="3" t="s">
        <v>56</v>
      </c>
      <c r="G141" s="3" t="s">
        <v>21</v>
      </c>
      <c r="H141" s="3" t="s">
        <v>54</v>
      </c>
      <c r="I141" s="4" t="n">
        <v>328</v>
      </c>
      <c r="J141" s="4" t="n">
        <v>0</v>
      </c>
      <c r="K141" s="4" t="n">
        <v>30</v>
      </c>
      <c r="L141" s="4" t="n">
        <f aca="false">IF(O141="Delivered",I141-J141+K141,0)</f>
        <v>358</v>
      </c>
      <c r="M141" s="0" t="n">
        <v>36</v>
      </c>
      <c r="N141" s="0" t="n">
        <v>4.1</v>
      </c>
      <c r="O141" s="3" t="s">
        <v>17</v>
      </c>
    </row>
    <row r="142" customFormat="false" ht="15" hidden="false" customHeight="false" outlineLevel="0" collapsed="false">
      <c r="A142" s="0" t="s">
        <v>1008</v>
      </c>
      <c r="B142" s="2" t="n">
        <v>45701</v>
      </c>
      <c r="C142" s="0" t="str">
        <f aca="false">TEXT(B142,"mmm")</f>
        <v>Feb</v>
      </c>
      <c r="D142" s="0" t="str">
        <f aca="false">TEXT(B142,"ddd")</f>
        <v>Thu</v>
      </c>
      <c r="E142" s="3" t="s">
        <v>24</v>
      </c>
      <c r="F142" s="3" t="s">
        <v>20</v>
      </c>
      <c r="G142" s="3" t="s">
        <v>21</v>
      </c>
      <c r="H142" s="3" t="s">
        <v>34</v>
      </c>
      <c r="I142" s="4" t="n">
        <v>534</v>
      </c>
      <c r="J142" s="4" t="n">
        <v>0</v>
      </c>
      <c r="K142" s="4" t="n">
        <v>0</v>
      </c>
      <c r="L142" s="4" t="n">
        <f aca="false">IF(O142="Delivered",I142-J142+K142,0)</f>
        <v>534</v>
      </c>
      <c r="M142" s="0" t="n">
        <v>22</v>
      </c>
      <c r="N142" s="0" t="n">
        <v>5</v>
      </c>
      <c r="O142" s="3" t="s">
        <v>17</v>
      </c>
    </row>
    <row r="143" customFormat="false" ht="15" hidden="false" customHeight="false" outlineLevel="0" collapsed="false">
      <c r="A143" s="0" t="s">
        <v>1036</v>
      </c>
      <c r="B143" s="2" t="n">
        <v>45701</v>
      </c>
      <c r="C143" s="0" t="str">
        <f aca="false">TEXT(B143,"mmm")</f>
        <v>Feb</v>
      </c>
      <c r="D143" s="0" t="str">
        <f aca="false">TEXT(B143,"ddd")</f>
        <v>Thu</v>
      </c>
      <c r="E143" s="3" t="s">
        <v>40</v>
      </c>
      <c r="F143" s="3" t="s">
        <v>56</v>
      </c>
      <c r="G143" s="3" t="s">
        <v>21</v>
      </c>
      <c r="H143" s="3" t="s">
        <v>22</v>
      </c>
      <c r="I143" s="4" t="n">
        <v>330</v>
      </c>
      <c r="J143" s="4" t="n">
        <v>0</v>
      </c>
      <c r="K143" s="4" t="n">
        <v>45</v>
      </c>
      <c r="L143" s="4" t="n">
        <f aca="false">IF(O143="Delivered",I143-J143+K143,0)</f>
        <v>375</v>
      </c>
      <c r="M143" s="0" t="n">
        <v>40</v>
      </c>
      <c r="N143" s="0" t="n">
        <v>3.2</v>
      </c>
      <c r="O143" s="3" t="s">
        <v>17</v>
      </c>
    </row>
    <row r="144" customFormat="false" ht="15" hidden="false" customHeight="false" outlineLevel="0" collapsed="false">
      <c r="A144" s="0" t="s">
        <v>1401</v>
      </c>
      <c r="B144" s="2" t="n">
        <v>45701</v>
      </c>
      <c r="C144" s="0" t="str">
        <f aca="false">TEXT(B144,"mmm")</f>
        <v>Feb</v>
      </c>
      <c r="D144" s="0" t="str">
        <f aca="false">TEXT(B144,"ddd")</f>
        <v>Thu</v>
      </c>
      <c r="E144" s="3" t="s">
        <v>27</v>
      </c>
      <c r="F144" s="3" t="s">
        <v>31</v>
      </c>
      <c r="G144" s="3" t="s">
        <v>21</v>
      </c>
      <c r="H144" s="3" t="s">
        <v>36</v>
      </c>
      <c r="I144" s="4" t="n">
        <v>523</v>
      </c>
      <c r="J144" s="4" t="n">
        <v>104</v>
      </c>
      <c r="K144" s="4" t="n">
        <v>0</v>
      </c>
      <c r="L144" s="4" t="n">
        <f aca="false">IF(O144="Delivered",I144-J144+K144,0)</f>
        <v>419</v>
      </c>
      <c r="M144" s="0" t="n">
        <v>50</v>
      </c>
      <c r="N144" s="0" t="n">
        <v>4.1</v>
      </c>
      <c r="O144" s="3" t="s">
        <v>17</v>
      </c>
    </row>
    <row r="145" customFormat="false" ht="15" hidden="false" customHeight="false" outlineLevel="0" collapsed="false">
      <c r="A145" s="0" t="s">
        <v>1418</v>
      </c>
      <c r="B145" s="2" t="n">
        <v>45701</v>
      </c>
      <c r="C145" s="0" t="str">
        <f aca="false">TEXT(B145,"mmm")</f>
        <v>Feb</v>
      </c>
      <c r="D145" s="0" t="str">
        <f aca="false">TEXT(B145,"ddd")</f>
        <v>Thu</v>
      </c>
      <c r="E145" s="3" t="s">
        <v>24</v>
      </c>
      <c r="F145" s="3" t="s">
        <v>25</v>
      </c>
      <c r="G145" s="3" t="s">
        <v>15</v>
      </c>
      <c r="H145" s="3" t="s">
        <v>16</v>
      </c>
      <c r="I145" s="4" t="n">
        <v>368</v>
      </c>
      <c r="J145" s="4" t="n">
        <v>0</v>
      </c>
      <c r="K145" s="4" t="n">
        <v>40</v>
      </c>
      <c r="L145" s="4" t="n">
        <f aca="false">IF(O145="Delivered",I145-J145+K145,0)</f>
        <v>408</v>
      </c>
      <c r="M145" s="0" t="n">
        <v>42</v>
      </c>
      <c r="N145" s="0" t="n">
        <v>4.5</v>
      </c>
      <c r="O145" s="3" t="s">
        <v>17</v>
      </c>
    </row>
    <row r="146" customFormat="false" ht="15" hidden="false" customHeight="false" outlineLevel="0" collapsed="false">
      <c r="A146" s="0" t="s">
        <v>366</v>
      </c>
      <c r="B146" s="2" t="n">
        <v>45702</v>
      </c>
      <c r="C146" s="0" t="str">
        <f aca="false">TEXT(B146,"mmm")</f>
        <v>Feb</v>
      </c>
      <c r="D146" s="0" t="str">
        <f aca="false">TEXT(B146,"ddd")</f>
        <v>Fri</v>
      </c>
      <c r="E146" s="3" t="s">
        <v>40</v>
      </c>
      <c r="F146" s="3" t="s">
        <v>56</v>
      </c>
      <c r="G146" s="3" t="s">
        <v>21</v>
      </c>
      <c r="H146" s="3" t="s">
        <v>54</v>
      </c>
      <c r="I146" s="4" t="n">
        <v>350</v>
      </c>
      <c r="J146" s="4" t="n">
        <v>0</v>
      </c>
      <c r="K146" s="4" t="n">
        <v>40</v>
      </c>
      <c r="L146" s="4" t="n">
        <f aca="false">IF(O146="Delivered",I146-J146+K146,0)</f>
        <v>390</v>
      </c>
      <c r="M146" s="0" t="n">
        <v>28</v>
      </c>
      <c r="N146" s="0" t="n">
        <v>5</v>
      </c>
      <c r="O146" s="3" t="s">
        <v>17</v>
      </c>
    </row>
    <row r="147" customFormat="false" ht="15" hidden="false" customHeight="false" outlineLevel="0" collapsed="false">
      <c r="A147" s="0" t="s">
        <v>846</v>
      </c>
      <c r="B147" s="2" t="n">
        <v>45702</v>
      </c>
      <c r="C147" s="0" t="str">
        <f aca="false">TEXT(B147,"mmm")</f>
        <v>Feb</v>
      </c>
      <c r="D147" s="0" t="str">
        <f aca="false">TEXT(B147,"ddd")</f>
        <v>Fri</v>
      </c>
      <c r="E147" s="3" t="s">
        <v>51</v>
      </c>
      <c r="F147" s="3" t="s">
        <v>14</v>
      </c>
      <c r="G147" s="3" t="s">
        <v>15</v>
      </c>
      <c r="H147" s="3" t="s">
        <v>36</v>
      </c>
      <c r="I147" s="4" t="n">
        <v>219</v>
      </c>
      <c r="J147" s="4" t="n">
        <v>32</v>
      </c>
      <c r="K147" s="4" t="n">
        <v>45</v>
      </c>
      <c r="L147" s="4" t="n">
        <f aca="false">IF(O147="Delivered",I147-J147+K147,0)</f>
        <v>232</v>
      </c>
      <c r="M147" s="0" t="n">
        <v>34</v>
      </c>
      <c r="N147" s="0" t="n">
        <v>4.5</v>
      </c>
      <c r="O147" s="3" t="s">
        <v>17</v>
      </c>
    </row>
    <row r="148" customFormat="false" ht="15" hidden="false" customHeight="false" outlineLevel="0" collapsed="false">
      <c r="A148" s="0" t="s">
        <v>1085</v>
      </c>
      <c r="B148" s="2" t="n">
        <v>45702</v>
      </c>
      <c r="C148" s="0" t="str">
        <f aca="false">TEXT(B148,"mmm")</f>
        <v>Feb</v>
      </c>
      <c r="D148" s="0" t="str">
        <f aca="false">TEXT(B148,"ddd")</f>
        <v>Fri</v>
      </c>
      <c r="E148" s="3" t="s">
        <v>13</v>
      </c>
      <c r="F148" s="3" t="s">
        <v>31</v>
      </c>
      <c r="G148" s="3" t="s">
        <v>15</v>
      </c>
      <c r="H148" s="3" t="s">
        <v>22</v>
      </c>
      <c r="I148" s="4" t="n">
        <v>408</v>
      </c>
      <c r="J148" s="4" t="n">
        <v>0</v>
      </c>
      <c r="K148" s="4" t="n">
        <v>40</v>
      </c>
      <c r="L148" s="4" t="n">
        <f aca="false">IF(O148="Delivered",I148-J148+K148,0)</f>
        <v>0</v>
      </c>
      <c r="O148" s="3" t="s">
        <v>68</v>
      </c>
    </row>
    <row r="149" customFormat="false" ht="15" hidden="false" customHeight="false" outlineLevel="0" collapsed="false">
      <c r="A149" s="0" t="s">
        <v>1513</v>
      </c>
      <c r="B149" s="2" t="n">
        <v>45702</v>
      </c>
      <c r="C149" s="0" t="str">
        <f aca="false">TEXT(B149,"mmm")</f>
        <v>Feb</v>
      </c>
      <c r="D149" s="0" t="str">
        <f aca="false">TEXT(B149,"ddd")</f>
        <v>Fri</v>
      </c>
      <c r="E149" s="3" t="s">
        <v>30</v>
      </c>
      <c r="F149" s="3" t="s">
        <v>31</v>
      </c>
      <c r="G149" s="3" t="s">
        <v>21</v>
      </c>
      <c r="H149" s="3" t="s">
        <v>16</v>
      </c>
      <c r="I149" s="4" t="n">
        <v>480</v>
      </c>
      <c r="J149" s="4" t="n">
        <v>0</v>
      </c>
      <c r="K149" s="4" t="n">
        <v>40</v>
      </c>
      <c r="L149" s="4" t="n">
        <f aca="false">IF(O149="Delivered",I149-J149+K149,0)</f>
        <v>520</v>
      </c>
      <c r="M149" s="0" t="n">
        <v>46</v>
      </c>
      <c r="O149" s="3" t="s">
        <v>17</v>
      </c>
    </row>
    <row r="150" customFormat="false" ht="15" hidden="false" customHeight="false" outlineLevel="0" collapsed="false">
      <c r="A150" s="0" t="s">
        <v>186</v>
      </c>
      <c r="B150" s="2" t="n">
        <v>45703</v>
      </c>
      <c r="C150" s="0" t="str">
        <f aca="false">TEXT(B150,"mmm")</f>
        <v>Feb</v>
      </c>
      <c r="D150" s="0" t="str">
        <f aca="false">TEXT(B150,"ddd")</f>
        <v>Sat</v>
      </c>
      <c r="E150" s="3" t="s">
        <v>40</v>
      </c>
      <c r="F150" s="3" t="s">
        <v>28</v>
      </c>
      <c r="G150" s="3" t="s">
        <v>15</v>
      </c>
      <c r="H150" s="3" t="s">
        <v>16</v>
      </c>
      <c r="I150" s="4" t="n">
        <v>482</v>
      </c>
      <c r="J150" s="4" t="n">
        <v>91</v>
      </c>
      <c r="K150" s="4" t="n">
        <v>45</v>
      </c>
      <c r="L150" s="4" t="n">
        <f aca="false">IF(O150="Delivered",I150-J150+K150,0)</f>
        <v>436</v>
      </c>
      <c r="M150" s="0" t="n">
        <v>44</v>
      </c>
      <c r="N150" s="0" t="n">
        <v>4.6</v>
      </c>
      <c r="O150" s="3" t="s">
        <v>17</v>
      </c>
    </row>
    <row r="151" customFormat="false" ht="15" hidden="false" customHeight="false" outlineLevel="0" collapsed="false">
      <c r="A151" s="0" t="s">
        <v>331</v>
      </c>
      <c r="B151" s="2" t="n">
        <v>45703</v>
      </c>
      <c r="C151" s="0" t="str">
        <f aca="false">TEXT(B151,"mmm")</f>
        <v>Feb</v>
      </c>
      <c r="D151" s="0" t="str">
        <f aca="false">TEXT(B151,"ddd")</f>
        <v>Sat</v>
      </c>
      <c r="E151" s="3" t="s">
        <v>19</v>
      </c>
      <c r="F151" s="3" t="s">
        <v>25</v>
      </c>
      <c r="G151" s="3" t="s">
        <v>21</v>
      </c>
      <c r="H151" s="3" t="s">
        <v>22</v>
      </c>
      <c r="I151" s="4" t="n">
        <v>351</v>
      </c>
      <c r="J151" s="4" t="n">
        <v>0</v>
      </c>
      <c r="K151" s="4" t="n">
        <v>40</v>
      </c>
      <c r="L151" s="4" t="n">
        <f aca="false">IF(O151="Delivered",I151-J151+K151,0)</f>
        <v>391</v>
      </c>
      <c r="M151" s="0" t="n">
        <v>29</v>
      </c>
      <c r="N151" s="0" t="n">
        <v>4.5</v>
      </c>
      <c r="O151" s="3" t="s">
        <v>17</v>
      </c>
    </row>
    <row r="152" customFormat="false" ht="15" hidden="false" customHeight="false" outlineLevel="0" collapsed="false">
      <c r="A152" s="0" t="s">
        <v>701</v>
      </c>
      <c r="B152" s="2" t="n">
        <v>45703</v>
      </c>
      <c r="C152" s="0" t="str">
        <f aca="false">TEXT(B152,"mmm")</f>
        <v>Feb</v>
      </c>
      <c r="D152" s="0" t="str">
        <f aca="false">TEXT(B152,"ddd")</f>
        <v>Sat</v>
      </c>
      <c r="E152" s="3" t="s">
        <v>13</v>
      </c>
      <c r="F152" s="3" t="s">
        <v>56</v>
      </c>
      <c r="G152" s="3" t="s">
        <v>21</v>
      </c>
      <c r="H152" s="3" t="s">
        <v>36</v>
      </c>
      <c r="I152" s="4" t="n">
        <v>301</v>
      </c>
      <c r="J152" s="4" t="n">
        <v>0</v>
      </c>
      <c r="K152" s="4" t="n">
        <v>40</v>
      </c>
      <c r="L152" s="4" t="n">
        <f aca="false">IF(O152="Delivered",I152-J152+K152,0)</f>
        <v>341</v>
      </c>
      <c r="M152" s="0" t="n">
        <v>31</v>
      </c>
      <c r="O152" s="3" t="s">
        <v>17</v>
      </c>
    </row>
    <row r="153" customFormat="false" ht="15" hidden="false" customHeight="false" outlineLevel="0" collapsed="false">
      <c r="A153" s="0" t="s">
        <v>853</v>
      </c>
      <c r="B153" s="2" t="n">
        <v>45703</v>
      </c>
      <c r="C153" s="0" t="str">
        <f aca="false">TEXT(B153,"mmm")</f>
        <v>Feb</v>
      </c>
      <c r="D153" s="0" t="str">
        <f aca="false">TEXT(B153,"ddd")</f>
        <v>Sat</v>
      </c>
      <c r="E153" s="3" t="s">
        <v>45</v>
      </c>
      <c r="F153" s="3" t="s">
        <v>14</v>
      </c>
      <c r="G153" s="3" t="s">
        <v>21</v>
      </c>
      <c r="H153" s="3" t="s">
        <v>16</v>
      </c>
      <c r="I153" s="4" t="n">
        <v>201</v>
      </c>
      <c r="J153" s="4" t="n">
        <v>0</v>
      </c>
      <c r="K153" s="4" t="n">
        <v>45</v>
      </c>
      <c r="L153" s="4" t="n">
        <f aca="false">IF(O153="Delivered",I153-J153+K153,0)</f>
        <v>246</v>
      </c>
      <c r="M153" s="0" t="n">
        <v>21</v>
      </c>
      <c r="N153" s="0" t="n">
        <v>4.1</v>
      </c>
      <c r="O153" s="3" t="s">
        <v>17</v>
      </c>
    </row>
    <row r="154" customFormat="false" ht="15" hidden="false" customHeight="false" outlineLevel="0" collapsed="false">
      <c r="A154" s="0" t="s">
        <v>1004</v>
      </c>
      <c r="B154" s="2" t="n">
        <v>45703</v>
      </c>
      <c r="C154" s="0" t="str">
        <f aca="false">TEXT(B154,"mmm")</f>
        <v>Feb</v>
      </c>
      <c r="D154" s="0" t="str">
        <f aca="false">TEXT(B154,"ddd")</f>
        <v>Sat</v>
      </c>
      <c r="E154" s="3" t="s">
        <v>13</v>
      </c>
      <c r="F154" s="3" t="s">
        <v>49</v>
      </c>
      <c r="G154" s="3" t="s">
        <v>21</v>
      </c>
      <c r="H154" s="3" t="s">
        <v>16</v>
      </c>
      <c r="I154" s="4" t="n">
        <v>516</v>
      </c>
      <c r="J154" s="4" t="n">
        <v>0</v>
      </c>
      <c r="K154" s="4" t="n">
        <v>0</v>
      </c>
      <c r="L154" s="4" t="n">
        <f aca="false">IF(O154="Delivered",I154-J154+K154,0)</f>
        <v>0</v>
      </c>
      <c r="O154" s="3" t="s">
        <v>68</v>
      </c>
    </row>
    <row r="155" customFormat="false" ht="15" hidden="false" customHeight="false" outlineLevel="0" collapsed="false">
      <c r="A155" s="0" t="s">
        <v>223</v>
      </c>
      <c r="B155" s="2" t="n">
        <v>45704</v>
      </c>
      <c r="C155" s="0" t="str">
        <f aca="false">TEXT(B155,"mmm")</f>
        <v>Feb</v>
      </c>
      <c r="D155" s="0" t="str">
        <f aca="false">TEXT(B155,"ddd")</f>
        <v>Sun</v>
      </c>
      <c r="E155" s="3" t="s">
        <v>40</v>
      </c>
      <c r="F155" s="3" t="s">
        <v>78</v>
      </c>
      <c r="G155" s="3" t="s">
        <v>21</v>
      </c>
      <c r="H155" s="3" t="s">
        <v>36</v>
      </c>
      <c r="I155" s="4" t="n">
        <v>383</v>
      </c>
      <c r="J155" s="4" t="n">
        <v>47</v>
      </c>
      <c r="K155" s="4" t="n">
        <v>30</v>
      </c>
      <c r="L155" s="4" t="n">
        <f aca="false">IF(O155="Delivered",I155-J155+K155,0)</f>
        <v>366</v>
      </c>
      <c r="M155" s="0" t="n">
        <v>35</v>
      </c>
      <c r="N155" s="0" t="n">
        <v>3.8</v>
      </c>
      <c r="O155" s="3" t="s">
        <v>17</v>
      </c>
    </row>
    <row r="156" customFormat="false" ht="15" hidden="false" customHeight="false" outlineLevel="0" collapsed="false">
      <c r="A156" s="0" t="s">
        <v>301</v>
      </c>
      <c r="B156" s="2" t="n">
        <v>45704</v>
      </c>
      <c r="C156" s="0" t="str">
        <f aca="false">TEXT(B156,"mmm")</f>
        <v>Feb</v>
      </c>
      <c r="D156" s="0" t="str">
        <f aca="false">TEXT(B156,"ddd")</f>
        <v>Sun</v>
      </c>
      <c r="E156" s="3" t="s">
        <v>24</v>
      </c>
      <c r="F156" s="3" t="s">
        <v>56</v>
      </c>
      <c r="G156" s="3" t="s">
        <v>21</v>
      </c>
      <c r="H156" s="3" t="s">
        <v>16</v>
      </c>
      <c r="I156" s="4" t="n">
        <v>274</v>
      </c>
      <c r="J156" s="4" t="n">
        <v>62</v>
      </c>
      <c r="K156" s="4" t="n">
        <v>40</v>
      </c>
      <c r="L156" s="4" t="n">
        <f aca="false">IF(O156="Delivered",I156-J156+K156,0)</f>
        <v>252</v>
      </c>
      <c r="M156" s="0" t="n">
        <v>42</v>
      </c>
      <c r="N156" s="0" t="n">
        <v>3.9</v>
      </c>
      <c r="O156" s="3" t="s">
        <v>17</v>
      </c>
    </row>
    <row r="157" customFormat="false" ht="15" hidden="false" customHeight="false" outlineLevel="0" collapsed="false">
      <c r="A157" s="0" t="s">
        <v>502</v>
      </c>
      <c r="B157" s="2" t="n">
        <v>45704</v>
      </c>
      <c r="C157" s="0" t="str">
        <f aca="false">TEXT(B157,"mmm")</f>
        <v>Feb</v>
      </c>
      <c r="D157" s="0" t="str">
        <f aca="false">TEXT(B157,"ddd")</f>
        <v>Sun</v>
      </c>
      <c r="E157" s="3" t="s">
        <v>30</v>
      </c>
      <c r="F157" s="3" t="s">
        <v>56</v>
      </c>
      <c r="G157" s="3" t="s">
        <v>21</v>
      </c>
      <c r="H157" s="3" t="s">
        <v>34</v>
      </c>
      <c r="I157" s="4" t="n">
        <v>423</v>
      </c>
      <c r="J157" s="4" t="n">
        <v>0</v>
      </c>
      <c r="K157" s="4" t="n">
        <v>20</v>
      </c>
      <c r="L157" s="4" t="n">
        <f aca="false">IF(O157="Delivered",I157-J157+K157,0)</f>
        <v>443</v>
      </c>
      <c r="M157" s="0" t="n">
        <v>26</v>
      </c>
      <c r="N157" s="0" t="n">
        <v>4.8</v>
      </c>
      <c r="O157" s="3" t="s">
        <v>17</v>
      </c>
    </row>
    <row r="158" customFormat="false" ht="15" hidden="false" customHeight="false" outlineLevel="0" collapsed="false">
      <c r="A158" s="0" t="s">
        <v>1419</v>
      </c>
      <c r="B158" s="2" t="n">
        <v>45704</v>
      </c>
      <c r="C158" s="0" t="str">
        <f aca="false">TEXT(B158,"mmm")</f>
        <v>Feb</v>
      </c>
      <c r="D158" s="0" t="str">
        <f aca="false">TEXT(B158,"ddd")</f>
        <v>Sun</v>
      </c>
      <c r="E158" s="3" t="s">
        <v>13</v>
      </c>
      <c r="F158" s="3" t="s">
        <v>31</v>
      </c>
      <c r="G158" s="3" t="s">
        <v>21</v>
      </c>
      <c r="H158" s="3" t="s">
        <v>16</v>
      </c>
      <c r="I158" s="4" t="n">
        <v>469</v>
      </c>
      <c r="J158" s="4" t="n">
        <v>53</v>
      </c>
      <c r="K158" s="4" t="n">
        <v>45</v>
      </c>
      <c r="L158" s="4" t="n">
        <f aca="false">IF(O158="Delivered",I158-J158+K158,0)</f>
        <v>461</v>
      </c>
      <c r="M158" s="0" t="n">
        <v>32</v>
      </c>
      <c r="N158" s="0" t="n">
        <v>4.2</v>
      </c>
      <c r="O158" s="3" t="s">
        <v>17</v>
      </c>
    </row>
    <row r="159" customFormat="false" ht="15" hidden="false" customHeight="false" outlineLevel="0" collapsed="false">
      <c r="A159" s="0" t="s">
        <v>1656</v>
      </c>
      <c r="B159" s="2" t="n">
        <v>45704</v>
      </c>
      <c r="C159" s="0" t="str">
        <f aca="false">TEXT(B159,"mmm")</f>
        <v>Feb</v>
      </c>
      <c r="D159" s="0" t="str">
        <f aca="false">TEXT(B159,"ddd")</f>
        <v>Sun</v>
      </c>
      <c r="E159" s="3" t="s">
        <v>40</v>
      </c>
      <c r="F159" s="3" t="s">
        <v>20</v>
      </c>
      <c r="G159" s="3" t="s">
        <v>21</v>
      </c>
      <c r="H159" s="3" t="s">
        <v>22</v>
      </c>
      <c r="I159" s="4" t="n">
        <v>712</v>
      </c>
      <c r="J159" s="4" t="n">
        <v>74</v>
      </c>
      <c r="K159" s="4" t="n">
        <v>0</v>
      </c>
      <c r="L159" s="4" t="n">
        <f aca="false">IF(O159="Delivered",I159-J159+K159,0)</f>
        <v>638</v>
      </c>
      <c r="M159" s="0" t="n">
        <v>37</v>
      </c>
      <c r="N159" s="0" t="n">
        <v>4.8</v>
      </c>
      <c r="O159" s="3" t="s">
        <v>17</v>
      </c>
    </row>
    <row r="160" customFormat="false" ht="15" hidden="false" customHeight="false" outlineLevel="0" collapsed="false">
      <c r="A160" s="0" t="s">
        <v>312</v>
      </c>
      <c r="B160" s="2" t="n">
        <v>45705</v>
      </c>
      <c r="C160" s="0" t="str">
        <f aca="false">TEXT(B160,"mmm")</f>
        <v>Feb</v>
      </c>
      <c r="D160" s="0" t="str">
        <f aca="false">TEXT(B160,"ddd")</f>
        <v>Mon</v>
      </c>
      <c r="E160" s="3" t="s">
        <v>30</v>
      </c>
      <c r="F160" s="3" t="s">
        <v>25</v>
      </c>
      <c r="G160" s="3" t="s">
        <v>21</v>
      </c>
      <c r="H160" s="3" t="s">
        <v>16</v>
      </c>
      <c r="I160" s="4" t="n">
        <v>597</v>
      </c>
      <c r="J160" s="4" t="n">
        <v>0</v>
      </c>
      <c r="K160" s="4" t="n">
        <v>0</v>
      </c>
      <c r="L160" s="4" t="n">
        <f aca="false">IF(O160="Delivered",I160-J160+K160,0)</f>
        <v>597</v>
      </c>
      <c r="M160" s="0" t="n">
        <v>28</v>
      </c>
      <c r="N160" s="0" t="n">
        <v>3.7</v>
      </c>
      <c r="O160" s="3" t="s">
        <v>17</v>
      </c>
    </row>
    <row r="161" customFormat="false" ht="15" hidden="false" customHeight="false" outlineLevel="0" collapsed="false">
      <c r="A161" s="0" t="s">
        <v>757</v>
      </c>
      <c r="B161" s="2" t="n">
        <v>45705</v>
      </c>
      <c r="C161" s="0" t="str">
        <f aca="false">TEXT(B161,"mmm")</f>
        <v>Feb</v>
      </c>
      <c r="D161" s="0" t="str">
        <f aca="false">TEXT(B161,"ddd")</f>
        <v>Mon</v>
      </c>
      <c r="E161" s="3" t="s">
        <v>27</v>
      </c>
      <c r="F161" s="3" t="s">
        <v>31</v>
      </c>
      <c r="G161" s="3" t="s">
        <v>21</v>
      </c>
      <c r="H161" s="3" t="s">
        <v>22</v>
      </c>
      <c r="I161" s="4" t="n">
        <v>601</v>
      </c>
      <c r="J161" s="4" t="n">
        <v>0</v>
      </c>
      <c r="K161" s="4" t="n">
        <v>0</v>
      </c>
      <c r="L161" s="4" t="n">
        <f aca="false">IF(O161="Delivered",I161-J161+K161,0)</f>
        <v>601</v>
      </c>
      <c r="M161" s="0" t="n">
        <v>36</v>
      </c>
      <c r="N161" s="0" t="n">
        <v>4.4</v>
      </c>
      <c r="O161" s="3" t="s">
        <v>17</v>
      </c>
    </row>
    <row r="162" customFormat="false" ht="15" hidden="false" customHeight="false" outlineLevel="0" collapsed="false">
      <c r="A162" s="0" t="s">
        <v>497</v>
      </c>
      <c r="B162" s="2" t="n">
        <v>45706</v>
      </c>
      <c r="C162" s="0" t="str">
        <f aca="false">TEXT(B162,"mmm")</f>
        <v>Feb</v>
      </c>
      <c r="D162" s="0" t="str">
        <f aca="false">TEXT(B162,"ddd")</f>
        <v>Tue</v>
      </c>
      <c r="E162" s="3" t="s">
        <v>40</v>
      </c>
      <c r="F162" s="3" t="s">
        <v>49</v>
      </c>
      <c r="G162" s="3" t="s">
        <v>21</v>
      </c>
      <c r="H162" s="3" t="s">
        <v>16</v>
      </c>
      <c r="I162" s="4" t="n">
        <v>404</v>
      </c>
      <c r="J162" s="4" t="n">
        <v>0</v>
      </c>
      <c r="K162" s="4" t="n">
        <v>20</v>
      </c>
      <c r="L162" s="4" t="n">
        <f aca="false">IF(O162="Delivered",I162-J162+K162,0)</f>
        <v>424</v>
      </c>
      <c r="M162" s="0" t="n">
        <v>40</v>
      </c>
      <c r="N162" s="0" t="n">
        <v>4.3</v>
      </c>
      <c r="O162" s="3" t="s">
        <v>17</v>
      </c>
    </row>
    <row r="163" customFormat="false" ht="15" hidden="false" customHeight="false" outlineLevel="0" collapsed="false">
      <c r="A163" s="0" t="s">
        <v>863</v>
      </c>
      <c r="B163" s="2" t="n">
        <v>45706</v>
      </c>
      <c r="C163" s="0" t="str">
        <f aca="false">TEXT(B163,"mmm")</f>
        <v>Feb</v>
      </c>
      <c r="D163" s="0" t="str">
        <f aca="false">TEXT(B163,"ddd")</f>
        <v>Tue</v>
      </c>
      <c r="E163" s="3" t="s">
        <v>40</v>
      </c>
      <c r="F163" s="3" t="s">
        <v>20</v>
      </c>
      <c r="G163" s="3" t="s">
        <v>21</v>
      </c>
      <c r="H163" s="3" t="s">
        <v>36</v>
      </c>
      <c r="I163" s="4" t="n">
        <v>530</v>
      </c>
      <c r="J163" s="4" t="n">
        <v>0</v>
      </c>
      <c r="K163" s="4" t="n">
        <v>0</v>
      </c>
      <c r="L163" s="4" t="n">
        <f aca="false">IF(O163="Delivered",I163-J163+K163,0)</f>
        <v>530</v>
      </c>
      <c r="M163" s="0" t="n">
        <v>38</v>
      </c>
      <c r="N163" s="0" t="n">
        <v>4.7</v>
      </c>
      <c r="O163" s="3" t="s">
        <v>17</v>
      </c>
    </row>
    <row r="164" customFormat="false" ht="15" hidden="false" customHeight="false" outlineLevel="0" collapsed="false">
      <c r="A164" s="0" t="s">
        <v>873</v>
      </c>
      <c r="B164" s="2" t="n">
        <v>45706</v>
      </c>
      <c r="C164" s="0" t="str">
        <f aca="false">TEXT(B164,"mmm")</f>
        <v>Feb</v>
      </c>
      <c r="D164" s="0" t="str">
        <f aca="false">TEXT(B164,"ddd")</f>
        <v>Tue</v>
      </c>
      <c r="E164" s="3" t="s">
        <v>40</v>
      </c>
      <c r="F164" s="3" t="s">
        <v>31</v>
      </c>
      <c r="G164" s="3" t="s">
        <v>15</v>
      </c>
      <c r="H164" s="3" t="s">
        <v>22</v>
      </c>
      <c r="I164" s="4" t="n">
        <v>576</v>
      </c>
      <c r="J164" s="4" t="n">
        <v>80</v>
      </c>
      <c r="K164" s="4" t="n">
        <v>0</v>
      </c>
      <c r="L164" s="4" t="n">
        <f aca="false">IF(O164="Delivered",I164-J164+K164,0)</f>
        <v>496</v>
      </c>
      <c r="M164" s="0" t="n">
        <v>48</v>
      </c>
      <c r="N164" s="0" t="n">
        <v>4</v>
      </c>
      <c r="O164" s="3" t="s">
        <v>17</v>
      </c>
    </row>
    <row r="165" customFormat="false" ht="15" hidden="false" customHeight="false" outlineLevel="0" collapsed="false">
      <c r="A165" s="0" t="s">
        <v>901</v>
      </c>
      <c r="B165" s="2" t="n">
        <v>45706</v>
      </c>
      <c r="C165" s="0" t="str">
        <f aca="false">TEXT(B165,"mmm")</f>
        <v>Feb</v>
      </c>
      <c r="D165" s="0" t="str">
        <f aca="false">TEXT(B165,"ddd")</f>
        <v>Tue</v>
      </c>
      <c r="E165" s="3" t="s">
        <v>13</v>
      </c>
      <c r="F165" s="3" t="s">
        <v>28</v>
      </c>
      <c r="G165" s="3" t="s">
        <v>21</v>
      </c>
      <c r="H165" s="3" t="s">
        <v>36</v>
      </c>
      <c r="I165" s="4" t="n">
        <v>557</v>
      </c>
      <c r="J165" s="4" t="n">
        <v>0</v>
      </c>
      <c r="K165" s="4" t="n">
        <v>0</v>
      </c>
      <c r="L165" s="4" t="n">
        <f aca="false">IF(O165="Delivered",I165-J165+K165,0)</f>
        <v>557</v>
      </c>
      <c r="M165" s="0" t="n">
        <v>34</v>
      </c>
      <c r="N165" s="0" t="n">
        <v>4</v>
      </c>
      <c r="O165" s="3" t="s">
        <v>17</v>
      </c>
    </row>
    <row r="166" customFormat="false" ht="15" hidden="false" customHeight="false" outlineLevel="0" collapsed="false">
      <c r="A166" s="0" t="s">
        <v>1050</v>
      </c>
      <c r="B166" s="2" t="n">
        <v>45706</v>
      </c>
      <c r="C166" s="0" t="str">
        <f aca="false">TEXT(B166,"mmm")</f>
        <v>Feb</v>
      </c>
      <c r="D166" s="0" t="str">
        <f aca="false">TEXT(B166,"ddd")</f>
        <v>Tue</v>
      </c>
      <c r="E166" s="3" t="s">
        <v>24</v>
      </c>
      <c r="F166" s="3" t="s">
        <v>14</v>
      </c>
      <c r="G166" s="3" t="s">
        <v>15</v>
      </c>
      <c r="H166" s="3" t="s">
        <v>36</v>
      </c>
      <c r="I166" s="4" t="n">
        <v>248</v>
      </c>
      <c r="J166" s="4" t="n">
        <v>0</v>
      </c>
      <c r="K166" s="4" t="n">
        <v>30</v>
      </c>
      <c r="L166" s="4" t="n">
        <f aca="false">IF(O166="Delivered",I166-J166+K166,0)</f>
        <v>278</v>
      </c>
      <c r="M166" s="0" t="n">
        <v>33</v>
      </c>
      <c r="O166" s="3" t="s">
        <v>17</v>
      </c>
    </row>
    <row r="167" customFormat="false" ht="15" hidden="false" customHeight="false" outlineLevel="0" collapsed="false">
      <c r="A167" s="0" t="s">
        <v>1278</v>
      </c>
      <c r="B167" s="2" t="n">
        <v>45706</v>
      </c>
      <c r="C167" s="0" t="str">
        <f aca="false">TEXT(B167,"mmm")</f>
        <v>Feb</v>
      </c>
      <c r="D167" s="0" t="str">
        <f aca="false">TEXT(B167,"ddd")</f>
        <v>Tue</v>
      </c>
      <c r="E167" s="3" t="s">
        <v>51</v>
      </c>
      <c r="F167" s="3" t="s">
        <v>14</v>
      </c>
      <c r="G167" s="3" t="s">
        <v>15</v>
      </c>
      <c r="H167" s="3" t="s">
        <v>22</v>
      </c>
      <c r="I167" s="4" t="n">
        <v>250</v>
      </c>
      <c r="J167" s="4" t="n">
        <v>32</v>
      </c>
      <c r="K167" s="4" t="n">
        <v>40</v>
      </c>
      <c r="L167" s="4" t="n">
        <f aca="false">IF(O167="Delivered",I167-J167+K167,0)</f>
        <v>258</v>
      </c>
      <c r="M167" s="0" t="n">
        <v>49</v>
      </c>
      <c r="N167" s="0" t="n">
        <v>3.8</v>
      </c>
      <c r="O167" s="3" t="s">
        <v>17</v>
      </c>
    </row>
    <row r="168" customFormat="false" ht="15" hidden="false" customHeight="false" outlineLevel="0" collapsed="false">
      <c r="A168" s="0" t="s">
        <v>729</v>
      </c>
      <c r="B168" s="2" t="n">
        <v>45707</v>
      </c>
      <c r="C168" s="0" t="str">
        <f aca="false">TEXT(B168,"mmm")</f>
        <v>Feb</v>
      </c>
      <c r="D168" s="0" t="str">
        <f aca="false">TEXT(B168,"ddd")</f>
        <v>Wed</v>
      </c>
      <c r="E168" s="3" t="s">
        <v>19</v>
      </c>
      <c r="F168" s="3" t="s">
        <v>25</v>
      </c>
      <c r="G168" s="3" t="s">
        <v>15</v>
      </c>
      <c r="H168" s="3" t="s">
        <v>22</v>
      </c>
      <c r="I168" s="4" t="n">
        <v>489</v>
      </c>
      <c r="J168" s="4" t="n">
        <v>0</v>
      </c>
      <c r="K168" s="4" t="n">
        <v>30</v>
      </c>
      <c r="L168" s="4" t="n">
        <f aca="false">IF(O168="Delivered",I168-J168+K168,0)</f>
        <v>519</v>
      </c>
      <c r="M168" s="0" t="n">
        <v>30</v>
      </c>
      <c r="N168" s="0" t="n">
        <v>4.6</v>
      </c>
      <c r="O168" s="3" t="s">
        <v>17</v>
      </c>
    </row>
    <row r="169" customFormat="false" ht="15" hidden="false" customHeight="false" outlineLevel="0" collapsed="false">
      <c r="A169" s="0" t="s">
        <v>107</v>
      </c>
      <c r="B169" s="2" t="n">
        <v>45708</v>
      </c>
      <c r="C169" s="0" t="str">
        <f aca="false">TEXT(B169,"mmm")</f>
        <v>Feb</v>
      </c>
      <c r="D169" s="0" t="str">
        <f aca="false">TEXT(B169,"ddd")</f>
        <v>Thu</v>
      </c>
      <c r="E169" s="3" t="s">
        <v>45</v>
      </c>
      <c r="F169" s="3" t="s">
        <v>25</v>
      </c>
      <c r="G169" s="3" t="s">
        <v>21</v>
      </c>
      <c r="H169" s="3" t="s">
        <v>54</v>
      </c>
      <c r="I169" s="4" t="n">
        <v>471</v>
      </c>
      <c r="J169" s="4" t="n">
        <v>0</v>
      </c>
      <c r="K169" s="4" t="n">
        <v>45</v>
      </c>
      <c r="L169" s="4" t="n">
        <f aca="false">IF(O169="Delivered",I169-J169+K169,0)</f>
        <v>516</v>
      </c>
      <c r="M169" s="0" t="n">
        <v>20</v>
      </c>
      <c r="N169" s="0" t="n">
        <v>5</v>
      </c>
      <c r="O169" s="3" t="s">
        <v>17</v>
      </c>
    </row>
    <row r="170" customFormat="false" ht="15" hidden="false" customHeight="false" outlineLevel="0" collapsed="false">
      <c r="A170" s="0" t="s">
        <v>342</v>
      </c>
      <c r="B170" s="2" t="n">
        <v>45708</v>
      </c>
      <c r="C170" s="0" t="str">
        <f aca="false">TEXT(B170,"mmm")</f>
        <v>Feb</v>
      </c>
      <c r="D170" s="0" t="str">
        <f aca="false">TEXT(B170,"ddd")</f>
        <v>Thu</v>
      </c>
      <c r="E170" s="3" t="s">
        <v>40</v>
      </c>
      <c r="F170" s="3" t="s">
        <v>78</v>
      </c>
      <c r="G170" s="3" t="s">
        <v>15</v>
      </c>
      <c r="H170" s="3" t="s">
        <v>22</v>
      </c>
      <c r="I170" s="4" t="n">
        <v>394</v>
      </c>
      <c r="J170" s="4" t="n">
        <v>53</v>
      </c>
      <c r="K170" s="4" t="n">
        <v>40</v>
      </c>
      <c r="L170" s="4" t="n">
        <f aca="false">IF(O170="Delivered",I170-J170+K170,0)</f>
        <v>381</v>
      </c>
      <c r="M170" s="0" t="n">
        <v>40</v>
      </c>
      <c r="N170" s="0" t="n">
        <v>4.1</v>
      </c>
      <c r="O170" s="3" t="s">
        <v>17</v>
      </c>
    </row>
    <row r="171" customFormat="false" ht="15" hidden="false" customHeight="false" outlineLevel="0" collapsed="false">
      <c r="A171" s="0" t="s">
        <v>618</v>
      </c>
      <c r="B171" s="2" t="n">
        <v>45708</v>
      </c>
      <c r="C171" s="0" t="str">
        <f aca="false">TEXT(B171,"mmm")</f>
        <v>Feb</v>
      </c>
      <c r="D171" s="0" t="str">
        <f aca="false">TEXT(B171,"ddd")</f>
        <v>Thu</v>
      </c>
      <c r="E171" s="3" t="s">
        <v>13</v>
      </c>
      <c r="F171" s="3" t="s">
        <v>25</v>
      </c>
      <c r="G171" s="3" t="s">
        <v>21</v>
      </c>
      <c r="H171" s="3" t="s">
        <v>34</v>
      </c>
      <c r="I171" s="4" t="n">
        <v>576</v>
      </c>
      <c r="J171" s="4" t="n">
        <v>0</v>
      </c>
      <c r="K171" s="4" t="n">
        <v>0</v>
      </c>
      <c r="L171" s="4" t="n">
        <f aca="false">IF(O171="Delivered",I171-J171+K171,0)</f>
        <v>576</v>
      </c>
      <c r="M171" s="0" t="n">
        <v>28</v>
      </c>
      <c r="N171" s="0" t="n">
        <v>3.8</v>
      </c>
      <c r="O171" s="3" t="s">
        <v>17</v>
      </c>
    </row>
    <row r="172" customFormat="false" ht="15" hidden="false" customHeight="false" outlineLevel="0" collapsed="false">
      <c r="A172" s="0" t="s">
        <v>1262</v>
      </c>
      <c r="B172" s="2" t="n">
        <v>45708</v>
      </c>
      <c r="C172" s="0" t="str">
        <f aca="false">TEXT(B172,"mmm")</f>
        <v>Feb</v>
      </c>
      <c r="D172" s="0" t="str">
        <f aca="false">TEXT(B172,"ddd")</f>
        <v>Thu</v>
      </c>
      <c r="E172" s="3" t="s">
        <v>27</v>
      </c>
      <c r="F172" s="3" t="s">
        <v>28</v>
      </c>
      <c r="G172" s="3" t="s">
        <v>15</v>
      </c>
      <c r="H172" s="3" t="s">
        <v>34</v>
      </c>
      <c r="I172" s="4" t="n">
        <v>362</v>
      </c>
      <c r="J172" s="4" t="n">
        <v>0</v>
      </c>
      <c r="K172" s="4" t="n">
        <v>20</v>
      </c>
      <c r="L172" s="4" t="n">
        <f aca="false">IF(O172="Delivered",I172-J172+K172,0)</f>
        <v>382</v>
      </c>
      <c r="M172" s="0" t="n">
        <v>56</v>
      </c>
      <c r="N172" s="0" t="n">
        <v>3.2</v>
      </c>
      <c r="O172" s="3" t="s">
        <v>17</v>
      </c>
    </row>
    <row r="173" customFormat="false" ht="15" hidden="false" customHeight="false" outlineLevel="0" collapsed="false">
      <c r="A173" s="0" t="s">
        <v>1420</v>
      </c>
      <c r="B173" s="2" t="n">
        <v>45708</v>
      </c>
      <c r="C173" s="0" t="str">
        <f aca="false">TEXT(B173,"mmm")</f>
        <v>Feb</v>
      </c>
      <c r="D173" s="0" t="str">
        <f aca="false">TEXT(B173,"ddd")</f>
        <v>Thu</v>
      </c>
      <c r="E173" s="3" t="s">
        <v>30</v>
      </c>
      <c r="F173" s="3" t="s">
        <v>31</v>
      </c>
      <c r="G173" s="3" t="s">
        <v>21</v>
      </c>
      <c r="H173" s="3" t="s">
        <v>36</v>
      </c>
      <c r="I173" s="4" t="n">
        <v>400</v>
      </c>
      <c r="J173" s="4" t="n">
        <v>0</v>
      </c>
      <c r="K173" s="4" t="n">
        <v>45</v>
      </c>
      <c r="L173" s="4" t="n">
        <f aca="false">IF(O173="Delivered",I173-J173+K173,0)</f>
        <v>445</v>
      </c>
      <c r="M173" s="0" t="n">
        <v>41</v>
      </c>
      <c r="N173" s="0" t="n">
        <v>4.8</v>
      </c>
      <c r="O173" s="3" t="s">
        <v>17</v>
      </c>
    </row>
    <row r="174" customFormat="false" ht="15" hidden="false" customHeight="false" outlineLevel="0" collapsed="false">
      <c r="A174" s="0" t="s">
        <v>151</v>
      </c>
      <c r="B174" s="2" t="n">
        <v>45709</v>
      </c>
      <c r="C174" s="0" t="str">
        <f aca="false">TEXT(B174,"mmm")</f>
        <v>Feb</v>
      </c>
      <c r="D174" s="0" t="str">
        <f aca="false">TEXT(B174,"ddd")</f>
        <v>Fri</v>
      </c>
      <c r="E174" s="3" t="s">
        <v>30</v>
      </c>
      <c r="F174" s="3" t="s">
        <v>25</v>
      </c>
      <c r="G174" s="3" t="s">
        <v>15</v>
      </c>
      <c r="H174" s="3" t="s">
        <v>34</v>
      </c>
      <c r="I174" s="4" t="n">
        <v>496</v>
      </c>
      <c r="J174" s="4" t="n">
        <v>81</v>
      </c>
      <c r="K174" s="4" t="n">
        <v>30</v>
      </c>
      <c r="L174" s="4" t="n">
        <f aca="false">IF(O174="Delivered",I174-J174+K174,0)</f>
        <v>445</v>
      </c>
      <c r="M174" s="0" t="n">
        <v>38</v>
      </c>
      <c r="N174" s="0" t="n">
        <v>5</v>
      </c>
      <c r="O174" s="3" t="s">
        <v>17</v>
      </c>
    </row>
    <row r="175" customFormat="false" ht="15" hidden="false" customHeight="false" outlineLevel="0" collapsed="false">
      <c r="A175" s="0" t="s">
        <v>450</v>
      </c>
      <c r="B175" s="2" t="n">
        <v>45709</v>
      </c>
      <c r="C175" s="0" t="str">
        <f aca="false">TEXT(B175,"mmm")</f>
        <v>Feb</v>
      </c>
      <c r="D175" s="0" t="str">
        <f aca="false">TEXT(B175,"ddd")</f>
        <v>Fri</v>
      </c>
      <c r="E175" s="3" t="s">
        <v>19</v>
      </c>
      <c r="F175" s="3" t="s">
        <v>20</v>
      </c>
      <c r="G175" s="3" t="s">
        <v>15</v>
      </c>
      <c r="H175" s="3" t="s">
        <v>16</v>
      </c>
      <c r="I175" s="4" t="n">
        <v>583</v>
      </c>
      <c r="J175" s="4" t="n">
        <v>78</v>
      </c>
      <c r="K175" s="4" t="n">
        <v>0</v>
      </c>
      <c r="L175" s="4" t="n">
        <f aca="false">IF(O175="Delivered",I175-J175+K175,0)</f>
        <v>505</v>
      </c>
      <c r="M175" s="0" t="n">
        <v>17</v>
      </c>
      <c r="N175" s="0" t="n">
        <v>5</v>
      </c>
      <c r="O175" s="3" t="s">
        <v>17</v>
      </c>
    </row>
    <row r="176" customFormat="false" ht="15" hidden="false" customHeight="false" outlineLevel="0" collapsed="false">
      <c r="A176" s="0" t="s">
        <v>480</v>
      </c>
      <c r="B176" s="2" t="n">
        <v>45709</v>
      </c>
      <c r="C176" s="0" t="str">
        <f aca="false">TEXT(B176,"mmm")</f>
        <v>Feb</v>
      </c>
      <c r="D176" s="0" t="str">
        <f aca="false">TEXT(B176,"ddd")</f>
        <v>Fri</v>
      </c>
      <c r="E176" s="3" t="s">
        <v>45</v>
      </c>
      <c r="F176" s="3" t="s">
        <v>56</v>
      </c>
      <c r="G176" s="3" t="s">
        <v>21</v>
      </c>
      <c r="H176" s="3" t="s">
        <v>54</v>
      </c>
      <c r="I176" s="4" t="n">
        <v>307</v>
      </c>
      <c r="J176" s="4" t="n">
        <v>0</v>
      </c>
      <c r="K176" s="4" t="n">
        <v>30</v>
      </c>
      <c r="L176" s="4" t="n">
        <f aca="false">IF(O176="Delivered",I176-J176+K176,0)</f>
        <v>337</v>
      </c>
      <c r="M176" s="0" t="n">
        <v>31</v>
      </c>
      <c r="N176" s="0" t="n">
        <v>5</v>
      </c>
      <c r="O176" s="3" t="s">
        <v>17</v>
      </c>
    </row>
    <row r="177" customFormat="false" ht="15" hidden="false" customHeight="false" outlineLevel="0" collapsed="false">
      <c r="A177" s="0" t="s">
        <v>1122</v>
      </c>
      <c r="B177" s="2" t="n">
        <v>45709</v>
      </c>
      <c r="C177" s="0" t="str">
        <f aca="false">TEXT(B177,"mmm")</f>
        <v>Feb</v>
      </c>
      <c r="D177" s="0" t="str">
        <f aca="false">TEXT(B177,"ddd")</f>
        <v>Fri</v>
      </c>
      <c r="E177" s="3" t="s">
        <v>13</v>
      </c>
      <c r="F177" s="3" t="s">
        <v>56</v>
      </c>
      <c r="G177" s="3" t="s">
        <v>21</v>
      </c>
      <c r="H177" s="3" t="s">
        <v>22</v>
      </c>
      <c r="I177" s="4" t="n">
        <v>291</v>
      </c>
      <c r="J177" s="4" t="n">
        <v>60</v>
      </c>
      <c r="K177" s="4" t="n">
        <v>40</v>
      </c>
      <c r="L177" s="4" t="n">
        <f aca="false">IF(O177="Delivered",I177-J177+K177,0)</f>
        <v>271</v>
      </c>
      <c r="M177" s="0" t="n">
        <v>27</v>
      </c>
      <c r="N177" s="0" t="n">
        <v>4.2</v>
      </c>
      <c r="O177" s="3" t="s">
        <v>17</v>
      </c>
    </row>
    <row r="178" customFormat="false" ht="15" hidden="false" customHeight="false" outlineLevel="0" collapsed="false">
      <c r="A178" s="0" t="s">
        <v>1343</v>
      </c>
      <c r="B178" s="2" t="n">
        <v>45709</v>
      </c>
      <c r="C178" s="0" t="str">
        <f aca="false">TEXT(B178,"mmm")</f>
        <v>Feb</v>
      </c>
      <c r="D178" s="0" t="str">
        <f aca="false">TEXT(B178,"ddd")</f>
        <v>Fri</v>
      </c>
      <c r="E178" s="3" t="s">
        <v>45</v>
      </c>
      <c r="F178" s="3" t="s">
        <v>31</v>
      </c>
      <c r="G178" s="3" t="s">
        <v>21</v>
      </c>
      <c r="H178" s="3" t="s">
        <v>16</v>
      </c>
      <c r="I178" s="4" t="n">
        <v>664</v>
      </c>
      <c r="J178" s="4" t="n">
        <v>0</v>
      </c>
      <c r="K178" s="4" t="n">
        <v>0</v>
      </c>
      <c r="L178" s="4" t="n">
        <f aca="false">IF(O178="Delivered",I178-J178+K178,0)</f>
        <v>664</v>
      </c>
      <c r="M178" s="0" t="n">
        <v>25</v>
      </c>
      <c r="N178" s="0" t="n">
        <v>4.5</v>
      </c>
      <c r="O178" s="3" t="s">
        <v>17</v>
      </c>
    </row>
    <row r="179" customFormat="false" ht="15" hidden="false" customHeight="false" outlineLevel="0" collapsed="false">
      <c r="A179" s="0" t="s">
        <v>1523</v>
      </c>
      <c r="B179" s="2" t="n">
        <v>45709</v>
      </c>
      <c r="C179" s="0" t="str">
        <f aca="false">TEXT(B179,"mmm")</f>
        <v>Feb</v>
      </c>
      <c r="D179" s="0" t="str">
        <f aca="false">TEXT(B179,"ddd")</f>
        <v>Fri</v>
      </c>
      <c r="E179" s="3" t="s">
        <v>24</v>
      </c>
      <c r="F179" s="3" t="s">
        <v>14</v>
      </c>
      <c r="G179" s="3" t="s">
        <v>21</v>
      </c>
      <c r="H179" s="3" t="s">
        <v>22</v>
      </c>
      <c r="I179" s="4" t="n">
        <v>231</v>
      </c>
      <c r="J179" s="4" t="n">
        <v>0</v>
      </c>
      <c r="K179" s="4" t="n">
        <v>30</v>
      </c>
      <c r="L179" s="4" t="n">
        <f aca="false">IF(O179="Delivered",I179-J179+K179,0)</f>
        <v>261</v>
      </c>
      <c r="M179" s="0" t="n">
        <v>40</v>
      </c>
      <c r="N179" s="0" t="n">
        <v>4.1</v>
      </c>
      <c r="O179" s="3" t="s">
        <v>17</v>
      </c>
    </row>
    <row r="180" customFormat="false" ht="15" hidden="false" customHeight="false" outlineLevel="0" collapsed="false">
      <c r="A180" s="0" t="s">
        <v>1568</v>
      </c>
      <c r="B180" s="2" t="n">
        <v>45709</v>
      </c>
      <c r="C180" s="0" t="str">
        <f aca="false">TEXT(B180,"mmm")</f>
        <v>Feb</v>
      </c>
      <c r="D180" s="0" t="str">
        <f aca="false">TEXT(B180,"ddd")</f>
        <v>Fri</v>
      </c>
      <c r="E180" s="3" t="s">
        <v>27</v>
      </c>
      <c r="F180" s="3" t="s">
        <v>56</v>
      </c>
      <c r="G180" s="3" t="s">
        <v>21</v>
      </c>
      <c r="H180" s="3" t="s">
        <v>1690</v>
      </c>
      <c r="I180" s="4" t="n">
        <v>504</v>
      </c>
      <c r="J180" s="4" t="n">
        <v>0</v>
      </c>
      <c r="K180" s="4" t="n">
        <v>0</v>
      </c>
      <c r="L180" s="4" t="n">
        <f aca="false">IF(O180="Delivered",I180-J180+K180,0)</f>
        <v>504</v>
      </c>
      <c r="M180" s="0" t="n">
        <v>45</v>
      </c>
      <c r="N180" s="0" t="n">
        <v>4.1</v>
      </c>
      <c r="O180" s="3" t="s">
        <v>17</v>
      </c>
    </row>
    <row r="181" customFormat="false" ht="15" hidden="false" customHeight="false" outlineLevel="0" collapsed="false">
      <c r="A181" s="0" t="s">
        <v>277</v>
      </c>
      <c r="B181" s="2" t="n">
        <v>45710</v>
      </c>
      <c r="C181" s="0" t="str">
        <f aca="false">TEXT(B181,"mmm")</f>
        <v>Feb</v>
      </c>
      <c r="D181" s="0" t="str">
        <f aca="false">TEXT(B181,"ddd")</f>
        <v>Sat</v>
      </c>
      <c r="E181" s="3" t="s">
        <v>45</v>
      </c>
      <c r="F181" s="3" t="s">
        <v>31</v>
      </c>
      <c r="G181" s="3" t="s">
        <v>15</v>
      </c>
      <c r="H181" s="3" t="s">
        <v>22</v>
      </c>
      <c r="I181" s="4" t="n">
        <v>595</v>
      </c>
      <c r="J181" s="4" t="n">
        <v>140</v>
      </c>
      <c r="K181" s="4" t="n">
        <v>0</v>
      </c>
      <c r="L181" s="4" t="n">
        <f aca="false">IF(O181="Delivered",I181-J181+K181,0)</f>
        <v>455</v>
      </c>
      <c r="M181" s="0" t="n">
        <v>37</v>
      </c>
      <c r="N181" s="0" t="n">
        <v>3.9</v>
      </c>
      <c r="O181" s="3" t="s">
        <v>17</v>
      </c>
    </row>
    <row r="182" customFormat="false" ht="15" hidden="false" customHeight="false" outlineLevel="0" collapsed="false">
      <c r="A182" s="0" t="s">
        <v>449</v>
      </c>
      <c r="B182" s="2" t="n">
        <v>45710</v>
      </c>
      <c r="C182" s="0" t="str">
        <f aca="false">TEXT(B182,"mmm")</f>
        <v>Feb</v>
      </c>
      <c r="D182" s="0" t="str">
        <f aca="false">TEXT(B182,"ddd")</f>
        <v>Sat</v>
      </c>
      <c r="E182" s="3" t="s">
        <v>19</v>
      </c>
      <c r="F182" s="3" t="s">
        <v>25</v>
      </c>
      <c r="G182" s="3" t="s">
        <v>21</v>
      </c>
      <c r="H182" s="3" t="s">
        <v>34</v>
      </c>
      <c r="I182" s="4" t="n">
        <v>545</v>
      </c>
      <c r="J182" s="4" t="n">
        <v>97</v>
      </c>
      <c r="K182" s="4" t="n">
        <v>0</v>
      </c>
      <c r="L182" s="4" t="n">
        <f aca="false">IF(O182="Delivered",I182-J182+K182,0)</f>
        <v>448</v>
      </c>
      <c r="M182" s="0" t="n">
        <v>30</v>
      </c>
      <c r="N182" s="0" t="n">
        <v>5</v>
      </c>
      <c r="O182" s="3" t="s">
        <v>17</v>
      </c>
    </row>
    <row r="183" customFormat="false" ht="15" hidden="false" customHeight="false" outlineLevel="0" collapsed="false">
      <c r="A183" s="0" t="s">
        <v>574</v>
      </c>
      <c r="B183" s="2" t="n">
        <v>45710</v>
      </c>
      <c r="C183" s="0" t="str">
        <f aca="false">TEXT(B183,"mmm")</f>
        <v>Feb</v>
      </c>
      <c r="D183" s="0" t="str">
        <f aca="false">TEXT(B183,"ddd")</f>
        <v>Sat</v>
      </c>
      <c r="E183" s="3" t="s">
        <v>13</v>
      </c>
      <c r="F183" s="3" t="s">
        <v>20</v>
      </c>
      <c r="G183" s="3" t="s">
        <v>15</v>
      </c>
      <c r="H183" s="3" t="s">
        <v>54</v>
      </c>
      <c r="I183" s="4" t="n">
        <v>613</v>
      </c>
      <c r="J183" s="4" t="n">
        <v>0</v>
      </c>
      <c r="K183" s="4" t="n">
        <v>0</v>
      </c>
      <c r="L183" s="4" t="n">
        <f aca="false">IF(O183="Delivered",I183-J183+K183,0)</f>
        <v>613</v>
      </c>
      <c r="M183" s="0" t="n">
        <v>29</v>
      </c>
      <c r="N183" s="0" t="n">
        <v>5</v>
      </c>
      <c r="O183" s="3" t="s">
        <v>17</v>
      </c>
    </row>
    <row r="184" customFormat="false" ht="15" hidden="false" customHeight="false" outlineLevel="0" collapsed="false">
      <c r="A184" s="0" t="s">
        <v>633</v>
      </c>
      <c r="B184" s="2" t="n">
        <v>45710</v>
      </c>
      <c r="C184" s="0" t="str">
        <f aca="false">TEXT(B184,"mmm")</f>
        <v>Feb</v>
      </c>
      <c r="D184" s="0" t="str">
        <f aca="false">TEXT(B184,"ddd")</f>
        <v>Sat</v>
      </c>
      <c r="E184" s="3" t="s">
        <v>27</v>
      </c>
      <c r="F184" s="3" t="s">
        <v>56</v>
      </c>
      <c r="G184" s="3" t="s">
        <v>21</v>
      </c>
      <c r="H184" s="3" t="s">
        <v>22</v>
      </c>
      <c r="I184" s="4" t="n">
        <v>300</v>
      </c>
      <c r="J184" s="4" t="n">
        <v>40</v>
      </c>
      <c r="K184" s="4" t="n">
        <v>45</v>
      </c>
      <c r="L184" s="4" t="n">
        <f aca="false">IF(O184="Delivered",I184-J184+K184,0)</f>
        <v>305</v>
      </c>
      <c r="M184" s="0" t="n">
        <v>39</v>
      </c>
      <c r="N184" s="0" t="n">
        <v>3.6</v>
      </c>
      <c r="O184" s="3" t="s">
        <v>17</v>
      </c>
    </row>
    <row r="185" customFormat="false" ht="15" hidden="false" customHeight="false" outlineLevel="0" collapsed="false">
      <c r="A185" s="0" t="s">
        <v>1083</v>
      </c>
      <c r="B185" s="2" t="n">
        <v>45710</v>
      </c>
      <c r="C185" s="0" t="str">
        <f aca="false">TEXT(B185,"mmm")</f>
        <v>Feb</v>
      </c>
      <c r="D185" s="0" t="str">
        <f aca="false">TEXT(B185,"ddd")</f>
        <v>Sat</v>
      </c>
      <c r="E185" s="3" t="s">
        <v>13</v>
      </c>
      <c r="F185" s="3" t="s">
        <v>20</v>
      </c>
      <c r="G185" s="3" t="s">
        <v>15</v>
      </c>
      <c r="H185" s="3" t="s">
        <v>16</v>
      </c>
      <c r="I185" s="4" t="n">
        <v>523</v>
      </c>
      <c r="J185" s="4" t="n">
        <v>0</v>
      </c>
      <c r="K185" s="4" t="n">
        <v>0</v>
      </c>
      <c r="L185" s="4" t="n">
        <f aca="false">IF(O185="Delivered",I185-J185+K185,0)</f>
        <v>523</v>
      </c>
      <c r="M185" s="0" t="n">
        <v>32</v>
      </c>
      <c r="N185" s="0" t="n">
        <v>4.4</v>
      </c>
      <c r="O185" s="3" t="s">
        <v>17</v>
      </c>
    </row>
    <row r="186" customFormat="false" ht="15" hidden="false" customHeight="false" outlineLevel="0" collapsed="false">
      <c r="A186" s="0" t="s">
        <v>259</v>
      </c>
      <c r="B186" s="2" t="n">
        <v>45711</v>
      </c>
      <c r="C186" s="0" t="str">
        <f aca="false">TEXT(B186,"mmm")</f>
        <v>Feb</v>
      </c>
      <c r="D186" s="0" t="str">
        <f aca="false">TEXT(B186,"ddd")</f>
        <v>Sun</v>
      </c>
      <c r="E186" s="3" t="s">
        <v>24</v>
      </c>
      <c r="F186" s="3" t="s">
        <v>20</v>
      </c>
      <c r="G186" s="3" t="s">
        <v>21</v>
      </c>
      <c r="H186" s="3" t="s">
        <v>22</v>
      </c>
      <c r="I186" s="4" t="n">
        <v>695</v>
      </c>
      <c r="J186" s="4" t="n">
        <v>0</v>
      </c>
      <c r="K186" s="4" t="n">
        <v>0</v>
      </c>
      <c r="L186" s="4" t="n">
        <f aca="false">IF(O186="Delivered",I186-J186+K186,0)</f>
        <v>695</v>
      </c>
      <c r="M186" s="0" t="n">
        <v>42</v>
      </c>
      <c r="N186" s="0" t="n">
        <v>3.5</v>
      </c>
      <c r="O186" s="3" t="s">
        <v>17</v>
      </c>
    </row>
    <row r="187" customFormat="false" ht="15" hidden="false" customHeight="false" outlineLevel="0" collapsed="false">
      <c r="A187" s="0" t="s">
        <v>287</v>
      </c>
      <c r="B187" s="2" t="n">
        <v>45711</v>
      </c>
      <c r="C187" s="0" t="str">
        <f aca="false">TEXT(B187,"mmm")</f>
        <v>Feb</v>
      </c>
      <c r="D187" s="0" t="str">
        <f aca="false">TEXT(B187,"ddd")</f>
        <v>Sun</v>
      </c>
      <c r="E187" s="3" t="s">
        <v>27</v>
      </c>
      <c r="F187" s="3" t="s">
        <v>31</v>
      </c>
      <c r="G187" s="3" t="s">
        <v>21</v>
      </c>
      <c r="H187" s="3" t="s">
        <v>36</v>
      </c>
      <c r="I187" s="4" t="n">
        <v>543</v>
      </c>
      <c r="J187" s="4" t="n">
        <v>0</v>
      </c>
      <c r="K187" s="4" t="n">
        <v>0</v>
      </c>
      <c r="L187" s="4" t="n">
        <f aca="false">IF(O187="Delivered",I187-J187+K187,0)</f>
        <v>543</v>
      </c>
      <c r="M187" s="0" t="n">
        <v>44</v>
      </c>
      <c r="N187" s="0" t="n">
        <v>3.8</v>
      </c>
      <c r="O187" s="3" t="s">
        <v>17</v>
      </c>
    </row>
    <row r="188" customFormat="false" ht="15" hidden="false" customHeight="false" outlineLevel="0" collapsed="false">
      <c r="A188" s="0" t="s">
        <v>484</v>
      </c>
      <c r="B188" s="2" t="n">
        <v>45711</v>
      </c>
      <c r="C188" s="0" t="str">
        <f aca="false">TEXT(B188,"mmm")</f>
        <v>Feb</v>
      </c>
      <c r="D188" s="0" t="str">
        <f aca="false">TEXT(B188,"ddd")</f>
        <v>Sun</v>
      </c>
      <c r="E188" s="3" t="s">
        <v>13</v>
      </c>
      <c r="F188" s="3" t="s">
        <v>28</v>
      </c>
      <c r="G188" s="3" t="s">
        <v>15</v>
      </c>
      <c r="H188" s="3" t="s">
        <v>34</v>
      </c>
      <c r="I188" s="4" t="n">
        <v>419</v>
      </c>
      <c r="J188" s="4" t="n">
        <v>0</v>
      </c>
      <c r="K188" s="4" t="n">
        <v>30</v>
      </c>
      <c r="L188" s="4" t="n">
        <f aca="false">IF(O188="Delivered",I188-J188+K188,0)</f>
        <v>449</v>
      </c>
      <c r="M188" s="0" t="n">
        <v>29</v>
      </c>
      <c r="N188" s="0" t="n">
        <v>4</v>
      </c>
      <c r="O188" s="3" t="s">
        <v>17</v>
      </c>
    </row>
    <row r="189" customFormat="false" ht="15" hidden="false" customHeight="false" outlineLevel="0" collapsed="false">
      <c r="A189" s="0" t="s">
        <v>740</v>
      </c>
      <c r="B189" s="2" t="n">
        <v>45711</v>
      </c>
      <c r="C189" s="0" t="str">
        <f aca="false">TEXT(B189,"mmm")</f>
        <v>Feb</v>
      </c>
      <c r="D189" s="0" t="str">
        <f aca="false">TEXT(B189,"ddd")</f>
        <v>Sun</v>
      </c>
      <c r="E189" s="3" t="s">
        <v>40</v>
      </c>
      <c r="F189" s="3" t="s">
        <v>25</v>
      </c>
      <c r="G189" s="3" t="s">
        <v>15</v>
      </c>
      <c r="H189" s="3" t="s">
        <v>22</v>
      </c>
      <c r="I189" s="4" t="n">
        <v>373</v>
      </c>
      <c r="J189" s="4" t="n">
        <v>47</v>
      </c>
      <c r="K189" s="4" t="n">
        <v>20</v>
      </c>
      <c r="L189" s="4" t="n">
        <f aca="false">IF(O189="Delivered",I189-J189+K189,0)</f>
        <v>346</v>
      </c>
      <c r="M189" s="0" t="n">
        <v>60</v>
      </c>
      <c r="N189" s="0" t="n">
        <v>3.6</v>
      </c>
      <c r="O189" s="3" t="s">
        <v>17</v>
      </c>
    </row>
    <row r="190" customFormat="false" ht="15" hidden="false" customHeight="false" outlineLevel="0" collapsed="false">
      <c r="A190" s="0" t="s">
        <v>1422</v>
      </c>
      <c r="B190" s="2" t="n">
        <v>45711</v>
      </c>
      <c r="C190" s="0" t="str">
        <f aca="false">TEXT(B190,"mmm")</f>
        <v>Feb</v>
      </c>
      <c r="D190" s="0" t="str">
        <f aca="false">TEXT(B190,"ddd")</f>
        <v>Sun</v>
      </c>
      <c r="E190" s="3" t="s">
        <v>45</v>
      </c>
      <c r="F190" s="3" t="s">
        <v>14</v>
      </c>
      <c r="G190" s="3" t="s">
        <v>15</v>
      </c>
      <c r="H190" s="3" t="s">
        <v>16</v>
      </c>
      <c r="I190" s="4" t="n">
        <v>374</v>
      </c>
      <c r="J190" s="4" t="n">
        <v>0</v>
      </c>
      <c r="K190" s="4" t="n">
        <v>45</v>
      </c>
      <c r="L190" s="4" t="n">
        <f aca="false">IF(O190="Delivered",I190-J190+K190,0)</f>
        <v>419</v>
      </c>
      <c r="M190" s="0" t="n">
        <v>29</v>
      </c>
      <c r="N190" s="0" t="n">
        <v>5</v>
      </c>
      <c r="O190" s="3" t="s">
        <v>17</v>
      </c>
    </row>
    <row r="191" customFormat="false" ht="15" hidden="false" customHeight="false" outlineLevel="0" collapsed="false">
      <c r="A191" s="0" t="s">
        <v>531</v>
      </c>
      <c r="B191" s="2" t="n">
        <v>45712</v>
      </c>
      <c r="C191" s="0" t="str">
        <f aca="false">TEXT(B191,"mmm")</f>
        <v>Feb</v>
      </c>
      <c r="D191" s="0" t="str">
        <f aca="false">TEXT(B191,"ddd")</f>
        <v>Mon</v>
      </c>
      <c r="E191" s="3" t="s">
        <v>27</v>
      </c>
      <c r="F191" s="3" t="s">
        <v>25</v>
      </c>
      <c r="G191" s="3" t="s">
        <v>21</v>
      </c>
      <c r="H191" s="3" t="s">
        <v>16</v>
      </c>
      <c r="I191" s="4" t="n">
        <v>444</v>
      </c>
      <c r="J191" s="4" t="n">
        <v>0</v>
      </c>
      <c r="K191" s="4" t="n">
        <v>30</v>
      </c>
      <c r="L191" s="4" t="n">
        <f aca="false">IF(O191="Delivered",I191-J191+K191,0)</f>
        <v>474</v>
      </c>
      <c r="M191" s="0" t="n">
        <v>33</v>
      </c>
      <c r="O191" s="3" t="s">
        <v>17</v>
      </c>
    </row>
    <row r="192" customFormat="false" ht="15" hidden="false" customHeight="false" outlineLevel="0" collapsed="false">
      <c r="A192" s="0" t="s">
        <v>939</v>
      </c>
      <c r="B192" s="2" t="n">
        <v>45712</v>
      </c>
      <c r="C192" s="0" t="str">
        <f aca="false">TEXT(B192,"mmm")</f>
        <v>Feb</v>
      </c>
      <c r="D192" s="0" t="str">
        <f aca="false">TEXT(B192,"ddd")</f>
        <v>Mon</v>
      </c>
      <c r="E192" s="3" t="s">
        <v>27</v>
      </c>
      <c r="F192" s="3" t="s">
        <v>31</v>
      </c>
      <c r="G192" s="3" t="s">
        <v>15</v>
      </c>
      <c r="H192" s="3" t="s">
        <v>54</v>
      </c>
      <c r="I192" s="4" t="n">
        <v>375</v>
      </c>
      <c r="J192" s="4" t="n">
        <v>0</v>
      </c>
      <c r="K192" s="4" t="n">
        <v>30</v>
      </c>
      <c r="L192" s="4" t="n">
        <f aca="false">IF(O192="Delivered",I192-J192+K192,0)</f>
        <v>405</v>
      </c>
      <c r="M192" s="0" t="n">
        <v>59</v>
      </c>
      <c r="N192" s="0" t="n">
        <v>3.5</v>
      </c>
      <c r="O192" s="3" t="s">
        <v>17</v>
      </c>
    </row>
    <row r="193" customFormat="false" ht="15" hidden="false" customHeight="false" outlineLevel="0" collapsed="false">
      <c r="A193" s="0" t="s">
        <v>1113</v>
      </c>
      <c r="B193" s="2" t="n">
        <v>45712</v>
      </c>
      <c r="C193" s="0" t="str">
        <f aca="false">TEXT(B193,"mmm")</f>
        <v>Feb</v>
      </c>
      <c r="D193" s="0" t="str">
        <f aca="false">TEXT(B193,"ddd")</f>
        <v>Mon</v>
      </c>
      <c r="E193" s="3" t="s">
        <v>27</v>
      </c>
      <c r="F193" s="3" t="s">
        <v>25</v>
      </c>
      <c r="G193" s="3" t="s">
        <v>21</v>
      </c>
      <c r="H193" s="3" t="s">
        <v>22</v>
      </c>
      <c r="I193" s="4" t="n">
        <v>544</v>
      </c>
      <c r="J193" s="4" t="n">
        <v>125</v>
      </c>
      <c r="K193" s="4" t="n">
        <v>0</v>
      </c>
      <c r="L193" s="4" t="n">
        <f aca="false">IF(O193="Delivered",I193-J193+K193,0)</f>
        <v>419</v>
      </c>
      <c r="M193" s="0" t="n">
        <v>41</v>
      </c>
      <c r="N193" s="0" t="n">
        <v>4.2</v>
      </c>
      <c r="O193" s="3" t="s">
        <v>17</v>
      </c>
    </row>
    <row r="194" customFormat="false" ht="15" hidden="false" customHeight="false" outlineLevel="0" collapsed="false">
      <c r="A194" s="0" t="s">
        <v>1192</v>
      </c>
      <c r="B194" s="2" t="n">
        <v>45712</v>
      </c>
      <c r="C194" s="0" t="str">
        <f aca="false">TEXT(B194,"mmm")</f>
        <v>Feb</v>
      </c>
      <c r="D194" s="0" t="str">
        <f aca="false">TEXT(B194,"ddd")</f>
        <v>Mon</v>
      </c>
      <c r="E194" s="3" t="s">
        <v>27</v>
      </c>
      <c r="F194" s="3" t="s">
        <v>14</v>
      </c>
      <c r="G194" s="3" t="s">
        <v>15</v>
      </c>
      <c r="H194" s="3" t="s">
        <v>54</v>
      </c>
      <c r="I194" s="4" t="n">
        <v>332</v>
      </c>
      <c r="J194" s="4" t="n">
        <v>50</v>
      </c>
      <c r="K194" s="4" t="n">
        <v>45</v>
      </c>
      <c r="L194" s="4" t="n">
        <f aca="false">IF(O194="Delivered",I194-J194+K194,0)</f>
        <v>327</v>
      </c>
      <c r="M194" s="0" t="n">
        <v>53</v>
      </c>
      <c r="N194" s="0" t="n">
        <v>4.2</v>
      </c>
      <c r="O194" s="3" t="s">
        <v>17</v>
      </c>
    </row>
    <row r="195" customFormat="false" ht="15" hidden="false" customHeight="false" outlineLevel="0" collapsed="false">
      <c r="A195" s="0" t="s">
        <v>37</v>
      </c>
      <c r="B195" s="2" t="n">
        <v>45713</v>
      </c>
      <c r="C195" s="0" t="str">
        <f aca="false">TEXT(B195,"mmm")</f>
        <v>Feb</v>
      </c>
      <c r="D195" s="0" t="str">
        <f aca="false">TEXT(B195,"ddd")</f>
        <v>Tue</v>
      </c>
      <c r="E195" s="3" t="s">
        <v>24</v>
      </c>
      <c r="F195" s="3" t="s">
        <v>31</v>
      </c>
      <c r="G195" s="3" t="s">
        <v>21</v>
      </c>
      <c r="H195" s="3" t="s">
        <v>36</v>
      </c>
      <c r="I195" s="4" t="n">
        <v>393</v>
      </c>
      <c r="J195" s="4" t="n">
        <v>68</v>
      </c>
      <c r="K195" s="4" t="n">
        <v>30</v>
      </c>
      <c r="L195" s="4" t="n">
        <f aca="false">IF(O195="Delivered",I195-J195+K195,0)</f>
        <v>355</v>
      </c>
      <c r="M195" s="0" t="n">
        <v>34</v>
      </c>
      <c r="N195" s="0" t="n">
        <v>5</v>
      </c>
      <c r="O195" s="3" t="s">
        <v>17</v>
      </c>
    </row>
    <row r="196" customFormat="false" ht="15" hidden="false" customHeight="false" outlineLevel="0" collapsed="false">
      <c r="A196" s="0" t="s">
        <v>949</v>
      </c>
      <c r="B196" s="2" t="n">
        <v>45713</v>
      </c>
      <c r="C196" s="0" t="str">
        <f aca="false">TEXT(B196,"mmm")</f>
        <v>Feb</v>
      </c>
      <c r="D196" s="0" t="str">
        <f aca="false">TEXT(B196,"ddd")</f>
        <v>Tue</v>
      </c>
      <c r="E196" s="3" t="s">
        <v>24</v>
      </c>
      <c r="F196" s="3" t="s">
        <v>56</v>
      </c>
      <c r="G196" s="3" t="s">
        <v>15</v>
      </c>
      <c r="H196" s="3" t="s">
        <v>16</v>
      </c>
      <c r="I196" s="4" t="n">
        <v>441</v>
      </c>
      <c r="J196" s="4" t="n">
        <v>0</v>
      </c>
      <c r="K196" s="4" t="n">
        <v>30</v>
      </c>
      <c r="L196" s="4" t="n">
        <f aca="false">IF(O196="Delivered",I196-J196+K196,0)</f>
        <v>471</v>
      </c>
      <c r="M196" s="0" t="n">
        <v>39</v>
      </c>
      <c r="N196" s="0" t="n">
        <v>3.8</v>
      </c>
      <c r="O196" s="3" t="s">
        <v>17</v>
      </c>
    </row>
    <row r="197" customFormat="false" ht="15" hidden="false" customHeight="false" outlineLevel="0" collapsed="false">
      <c r="A197" s="0" t="s">
        <v>1443</v>
      </c>
      <c r="B197" s="2" t="n">
        <v>45713</v>
      </c>
      <c r="C197" s="0" t="str">
        <f aca="false">TEXT(B197,"mmm")</f>
        <v>Feb</v>
      </c>
      <c r="D197" s="0" t="str">
        <f aca="false">TEXT(B197,"ddd")</f>
        <v>Tue</v>
      </c>
      <c r="E197" s="3" t="s">
        <v>13</v>
      </c>
      <c r="F197" s="3" t="s">
        <v>25</v>
      </c>
      <c r="G197" s="3" t="s">
        <v>15</v>
      </c>
      <c r="H197" s="3" t="s">
        <v>36</v>
      </c>
      <c r="I197" s="4" t="n">
        <v>368</v>
      </c>
      <c r="J197" s="4" t="n">
        <v>74</v>
      </c>
      <c r="K197" s="4" t="n">
        <v>45</v>
      </c>
      <c r="L197" s="4" t="n">
        <f aca="false">IF(O197="Delivered",I197-J197+K197,0)</f>
        <v>339</v>
      </c>
      <c r="M197" s="0" t="n">
        <v>32</v>
      </c>
      <c r="N197" s="0" t="n">
        <v>3.8</v>
      </c>
      <c r="O197" s="3" t="s">
        <v>17</v>
      </c>
    </row>
    <row r="198" customFormat="false" ht="15" hidden="false" customHeight="false" outlineLevel="0" collapsed="false">
      <c r="A198" s="0" t="s">
        <v>1594</v>
      </c>
      <c r="B198" s="2" t="n">
        <v>45713</v>
      </c>
      <c r="C198" s="0" t="str">
        <f aca="false">TEXT(B198,"mmm")</f>
        <v>Feb</v>
      </c>
      <c r="D198" s="0" t="str">
        <f aca="false">TEXT(B198,"ddd")</f>
        <v>Tue</v>
      </c>
      <c r="E198" s="3" t="s">
        <v>27</v>
      </c>
      <c r="F198" s="3" t="s">
        <v>25</v>
      </c>
      <c r="G198" s="3" t="s">
        <v>15</v>
      </c>
      <c r="H198" s="3" t="s">
        <v>34</v>
      </c>
      <c r="I198" s="4" t="n">
        <v>475</v>
      </c>
      <c r="J198" s="4" t="n">
        <v>0</v>
      </c>
      <c r="K198" s="4" t="n">
        <v>20</v>
      </c>
      <c r="L198" s="4" t="n">
        <f aca="false">IF(O198="Delivered",I198-J198+K198,0)</f>
        <v>495</v>
      </c>
      <c r="M198" s="0" t="n">
        <v>44</v>
      </c>
      <c r="N198" s="0" t="n">
        <v>4.1</v>
      </c>
      <c r="O198" s="3" t="s">
        <v>17</v>
      </c>
    </row>
    <row r="199" customFormat="false" ht="15" hidden="false" customHeight="false" outlineLevel="0" collapsed="false">
      <c r="A199" s="0" t="s">
        <v>80</v>
      </c>
      <c r="B199" s="2" t="n">
        <v>45714</v>
      </c>
      <c r="C199" s="0" t="str">
        <f aca="false">TEXT(B199,"mmm")</f>
        <v>Feb</v>
      </c>
      <c r="D199" s="0" t="str">
        <f aca="false">TEXT(B199,"ddd")</f>
        <v>Wed</v>
      </c>
      <c r="E199" s="3" t="s">
        <v>30</v>
      </c>
      <c r="F199" s="3" t="s">
        <v>20</v>
      </c>
      <c r="G199" s="3" t="s">
        <v>21</v>
      </c>
      <c r="H199" s="3" t="s">
        <v>54</v>
      </c>
      <c r="I199" s="4" t="n">
        <v>750</v>
      </c>
      <c r="J199" s="4" t="n">
        <v>183</v>
      </c>
      <c r="K199" s="4" t="n">
        <v>0</v>
      </c>
      <c r="L199" s="4" t="n">
        <f aca="false">IF(O199="Delivered",I199-J199+K199,0)</f>
        <v>567</v>
      </c>
      <c r="M199" s="0" t="n">
        <v>38</v>
      </c>
      <c r="N199" s="0" t="n">
        <v>4.1</v>
      </c>
      <c r="O199" s="3" t="s">
        <v>17</v>
      </c>
    </row>
    <row r="200" customFormat="false" ht="15" hidden="false" customHeight="false" outlineLevel="0" collapsed="false">
      <c r="A200" s="0" t="s">
        <v>1153</v>
      </c>
      <c r="B200" s="2" t="n">
        <v>45714</v>
      </c>
      <c r="C200" s="0" t="str">
        <f aca="false">TEXT(B200,"mmm")</f>
        <v>Feb</v>
      </c>
      <c r="D200" s="0" t="str">
        <f aca="false">TEXT(B200,"ddd")</f>
        <v>Wed</v>
      </c>
      <c r="E200" s="3" t="s">
        <v>51</v>
      </c>
      <c r="F200" s="3" t="s">
        <v>14</v>
      </c>
      <c r="G200" s="3" t="s">
        <v>15</v>
      </c>
      <c r="H200" s="3" t="s">
        <v>34</v>
      </c>
      <c r="I200" s="4" t="n">
        <v>261</v>
      </c>
      <c r="J200" s="4" t="n">
        <v>0</v>
      </c>
      <c r="K200" s="4" t="n">
        <v>40</v>
      </c>
      <c r="L200" s="4" t="n">
        <f aca="false">IF(O200="Delivered",I200-J200+K200,0)</f>
        <v>301</v>
      </c>
      <c r="M200" s="0" t="n">
        <v>37</v>
      </c>
      <c r="N200" s="0" t="n">
        <v>4.1</v>
      </c>
      <c r="O200" s="3" t="s">
        <v>17</v>
      </c>
    </row>
    <row r="201" customFormat="false" ht="15" hidden="false" customHeight="false" outlineLevel="0" collapsed="false">
      <c r="A201" s="0" t="s">
        <v>1204</v>
      </c>
      <c r="B201" s="2" t="n">
        <v>45714</v>
      </c>
      <c r="C201" s="0" t="str">
        <f aca="false">TEXT(B201,"mmm")</f>
        <v>Feb</v>
      </c>
      <c r="D201" s="0" t="str">
        <f aca="false">TEXT(B201,"ddd")</f>
        <v>Wed</v>
      </c>
      <c r="E201" s="3" t="s">
        <v>27</v>
      </c>
      <c r="F201" s="3" t="s">
        <v>28</v>
      </c>
      <c r="G201" s="3" t="s">
        <v>15</v>
      </c>
      <c r="H201" s="3" t="s">
        <v>22</v>
      </c>
      <c r="I201" s="4" t="n">
        <v>558</v>
      </c>
      <c r="J201" s="4" t="n">
        <v>94</v>
      </c>
      <c r="K201" s="4" t="n">
        <v>0</v>
      </c>
      <c r="L201" s="4" t="n">
        <f aca="false">IF(O201="Delivered",I201-J201+K201,0)</f>
        <v>464</v>
      </c>
      <c r="M201" s="0" t="n">
        <v>36</v>
      </c>
      <c r="N201" s="0" t="n">
        <v>4.4</v>
      </c>
      <c r="O201" s="3" t="s">
        <v>17</v>
      </c>
    </row>
    <row r="202" customFormat="false" ht="15" hidden="false" customHeight="false" outlineLevel="0" collapsed="false">
      <c r="A202" s="0" t="s">
        <v>274</v>
      </c>
      <c r="B202" s="2" t="n">
        <v>45715</v>
      </c>
      <c r="C202" s="0" t="str">
        <f aca="false">TEXT(B202,"mmm")</f>
        <v>Feb</v>
      </c>
      <c r="D202" s="0" t="str">
        <f aca="false">TEXT(B202,"ddd")</f>
        <v>Thu</v>
      </c>
      <c r="E202" s="3" t="s">
        <v>40</v>
      </c>
      <c r="F202" s="3" t="s">
        <v>31</v>
      </c>
      <c r="G202" s="3" t="s">
        <v>15</v>
      </c>
      <c r="H202" s="3" t="s">
        <v>22</v>
      </c>
      <c r="I202" s="4" t="n">
        <v>384</v>
      </c>
      <c r="J202" s="4" t="n">
        <v>0</v>
      </c>
      <c r="K202" s="4" t="n">
        <v>20</v>
      </c>
      <c r="L202" s="4" t="n">
        <f aca="false">IF(O202="Delivered",I202-J202+K202,0)</f>
        <v>404</v>
      </c>
      <c r="M202" s="0" t="n">
        <v>34</v>
      </c>
      <c r="N202" s="0" t="n">
        <v>4.9</v>
      </c>
      <c r="O202" s="3" t="s">
        <v>17</v>
      </c>
    </row>
    <row r="203" customFormat="false" ht="15" hidden="false" customHeight="false" outlineLevel="0" collapsed="false">
      <c r="A203" s="0" t="s">
        <v>286</v>
      </c>
      <c r="B203" s="2" t="n">
        <v>45715</v>
      </c>
      <c r="C203" s="0" t="str">
        <f aca="false">TEXT(B203,"mmm")</f>
        <v>Feb</v>
      </c>
      <c r="D203" s="0" t="str">
        <f aca="false">TEXT(B203,"ddd")</f>
        <v>Thu</v>
      </c>
      <c r="E203" s="3" t="s">
        <v>24</v>
      </c>
      <c r="F203" s="3" t="s">
        <v>25</v>
      </c>
      <c r="G203" s="3" t="s">
        <v>15</v>
      </c>
      <c r="H203" s="3" t="s">
        <v>16</v>
      </c>
      <c r="I203" s="4" t="n">
        <v>628</v>
      </c>
      <c r="J203" s="4" t="n">
        <v>104</v>
      </c>
      <c r="K203" s="4" t="n">
        <v>0</v>
      </c>
      <c r="L203" s="4" t="n">
        <f aca="false">IF(O203="Delivered",I203-J203+K203,0)</f>
        <v>524</v>
      </c>
      <c r="M203" s="0" t="n">
        <v>20</v>
      </c>
      <c r="N203" s="0" t="n">
        <v>5</v>
      </c>
      <c r="O203" s="3" t="s">
        <v>17</v>
      </c>
    </row>
    <row r="204" customFormat="false" ht="15" hidden="false" customHeight="false" outlineLevel="0" collapsed="false">
      <c r="A204" s="0" t="s">
        <v>419</v>
      </c>
      <c r="B204" s="2" t="n">
        <v>45715</v>
      </c>
      <c r="C204" s="0" t="str">
        <f aca="false">TEXT(B204,"mmm")</f>
        <v>Feb</v>
      </c>
      <c r="D204" s="0" t="str">
        <f aca="false">TEXT(B204,"ddd")</f>
        <v>Thu</v>
      </c>
      <c r="E204" s="3" t="s">
        <v>24</v>
      </c>
      <c r="F204" s="3" t="s">
        <v>25</v>
      </c>
      <c r="G204" s="3" t="s">
        <v>15</v>
      </c>
      <c r="H204" s="3" t="s">
        <v>36</v>
      </c>
      <c r="I204" s="4" t="n">
        <v>642</v>
      </c>
      <c r="J204" s="4" t="n">
        <v>0</v>
      </c>
      <c r="K204" s="4" t="n">
        <v>0</v>
      </c>
      <c r="L204" s="4" t="n">
        <f aca="false">IF(O204="Delivered",I204-J204+K204,0)</f>
        <v>642</v>
      </c>
      <c r="M204" s="0" t="n">
        <v>27</v>
      </c>
      <c r="N204" s="0" t="n">
        <v>4.3</v>
      </c>
      <c r="O204" s="3" t="s">
        <v>17</v>
      </c>
    </row>
    <row r="205" customFormat="false" ht="15" hidden="false" customHeight="false" outlineLevel="0" collapsed="false">
      <c r="A205" s="0" t="s">
        <v>1029</v>
      </c>
      <c r="B205" s="2" t="n">
        <v>45715</v>
      </c>
      <c r="C205" s="0" t="str">
        <f aca="false">TEXT(B205,"mmm")</f>
        <v>Feb</v>
      </c>
      <c r="D205" s="0" t="str">
        <f aca="false">TEXT(B205,"ddd")</f>
        <v>Thu</v>
      </c>
      <c r="E205" s="3" t="s">
        <v>40</v>
      </c>
      <c r="F205" s="3" t="s">
        <v>14</v>
      </c>
      <c r="G205" s="3" t="s">
        <v>15</v>
      </c>
      <c r="H205" s="3" t="s">
        <v>22</v>
      </c>
      <c r="I205" s="4" t="n">
        <v>279</v>
      </c>
      <c r="J205" s="4" t="n">
        <v>0</v>
      </c>
      <c r="K205" s="4" t="n">
        <v>30</v>
      </c>
      <c r="L205" s="4" t="n">
        <f aca="false">IF(O205="Delivered",I205-J205+K205,0)</f>
        <v>309</v>
      </c>
      <c r="M205" s="0" t="n">
        <v>35</v>
      </c>
      <c r="N205" s="0" t="n">
        <v>3.9</v>
      </c>
      <c r="O205" s="3" t="s">
        <v>17</v>
      </c>
    </row>
    <row r="206" customFormat="false" ht="15" hidden="false" customHeight="false" outlineLevel="0" collapsed="false">
      <c r="A206" s="0" t="s">
        <v>1112</v>
      </c>
      <c r="B206" s="2" t="n">
        <v>45715</v>
      </c>
      <c r="C206" s="0" t="str">
        <f aca="false">TEXT(B206,"mmm")</f>
        <v>Feb</v>
      </c>
      <c r="D206" s="0" t="str">
        <f aca="false">TEXT(B206,"ddd")</f>
        <v>Thu</v>
      </c>
      <c r="E206" s="3" t="s">
        <v>40</v>
      </c>
      <c r="F206" s="3" t="s">
        <v>28</v>
      </c>
      <c r="G206" s="3" t="s">
        <v>15</v>
      </c>
      <c r="H206" s="3" t="s">
        <v>34</v>
      </c>
      <c r="I206" s="4" t="n">
        <v>579</v>
      </c>
      <c r="J206" s="4" t="n">
        <v>116</v>
      </c>
      <c r="K206" s="4" t="n">
        <v>0</v>
      </c>
      <c r="L206" s="4" t="n">
        <f aca="false">IF(O206="Delivered",I206-J206+K206,0)</f>
        <v>463</v>
      </c>
      <c r="M206" s="0" t="n">
        <v>20</v>
      </c>
      <c r="N206" s="0" t="n">
        <v>5</v>
      </c>
      <c r="O206" s="3" t="s">
        <v>17</v>
      </c>
    </row>
    <row r="207" customFormat="false" ht="15" hidden="false" customHeight="false" outlineLevel="0" collapsed="false">
      <c r="A207" s="0" t="s">
        <v>380</v>
      </c>
      <c r="B207" s="2" t="n">
        <v>45716</v>
      </c>
      <c r="C207" s="0" t="str">
        <f aca="false">TEXT(B207,"mmm")</f>
        <v>Feb</v>
      </c>
      <c r="D207" s="0" t="str">
        <f aca="false">TEXT(B207,"ddd")</f>
        <v>Fri</v>
      </c>
      <c r="E207" s="3" t="s">
        <v>13</v>
      </c>
      <c r="F207" s="3" t="s">
        <v>25</v>
      </c>
      <c r="G207" s="3" t="s">
        <v>15</v>
      </c>
      <c r="H207" s="3" t="s">
        <v>16</v>
      </c>
      <c r="I207" s="4" t="n">
        <v>599</v>
      </c>
      <c r="J207" s="4" t="n">
        <v>137</v>
      </c>
      <c r="K207" s="4" t="n">
        <v>0</v>
      </c>
      <c r="L207" s="4" t="n">
        <f aca="false">IF(O207="Delivered",I207-J207+K207,0)</f>
        <v>462</v>
      </c>
      <c r="M207" s="0" t="n">
        <v>37</v>
      </c>
      <c r="N207" s="0" t="n">
        <v>4.6</v>
      </c>
      <c r="O207" s="3" t="s">
        <v>17</v>
      </c>
    </row>
    <row r="208" customFormat="false" ht="15" hidden="false" customHeight="false" outlineLevel="0" collapsed="false">
      <c r="A208" s="0" t="s">
        <v>575</v>
      </c>
      <c r="B208" s="2" t="n">
        <v>45716</v>
      </c>
      <c r="C208" s="0" t="str">
        <f aca="false">TEXT(B208,"mmm")</f>
        <v>Feb</v>
      </c>
      <c r="D208" s="0" t="str">
        <f aca="false">TEXT(B208,"ddd")</f>
        <v>Fri</v>
      </c>
      <c r="E208" s="3" t="s">
        <v>24</v>
      </c>
      <c r="F208" s="3" t="s">
        <v>56</v>
      </c>
      <c r="G208" s="3" t="s">
        <v>21</v>
      </c>
      <c r="H208" s="3" t="s">
        <v>16</v>
      </c>
      <c r="I208" s="4" t="n">
        <v>426</v>
      </c>
      <c r="J208" s="4" t="n">
        <v>0</v>
      </c>
      <c r="K208" s="4" t="n">
        <v>45</v>
      </c>
      <c r="L208" s="4" t="n">
        <f aca="false">IF(O208="Delivered",I208-J208+K208,0)</f>
        <v>471</v>
      </c>
      <c r="M208" s="0" t="n">
        <v>42</v>
      </c>
      <c r="N208" s="0" t="n">
        <v>4.3</v>
      </c>
      <c r="O208" s="3" t="s">
        <v>17</v>
      </c>
    </row>
    <row r="209" customFormat="false" ht="15" hidden="false" customHeight="false" outlineLevel="0" collapsed="false">
      <c r="A209" s="0" t="s">
        <v>803</v>
      </c>
      <c r="B209" s="2" t="n">
        <v>45716</v>
      </c>
      <c r="C209" s="0" t="str">
        <f aca="false">TEXT(B209,"mmm")</f>
        <v>Feb</v>
      </c>
      <c r="D209" s="0" t="str">
        <f aca="false">TEXT(B209,"ddd")</f>
        <v>Fri</v>
      </c>
      <c r="E209" s="3" t="s">
        <v>24</v>
      </c>
      <c r="F209" s="3" t="s">
        <v>25</v>
      </c>
      <c r="G209" s="3" t="s">
        <v>21</v>
      </c>
      <c r="H209" s="3" t="s">
        <v>22</v>
      </c>
      <c r="I209" s="4" t="n">
        <v>432</v>
      </c>
      <c r="J209" s="4" t="n">
        <v>0</v>
      </c>
      <c r="K209" s="4" t="n">
        <v>30</v>
      </c>
      <c r="L209" s="4" t="n">
        <f aca="false">IF(O209="Delivered",I209-J209+K209,0)</f>
        <v>462</v>
      </c>
      <c r="M209" s="0" t="n">
        <v>40</v>
      </c>
      <c r="N209" s="0" t="n">
        <v>4.1</v>
      </c>
      <c r="O209" s="3" t="s">
        <v>17</v>
      </c>
    </row>
    <row r="210" customFormat="false" ht="15" hidden="false" customHeight="false" outlineLevel="0" collapsed="false">
      <c r="A210" s="0" t="s">
        <v>1406</v>
      </c>
      <c r="B210" s="2" t="n">
        <v>45716</v>
      </c>
      <c r="C210" s="0" t="str">
        <f aca="false">TEXT(B210,"mmm")</f>
        <v>Feb</v>
      </c>
      <c r="D210" s="0" t="str">
        <f aca="false">TEXT(B210,"ddd")</f>
        <v>Fri</v>
      </c>
      <c r="E210" s="3" t="s">
        <v>27</v>
      </c>
      <c r="F210" s="3" t="s">
        <v>20</v>
      </c>
      <c r="G210" s="3" t="s">
        <v>21</v>
      </c>
      <c r="H210" s="3" t="s">
        <v>36</v>
      </c>
      <c r="I210" s="4" t="n">
        <v>471</v>
      </c>
      <c r="J210" s="4" t="n">
        <v>0</v>
      </c>
      <c r="K210" s="4" t="n">
        <v>40</v>
      </c>
      <c r="L210" s="4" t="n">
        <f aca="false">IF(O210="Delivered",I210-J210+K210,0)</f>
        <v>511</v>
      </c>
      <c r="M210" s="0" t="n">
        <v>35</v>
      </c>
      <c r="N210" s="0" t="n">
        <v>3.9</v>
      </c>
      <c r="O210" s="3" t="s">
        <v>17</v>
      </c>
    </row>
    <row r="211" customFormat="false" ht="15" hidden="false" customHeight="false" outlineLevel="0" collapsed="false">
      <c r="A211" s="0" t="s">
        <v>426</v>
      </c>
      <c r="B211" s="2" t="n">
        <v>45717</v>
      </c>
      <c r="C211" s="0" t="str">
        <f aca="false">TEXT(B211,"mmm")</f>
        <v>Mar</v>
      </c>
      <c r="D211" s="0" t="str">
        <f aca="false">TEXT(B211,"ddd")</f>
        <v>Sat</v>
      </c>
      <c r="E211" s="3" t="s">
        <v>40</v>
      </c>
      <c r="F211" s="3" t="s">
        <v>25</v>
      </c>
      <c r="G211" s="3" t="s">
        <v>21</v>
      </c>
      <c r="H211" s="3" t="s">
        <v>54</v>
      </c>
      <c r="I211" s="4" t="n">
        <v>581</v>
      </c>
      <c r="J211" s="4" t="n">
        <v>0</v>
      </c>
      <c r="K211" s="4" t="n">
        <v>0</v>
      </c>
      <c r="L211" s="4" t="n">
        <f aca="false">IF(O211="Delivered",I211-J211+K211,0)</f>
        <v>581</v>
      </c>
      <c r="M211" s="0" t="n">
        <v>37</v>
      </c>
      <c r="N211" s="0" t="n">
        <v>4.2</v>
      </c>
      <c r="O211" s="3" t="s">
        <v>17</v>
      </c>
    </row>
    <row r="212" customFormat="false" ht="15" hidden="false" customHeight="false" outlineLevel="0" collapsed="false">
      <c r="A212" s="0" t="s">
        <v>794</v>
      </c>
      <c r="B212" s="2" t="n">
        <v>45717</v>
      </c>
      <c r="C212" s="0" t="str">
        <f aca="false">TEXT(B212,"mmm")</f>
        <v>Mar</v>
      </c>
      <c r="D212" s="0" t="str">
        <f aca="false">TEXT(B212,"ddd")</f>
        <v>Sat</v>
      </c>
      <c r="E212" s="3" t="s">
        <v>27</v>
      </c>
      <c r="F212" s="3" t="s">
        <v>25</v>
      </c>
      <c r="G212" s="3" t="s">
        <v>21</v>
      </c>
      <c r="H212" s="3" t="s">
        <v>22</v>
      </c>
      <c r="I212" s="4" t="n">
        <v>346</v>
      </c>
      <c r="J212" s="4" t="n">
        <v>73</v>
      </c>
      <c r="K212" s="4" t="n">
        <v>20</v>
      </c>
      <c r="L212" s="4" t="n">
        <f aca="false">IF(O212="Delivered",I212-J212+K212,0)</f>
        <v>293</v>
      </c>
      <c r="M212" s="0" t="n">
        <v>34</v>
      </c>
      <c r="N212" s="0" t="n">
        <v>4.2</v>
      </c>
      <c r="O212" s="3" t="s">
        <v>17</v>
      </c>
    </row>
    <row r="213" customFormat="false" ht="15" hidden="false" customHeight="false" outlineLevel="0" collapsed="false">
      <c r="A213" s="0" t="s">
        <v>896</v>
      </c>
      <c r="B213" s="2" t="n">
        <v>45717</v>
      </c>
      <c r="C213" s="0" t="str">
        <f aca="false">TEXT(B213,"mmm")</f>
        <v>Mar</v>
      </c>
      <c r="D213" s="0" t="str">
        <f aca="false">TEXT(B213,"ddd")</f>
        <v>Sat</v>
      </c>
      <c r="E213" s="3" t="s">
        <v>40</v>
      </c>
      <c r="F213" s="3" t="s">
        <v>25</v>
      </c>
      <c r="G213" s="3" t="s">
        <v>21</v>
      </c>
      <c r="H213" s="3" t="s">
        <v>36</v>
      </c>
      <c r="I213" s="4" t="n">
        <v>374</v>
      </c>
      <c r="J213" s="4" t="n">
        <v>0</v>
      </c>
      <c r="K213" s="4" t="n">
        <v>45</v>
      </c>
      <c r="L213" s="4" t="n">
        <f aca="false">IF(O213="Delivered",I213-J213+K213,0)</f>
        <v>419</v>
      </c>
      <c r="M213" s="0" t="n">
        <v>30</v>
      </c>
      <c r="N213" s="0" t="n">
        <v>4.7</v>
      </c>
      <c r="O213" s="3" t="s">
        <v>17</v>
      </c>
    </row>
    <row r="214" customFormat="false" ht="15" hidden="false" customHeight="false" outlineLevel="0" collapsed="false">
      <c r="A214" s="0" t="s">
        <v>1060</v>
      </c>
      <c r="B214" s="2" t="n">
        <v>45717</v>
      </c>
      <c r="C214" s="0" t="str">
        <f aca="false">TEXT(B214,"mmm")</f>
        <v>Mar</v>
      </c>
      <c r="D214" s="0" t="str">
        <f aca="false">TEXT(B214,"ddd")</f>
        <v>Sat</v>
      </c>
      <c r="E214" s="3" t="s">
        <v>27</v>
      </c>
      <c r="F214" s="3" t="s">
        <v>20</v>
      </c>
      <c r="G214" s="3" t="s">
        <v>21</v>
      </c>
      <c r="H214" s="3" t="s">
        <v>34</v>
      </c>
      <c r="I214" s="4" t="n">
        <v>707</v>
      </c>
      <c r="J214" s="4" t="n">
        <v>176</v>
      </c>
      <c r="K214" s="4" t="n">
        <v>0</v>
      </c>
      <c r="L214" s="4" t="n">
        <f aca="false">IF(O214="Delivered",I214-J214+K214,0)</f>
        <v>531</v>
      </c>
      <c r="M214" s="0" t="n">
        <v>51</v>
      </c>
      <c r="N214" s="0" t="n">
        <v>2.7</v>
      </c>
      <c r="O214" s="3" t="s">
        <v>17</v>
      </c>
    </row>
    <row r="215" customFormat="false" ht="15" hidden="false" customHeight="false" outlineLevel="0" collapsed="false">
      <c r="A215" s="0" t="s">
        <v>1260</v>
      </c>
      <c r="B215" s="2" t="n">
        <v>45717</v>
      </c>
      <c r="C215" s="0" t="str">
        <f aca="false">TEXT(B215,"mmm")</f>
        <v>Mar</v>
      </c>
      <c r="D215" s="0" t="str">
        <f aca="false">TEXT(B215,"ddd")</f>
        <v>Sat</v>
      </c>
      <c r="E215" s="3" t="s">
        <v>40</v>
      </c>
      <c r="F215" s="3" t="s">
        <v>49</v>
      </c>
      <c r="G215" s="3" t="s">
        <v>21</v>
      </c>
      <c r="H215" s="3" t="s">
        <v>22</v>
      </c>
      <c r="I215" s="4" t="n">
        <v>471</v>
      </c>
      <c r="J215" s="4" t="n">
        <v>0</v>
      </c>
      <c r="K215" s="4" t="n">
        <v>45</v>
      </c>
      <c r="L215" s="4" t="n">
        <f aca="false">IF(O215="Delivered",I215-J215+K215,0)</f>
        <v>516</v>
      </c>
      <c r="M215" s="0" t="n">
        <v>34</v>
      </c>
      <c r="N215" s="0" t="n">
        <v>4.1</v>
      </c>
      <c r="O215" s="3" t="s">
        <v>17</v>
      </c>
    </row>
    <row r="216" customFormat="false" ht="15" hidden="false" customHeight="false" outlineLevel="0" collapsed="false">
      <c r="A216" s="0" t="s">
        <v>1273</v>
      </c>
      <c r="B216" s="2" t="n">
        <v>45717</v>
      </c>
      <c r="C216" s="0" t="str">
        <f aca="false">TEXT(B216,"mmm")</f>
        <v>Mar</v>
      </c>
      <c r="D216" s="0" t="str">
        <f aca="false">TEXT(B216,"ddd")</f>
        <v>Sat</v>
      </c>
      <c r="E216" s="3" t="s">
        <v>40</v>
      </c>
      <c r="F216" s="3" t="s">
        <v>20</v>
      </c>
      <c r="G216" s="3" t="s">
        <v>21</v>
      </c>
      <c r="H216" s="3" t="s">
        <v>22</v>
      </c>
      <c r="I216" s="4" t="n">
        <v>836</v>
      </c>
      <c r="J216" s="4" t="n">
        <v>200</v>
      </c>
      <c r="K216" s="4" t="n">
        <v>0</v>
      </c>
      <c r="L216" s="4" t="n">
        <f aca="false">IF(O216="Delivered",I216-J216+K216,0)</f>
        <v>636</v>
      </c>
      <c r="M216" s="0" t="n">
        <v>34</v>
      </c>
      <c r="N216" s="0" t="n">
        <v>5</v>
      </c>
      <c r="O216" s="3" t="s">
        <v>17</v>
      </c>
    </row>
    <row r="217" customFormat="false" ht="15" hidden="false" customHeight="false" outlineLevel="0" collapsed="false">
      <c r="A217" s="0" t="s">
        <v>95</v>
      </c>
      <c r="B217" s="2" t="n">
        <v>45718</v>
      </c>
      <c r="C217" s="0" t="str">
        <f aca="false">TEXT(B217,"mmm")</f>
        <v>Mar</v>
      </c>
      <c r="D217" s="0" t="str">
        <f aca="false">TEXT(B217,"ddd")</f>
        <v>Sun</v>
      </c>
      <c r="E217" s="3" t="s">
        <v>24</v>
      </c>
      <c r="F217" s="3" t="s">
        <v>25</v>
      </c>
      <c r="G217" s="3" t="s">
        <v>15</v>
      </c>
      <c r="H217" s="3" t="s">
        <v>16</v>
      </c>
      <c r="I217" s="4" t="n">
        <v>268</v>
      </c>
      <c r="J217" s="4" t="n">
        <v>53</v>
      </c>
      <c r="K217" s="4" t="n">
        <v>30</v>
      </c>
      <c r="L217" s="4" t="n">
        <f aca="false">IF(O217="Delivered",I217-J217+K217,0)</f>
        <v>245</v>
      </c>
      <c r="M217" s="0" t="n">
        <v>35</v>
      </c>
      <c r="N217" s="0" t="n">
        <v>4.5</v>
      </c>
      <c r="O217" s="3" t="s">
        <v>17</v>
      </c>
    </row>
    <row r="218" customFormat="false" ht="15" hidden="false" customHeight="false" outlineLevel="0" collapsed="false">
      <c r="A218" s="0" t="s">
        <v>106</v>
      </c>
      <c r="B218" s="2" t="n">
        <v>45718</v>
      </c>
      <c r="C218" s="0" t="str">
        <f aca="false">TEXT(B218,"mmm")</f>
        <v>Mar</v>
      </c>
      <c r="D218" s="0" t="str">
        <f aca="false">TEXT(B218,"ddd")</f>
        <v>Sun</v>
      </c>
      <c r="E218" s="3" t="s">
        <v>13</v>
      </c>
      <c r="F218" s="3" t="s">
        <v>25</v>
      </c>
      <c r="G218" s="3" t="s">
        <v>15</v>
      </c>
      <c r="H218" s="3" t="s">
        <v>36</v>
      </c>
      <c r="I218" s="4" t="n">
        <v>630</v>
      </c>
      <c r="J218" s="4" t="n">
        <v>64</v>
      </c>
      <c r="K218" s="4" t="n">
        <v>0</v>
      </c>
      <c r="L218" s="4" t="n">
        <f aca="false">IF(O218="Delivered",I218-J218+K218,0)</f>
        <v>566</v>
      </c>
      <c r="M218" s="0" t="n">
        <v>44</v>
      </c>
      <c r="N218" s="0" t="n">
        <v>4</v>
      </c>
      <c r="O218" s="3" t="s">
        <v>17</v>
      </c>
    </row>
    <row r="219" customFormat="false" ht="15" hidden="false" customHeight="false" outlineLevel="0" collapsed="false">
      <c r="A219" s="0" t="s">
        <v>214</v>
      </c>
      <c r="B219" s="2" t="n">
        <v>45718</v>
      </c>
      <c r="C219" s="0" t="str">
        <f aca="false">TEXT(B219,"mmm")</f>
        <v>Mar</v>
      </c>
      <c r="D219" s="0" t="str">
        <f aca="false">TEXT(B219,"ddd")</f>
        <v>Sun</v>
      </c>
      <c r="E219" s="3" t="s">
        <v>24</v>
      </c>
      <c r="F219" s="3" t="s">
        <v>25</v>
      </c>
      <c r="G219" s="3" t="s">
        <v>15</v>
      </c>
      <c r="H219" s="3" t="s">
        <v>22</v>
      </c>
      <c r="I219" s="4" t="n">
        <v>437</v>
      </c>
      <c r="J219" s="4" t="n">
        <v>0</v>
      </c>
      <c r="K219" s="4" t="n">
        <v>30</v>
      </c>
      <c r="L219" s="4" t="n">
        <f aca="false">IF(O219="Delivered",I219-J219+K219,0)</f>
        <v>467</v>
      </c>
      <c r="M219" s="0" t="n">
        <v>43</v>
      </c>
      <c r="N219" s="0" t="n">
        <v>3.9</v>
      </c>
      <c r="O219" s="3" t="s">
        <v>17</v>
      </c>
    </row>
    <row r="220" customFormat="false" ht="15" hidden="false" customHeight="false" outlineLevel="0" collapsed="false">
      <c r="A220" s="0" t="s">
        <v>302</v>
      </c>
      <c r="B220" s="2" t="n">
        <v>45718</v>
      </c>
      <c r="C220" s="0" t="str">
        <f aca="false">TEXT(B220,"mmm")</f>
        <v>Mar</v>
      </c>
      <c r="D220" s="0" t="str">
        <f aca="false">TEXT(B220,"ddd")</f>
        <v>Sun</v>
      </c>
      <c r="E220" s="3" t="s">
        <v>51</v>
      </c>
      <c r="F220" s="3" t="s">
        <v>56</v>
      </c>
      <c r="G220" s="3" t="s">
        <v>15</v>
      </c>
      <c r="H220" s="3" t="s">
        <v>54</v>
      </c>
      <c r="I220" s="4" t="n">
        <v>272</v>
      </c>
      <c r="J220" s="4" t="n">
        <v>53</v>
      </c>
      <c r="K220" s="4" t="n">
        <v>40</v>
      </c>
      <c r="L220" s="4" t="n">
        <f aca="false">IF(O220="Delivered",I220-J220+K220,0)</f>
        <v>259</v>
      </c>
      <c r="M220" s="0" t="n">
        <v>42</v>
      </c>
      <c r="N220" s="0" t="n">
        <v>4.5</v>
      </c>
      <c r="O220" s="3" t="s">
        <v>17</v>
      </c>
    </row>
    <row r="221" customFormat="false" ht="15" hidden="false" customHeight="false" outlineLevel="0" collapsed="false">
      <c r="A221" s="0" t="s">
        <v>388</v>
      </c>
      <c r="B221" s="2" t="n">
        <v>45718</v>
      </c>
      <c r="C221" s="0" t="str">
        <f aca="false">TEXT(B221,"mmm")</f>
        <v>Mar</v>
      </c>
      <c r="D221" s="0" t="str">
        <f aca="false">TEXT(B221,"ddd")</f>
        <v>Sun</v>
      </c>
      <c r="E221" s="3" t="s">
        <v>40</v>
      </c>
      <c r="F221" s="3" t="s">
        <v>31</v>
      </c>
      <c r="G221" s="3" t="s">
        <v>21</v>
      </c>
      <c r="H221" s="3" t="s">
        <v>36</v>
      </c>
      <c r="I221" s="4" t="n">
        <v>425</v>
      </c>
      <c r="J221" s="4" t="n">
        <v>0</v>
      </c>
      <c r="K221" s="4" t="n">
        <v>20</v>
      </c>
      <c r="L221" s="4" t="n">
        <f aca="false">IF(O221="Delivered",I221-J221+K221,0)</f>
        <v>445</v>
      </c>
      <c r="M221" s="0" t="n">
        <v>37</v>
      </c>
      <c r="N221" s="0" t="n">
        <v>3.7</v>
      </c>
      <c r="O221" s="3" t="s">
        <v>17</v>
      </c>
    </row>
    <row r="222" customFormat="false" ht="15" hidden="false" customHeight="false" outlineLevel="0" collapsed="false">
      <c r="A222" s="0" t="s">
        <v>1206</v>
      </c>
      <c r="B222" s="2" t="n">
        <v>45718</v>
      </c>
      <c r="C222" s="0" t="str">
        <f aca="false">TEXT(B222,"mmm")</f>
        <v>Mar</v>
      </c>
      <c r="D222" s="0" t="str">
        <f aca="false">TEXT(B222,"ddd")</f>
        <v>Sun</v>
      </c>
      <c r="E222" s="3" t="s">
        <v>51</v>
      </c>
      <c r="F222" s="3" t="s">
        <v>56</v>
      </c>
      <c r="G222" s="3" t="s">
        <v>15</v>
      </c>
      <c r="H222" s="3" t="s">
        <v>16</v>
      </c>
      <c r="I222" s="4" t="n">
        <v>315</v>
      </c>
      <c r="J222" s="4" t="n">
        <v>53</v>
      </c>
      <c r="K222" s="4" t="n">
        <v>40</v>
      </c>
      <c r="L222" s="4" t="n">
        <f aca="false">IF(O222="Delivered",I222-J222+K222,0)</f>
        <v>302</v>
      </c>
      <c r="M222" s="0" t="n">
        <v>32</v>
      </c>
      <c r="N222" s="0" t="n">
        <v>3.9</v>
      </c>
      <c r="O222" s="3" t="s">
        <v>17</v>
      </c>
    </row>
    <row r="223" customFormat="false" ht="15" hidden="false" customHeight="false" outlineLevel="0" collapsed="false">
      <c r="A223" s="0" t="s">
        <v>1542</v>
      </c>
      <c r="B223" s="2" t="n">
        <v>45718</v>
      </c>
      <c r="C223" s="0" t="str">
        <f aca="false">TEXT(B223,"mmm")</f>
        <v>Mar</v>
      </c>
      <c r="D223" s="0" t="str">
        <f aca="false">TEXT(B223,"ddd")</f>
        <v>Sun</v>
      </c>
      <c r="E223" s="3" t="s">
        <v>27</v>
      </c>
      <c r="F223" s="3" t="s">
        <v>20</v>
      </c>
      <c r="G223" s="3" t="s">
        <v>21</v>
      </c>
      <c r="H223" s="3" t="s">
        <v>36</v>
      </c>
      <c r="I223" s="4" t="n">
        <v>529</v>
      </c>
      <c r="J223" s="4" t="n">
        <v>0</v>
      </c>
      <c r="K223" s="4" t="n">
        <v>0</v>
      </c>
      <c r="L223" s="4" t="n">
        <f aca="false">IF(O223="Delivered",I223-J223+K223,0)</f>
        <v>529</v>
      </c>
      <c r="M223" s="0" t="n">
        <v>43</v>
      </c>
      <c r="N223" s="0" t="n">
        <v>3.5</v>
      </c>
      <c r="O223" s="3" t="s">
        <v>17</v>
      </c>
    </row>
    <row r="224" customFormat="false" ht="15" hidden="false" customHeight="false" outlineLevel="0" collapsed="false">
      <c r="A224" s="0" t="s">
        <v>510</v>
      </c>
      <c r="B224" s="2" t="n">
        <v>45719</v>
      </c>
      <c r="C224" s="0" t="str">
        <f aca="false">TEXT(B224,"mmm")</f>
        <v>Mar</v>
      </c>
      <c r="D224" s="0" t="str">
        <f aca="false">TEXT(B224,"ddd")</f>
        <v>Mon</v>
      </c>
      <c r="E224" s="3" t="s">
        <v>13</v>
      </c>
      <c r="F224" s="3" t="s">
        <v>20</v>
      </c>
      <c r="G224" s="3" t="s">
        <v>21</v>
      </c>
      <c r="H224" s="3" t="s">
        <v>16</v>
      </c>
      <c r="I224" s="4" t="n">
        <v>732</v>
      </c>
      <c r="J224" s="4" t="n">
        <v>0</v>
      </c>
      <c r="K224" s="4" t="n">
        <v>0</v>
      </c>
      <c r="L224" s="4" t="n">
        <f aca="false">IF(O224="Delivered",I224-J224+K224,0)</f>
        <v>732</v>
      </c>
      <c r="M224" s="0" t="n">
        <v>30</v>
      </c>
      <c r="N224" s="0" t="n">
        <v>4.5</v>
      </c>
      <c r="O224" s="3" t="s">
        <v>17</v>
      </c>
    </row>
    <row r="225" customFormat="false" ht="15" hidden="false" customHeight="false" outlineLevel="0" collapsed="false">
      <c r="A225" s="0" t="s">
        <v>654</v>
      </c>
      <c r="B225" s="2" t="n">
        <v>45719</v>
      </c>
      <c r="C225" s="0" t="str">
        <f aca="false">TEXT(B225,"mmm")</f>
        <v>Mar</v>
      </c>
      <c r="D225" s="0" t="str">
        <f aca="false">TEXT(B225,"ddd")</f>
        <v>Mon</v>
      </c>
      <c r="E225" s="3" t="s">
        <v>19</v>
      </c>
      <c r="F225" s="3" t="s">
        <v>25</v>
      </c>
      <c r="G225" s="3" t="s">
        <v>15</v>
      </c>
      <c r="H225" s="3" t="s">
        <v>22</v>
      </c>
      <c r="I225" s="4" t="n">
        <v>528</v>
      </c>
      <c r="J225" s="4" t="n">
        <v>106</v>
      </c>
      <c r="K225" s="4" t="n">
        <v>0</v>
      </c>
      <c r="L225" s="4" t="n">
        <f aca="false">IF(O225="Delivered",I225-J225+K225,0)</f>
        <v>422</v>
      </c>
      <c r="M225" s="0" t="n">
        <v>28</v>
      </c>
      <c r="N225" s="0" t="n">
        <v>3.7</v>
      </c>
      <c r="O225" s="3" t="s">
        <v>17</v>
      </c>
    </row>
    <row r="226" customFormat="false" ht="15" hidden="false" customHeight="false" outlineLevel="0" collapsed="false">
      <c r="A226" s="0" t="s">
        <v>184</v>
      </c>
      <c r="B226" s="2" t="n">
        <v>45720</v>
      </c>
      <c r="C226" s="0" t="str">
        <f aca="false">TEXT(B226,"mmm")</f>
        <v>Mar</v>
      </c>
      <c r="D226" s="0" t="str">
        <f aca="false">TEXT(B226,"ddd")</f>
        <v>Tue</v>
      </c>
      <c r="E226" s="3" t="s">
        <v>40</v>
      </c>
      <c r="F226" s="3" t="s">
        <v>31</v>
      </c>
      <c r="G226" s="3" t="s">
        <v>15</v>
      </c>
      <c r="H226" s="3" t="s">
        <v>22</v>
      </c>
      <c r="I226" s="4" t="n">
        <v>427</v>
      </c>
      <c r="J226" s="4" t="n">
        <v>0</v>
      </c>
      <c r="K226" s="4" t="n">
        <v>30</v>
      </c>
      <c r="L226" s="4" t="n">
        <f aca="false">IF(O226="Delivered",I226-J226+K226,0)</f>
        <v>457</v>
      </c>
      <c r="M226" s="0" t="n">
        <v>36</v>
      </c>
      <c r="N226" s="0" t="n">
        <v>4.3</v>
      </c>
      <c r="O226" s="3" t="s">
        <v>17</v>
      </c>
    </row>
    <row r="227" customFormat="false" ht="15" hidden="false" customHeight="false" outlineLevel="0" collapsed="false">
      <c r="A227" s="0" t="s">
        <v>271</v>
      </c>
      <c r="B227" s="2" t="n">
        <v>45720</v>
      </c>
      <c r="C227" s="0" t="str">
        <f aca="false">TEXT(B227,"mmm")</f>
        <v>Mar</v>
      </c>
      <c r="D227" s="0" t="str">
        <f aca="false">TEXT(B227,"ddd")</f>
        <v>Tue</v>
      </c>
      <c r="E227" s="3" t="s">
        <v>13</v>
      </c>
      <c r="F227" s="3" t="s">
        <v>20</v>
      </c>
      <c r="G227" s="3" t="s">
        <v>21</v>
      </c>
      <c r="H227" s="3" t="s">
        <v>22</v>
      </c>
      <c r="I227" s="4" t="n">
        <v>632</v>
      </c>
      <c r="J227" s="4" t="n">
        <v>0</v>
      </c>
      <c r="K227" s="4" t="n">
        <v>0</v>
      </c>
      <c r="L227" s="4" t="n">
        <f aca="false">IF(O227="Delivered",I227-J227+K227,0)</f>
        <v>632</v>
      </c>
      <c r="M227" s="0" t="n">
        <v>28</v>
      </c>
      <c r="N227" s="0" t="n">
        <v>4.1</v>
      </c>
      <c r="O227" s="3" t="s">
        <v>17</v>
      </c>
    </row>
    <row r="228" customFormat="false" ht="15" hidden="false" customHeight="false" outlineLevel="0" collapsed="false">
      <c r="A228" s="0" t="s">
        <v>337</v>
      </c>
      <c r="B228" s="2" t="n">
        <v>45720</v>
      </c>
      <c r="C228" s="0" t="str">
        <f aca="false">TEXT(B228,"mmm")</f>
        <v>Mar</v>
      </c>
      <c r="D228" s="0" t="str">
        <f aca="false">TEXT(B228,"ddd")</f>
        <v>Tue</v>
      </c>
      <c r="E228" s="3" t="s">
        <v>40</v>
      </c>
      <c r="F228" s="3" t="s">
        <v>56</v>
      </c>
      <c r="G228" s="3" t="s">
        <v>21</v>
      </c>
      <c r="H228" s="3" t="s">
        <v>36</v>
      </c>
      <c r="I228" s="4" t="n">
        <v>358</v>
      </c>
      <c r="J228" s="4" t="n">
        <v>42</v>
      </c>
      <c r="K228" s="4" t="n">
        <v>40</v>
      </c>
      <c r="L228" s="4" t="n">
        <f aca="false">IF(O228="Delivered",I228-J228+K228,0)</f>
        <v>356</v>
      </c>
      <c r="M228" s="0" t="n">
        <v>46</v>
      </c>
      <c r="O228" s="3" t="s">
        <v>17</v>
      </c>
    </row>
    <row r="229" customFormat="false" ht="15" hidden="false" customHeight="false" outlineLevel="0" collapsed="false">
      <c r="A229" s="0" t="s">
        <v>560</v>
      </c>
      <c r="B229" s="2" t="n">
        <v>45720</v>
      </c>
      <c r="C229" s="0" t="str">
        <f aca="false">TEXT(B229,"mmm")</f>
        <v>Mar</v>
      </c>
      <c r="D229" s="0" t="str">
        <f aca="false">TEXT(B229,"ddd")</f>
        <v>Tue</v>
      </c>
      <c r="E229" s="3" t="s">
        <v>27</v>
      </c>
      <c r="F229" s="3" t="s">
        <v>28</v>
      </c>
      <c r="G229" s="3" t="s">
        <v>15</v>
      </c>
      <c r="H229" s="3" t="s">
        <v>36</v>
      </c>
      <c r="I229" s="4" t="n">
        <v>403</v>
      </c>
      <c r="J229" s="4" t="n">
        <v>44</v>
      </c>
      <c r="K229" s="4" t="n">
        <v>20</v>
      </c>
      <c r="L229" s="4" t="n">
        <f aca="false">IF(O229="Delivered",I229-J229+K229,0)</f>
        <v>379</v>
      </c>
      <c r="M229" s="0" t="n">
        <v>43</v>
      </c>
      <c r="N229" s="0" t="n">
        <v>4.6</v>
      </c>
      <c r="O229" s="3" t="s">
        <v>17</v>
      </c>
    </row>
    <row r="230" customFormat="false" ht="15" hidden="false" customHeight="false" outlineLevel="0" collapsed="false">
      <c r="A230" s="0" t="s">
        <v>940</v>
      </c>
      <c r="B230" s="2" t="n">
        <v>45720</v>
      </c>
      <c r="C230" s="0" t="str">
        <f aca="false">TEXT(B230,"mmm")</f>
        <v>Mar</v>
      </c>
      <c r="D230" s="0" t="str">
        <f aca="false">TEXT(B230,"ddd")</f>
        <v>Tue</v>
      </c>
      <c r="E230" s="3" t="s">
        <v>24</v>
      </c>
      <c r="F230" s="3" t="s">
        <v>31</v>
      </c>
      <c r="G230" s="3" t="s">
        <v>21</v>
      </c>
      <c r="H230" s="3" t="s">
        <v>36</v>
      </c>
      <c r="I230" s="4" t="n">
        <v>305</v>
      </c>
      <c r="J230" s="4" t="n">
        <v>0</v>
      </c>
      <c r="K230" s="4" t="n">
        <v>30</v>
      </c>
      <c r="L230" s="4" t="n">
        <f aca="false">IF(O230="Delivered",I230-J230+K230,0)</f>
        <v>335</v>
      </c>
      <c r="M230" s="0" t="n">
        <v>27</v>
      </c>
      <c r="N230" s="0" t="n">
        <v>5</v>
      </c>
      <c r="O230" s="3" t="s">
        <v>17</v>
      </c>
    </row>
    <row r="231" customFormat="false" ht="15" hidden="false" customHeight="false" outlineLevel="0" collapsed="false">
      <c r="A231" s="0" t="s">
        <v>1310</v>
      </c>
      <c r="B231" s="2" t="n">
        <v>45720</v>
      </c>
      <c r="C231" s="0" t="str">
        <f aca="false">TEXT(B231,"mmm")</f>
        <v>Mar</v>
      </c>
      <c r="D231" s="0" t="str">
        <f aca="false">TEXT(B231,"ddd")</f>
        <v>Tue</v>
      </c>
      <c r="E231" s="3" t="s">
        <v>19</v>
      </c>
      <c r="F231" s="3" t="s">
        <v>25</v>
      </c>
      <c r="G231" s="3" t="s">
        <v>21</v>
      </c>
      <c r="H231" s="3" t="s">
        <v>16</v>
      </c>
      <c r="I231" s="4" t="n">
        <v>621</v>
      </c>
      <c r="J231" s="4" t="n">
        <v>125</v>
      </c>
      <c r="K231" s="4" t="n">
        <v>0</v>
      </c>
      <c r="L231" s="4" t="n">
        <f aca="false">IF(O231="Delivered",I231-J231+K231,0)</f>
        <v>0</v>
      </c>
      <c r="O231" s="3" t="s">
        <v>68</v>
      </c>
    </row>
    <row r="232" customFormat="false" ht="15" hidden="false" customHeight="false" outlineLevel="0" collapsed="false">
      <c r="A232" s="0" t="s">
        <v>334</v>
      </c>
      <c r="B232" s="2" t="n">
        <v>45721</v>
      </c>
      <c r="C232" s="0" t="str">
        <f aca="false">TEXT(B232,"mmm")</f>
        <v>Mar</v>
      </c>
      <c r="D232" s="0" t="str">
        <f aca="false">TEXT(B232,"ddd")</f>
        <v>Wed</v>
      </c>
      <c r="E232" s="3" t="s">
        <v>24</v>
      </c>
      <c r="F232" s="3" t="s">
        <v>31</v>
      </c>
      <c r="G232" s="3" t="s">
        <v>21</v>
      </c>
      <c r="H232" s="3" t="s">
        <v>54</v>
      </c>
      <c r="I232" s="4" t="n">
        <v>503</v>
      </c>
      <c r="J232" s="4" t="n">
        <v>0</v>
      </c>
      <c r="K232" s="4" t="n">
        <v>0</v>
      </c>
      <c r="L232" s="4" t="n">
        <f aca="false">IF(O232="Delivered",I232-J232+K232,0)</f>
        <v>503</v>
      </c>
      <c r="M232" s="0" t="n">
        <v>46</v>
      </c>
      <c r="N232" s="0" t="n">
        <v>3.9</v>
      </c>
      <c r="O232" s="3" t="s">
        <v>17</v>
      </c>
    </row>
    <row r="233" customFormat="false" ht="15" hidden="false" customHeight="false" outlineLevel="0" collapsed="false">
      <c r="A233" s="0" t="s">
        <v>1324</v>
      </c>
      <c r="B233" s="2" t="n">
        <v>45721</v>
      </c>
      <c r="C233" s="0" t="str">
        <f aca="false">TEXT(B233,"mmm")</f>
        <v>Mar</v>
      </c>
      <c r="D233" s="0" t="str">
        <f aca="false">TEXT(B233,"ddd")</f>
        <v>Wed</v>
      </c>
      <c r="E233" s="3" t="s">
        <v>27</v>
      </c>
      <c r="F233" s="3" t="s">
        <v>20</v>
      </c>
      <c r="G233" s="3" t="s">
        <v>15</v>
      </c>
      <c r="H233" s="3" t="s">
        <v>54</v>
      </c>
      <c r="I233" s="4" t="n">
        <v>668</v>
      </c>
      <c r="J233" s="4" t="n">
        <v>0</v>
      </c>
      <c r="K233" s="4" t="n">
        <v>0</v>
      </c>
      <c r="L233" s="4" t="n">
        <f aca="false">IF(O233="Delivered",I233-J233+K233,0)</f>
        <v>668</v>
      </c>
      <c r="M233" s="0" t="n">
        <v>39</v>
      </c>
      <c r="N233" s="0" t="n">
        <v>4.5</v>
      </c>
      <c r="O233" s="3" t="s">
        <v>17</v>
      </c>
    </row>
    <row r="234" customFormat="false" ht="15" hidden="false" customHeight="false" outlineLevel="0" collapsed="false">
      <c r="A234" s="0" t="s">
        <v>465</v>
      </c>
      <c r="B234" s="2" t="n">
        <v>45722</v>
      </c>
      <c r="C234" s="0" t="str">
        <f aca="false">TEXT(B234,"mmm")</f>
        <v>Mar</v>
      </c>
      <c r="D234" s="0" t="str">
        <f aca="false">TEXT(B234,"ddd")</f>
        <v>Thu</v>
      </c>
      <c r="E234" s="3" t="s">
        <v>30</v>
      </c>
      <c r="F234" s="3" t="s">
        <v>56</v>
      </c>
      <c r="G234" s="3" t="s">
        <v>21</v>
      </c>
      <c r="H234" s="3" t="s">
        <v>22</v>
      </c>
      <c r="I234" s="4" t="n">
        <v>420</v>
      </c>
      <c r="J234" s="4" t="n">
        <v>0</v>
      </c>
      <c r="K234" s="4" t="n">
        <v>30</v>
      </c>
      <c r="L234" s="4" t="n">
        <f aca="false">IF(O234="Delivered",I234-J234+K234,0)</f>
        <v>450</v>
      </c>
      <c r="M234" s="0" t="n">
        <v>28</v>
      </c>
      <c r="N234" s="0" t="n">
        <v>5</v>
      </c>
      <c r="O234" s="3" t="s">
        <v>17</v>
      </c>
    </row>
    <row r="235" customFormat="false" ht="15" hidden="false" customHeight="false" outlineLevel="0" collapsed="false">
      <c r="A235" s="0" t="s">
        <v>570</v>
      </c>
      <c r="B235" s="2" t="n">
        <v>45722</v>
      </c>
      <c r="C235" s="0" t="str">
        <f aca="false">TEXT(B235,"mmm")</f>
        <v>Mar</v>
      </c>
      <c r="D235" s="0" t="str">
        <f aca="false">TEXT(B235,"ddd")</f>
        <v>Thu</v>
      </c>
      <c r="E235" s="3" t="s">
        <v>27</v>
      </c>
      <c r="F235" s="3" t="s">
        <v>25</v>
      </c>
      <c r="G235" s="3" t="s">
        <v>15</v>
      </c>
      <c r="H235" s="3" t="s">
        <v>54</v>
      </c>
      <c r="I235" s="4" t="n">
        <v>420</v>
      </c>
      <c r="J235" s="4" t="n">
        <v>78</v>
      </c>
      <c r="K235" s="4" t="n">
        <v>45</v>
      </c>
      <c r="L235" s="4" t="n">
        <f aca="false">IF(O235="Delivered",I235-J235+K235,0)</f>
        <v>387</v>
      </c>
      <c r="M235" s="0" t="n">
        <v>31</v>
      </c>
      <c r="N235" s="0" t="n">
        <v>3.4</v>
      </c>
      <c r="O235" s="3" t="s">
        <v>17</v>
      </c>
    </row>
    <row r="236" customFormat="false" ht="15" hidden="false" customHeight="false" outlineLevel="0" collapsed="false">
      <c r="A236" s="0" t="s">
        <v>987</v>
      </c>
      <c r="B236" s="2" t="n">
        <v>45722</v>
      </c>
      <c r="C236" s="0" t="str">
        <f aca="false">TEXT(B236,"mmm")</f>
        <v>Mar</v>
      </c>
      <c r="D236" s="0" t="str">
        <f aca="false">TEXT(B236,"ddd")</f>
        <v>Thu</v>
      </c>
      <c r="E236" s="3" t="s">
        <v>40</v>
      </c>
      <c r="F236" s="3" t="s">
        <v>25</v>
      </c>
      <c r="G236" s="3" t="s">
        <v>21</v>
      </c>
      <c r="H236" s="3" t="s">
        <v>1690</v>
      </c>
      <c r="I236" s="4" t="n">
        <v>500</v>
      </c>
      <c r="J236" s="4" t="n">
        <v>115</v>
      </c>
      <c r="K236" s="4" t="n">
        <v>0</v>
      </c>
      <c r="L236" s="4" t="n">
        <f aca="false">IF(O236="Delivered",I236-J236+K236,0)</f>
        <v>385</v>
      </c>
      <c r="M236" s="0" t="n">
        <v>30</v>
      </c>
      <c r="N236" s="0" t="n">
        <v>4.9</v>
      </c>
      <c r="O236" s="3" t="s">
        <v>17</v>
      </c>
    </row>
    <row r="237" customFormat="false" ht="15" hidden="false" customHeight="false" outlineLevel="0" collapsed="false">
      <c r="A237" s="0" t="s">
        <v>142</v>
      </c>
      <c r="B237" s="2" t="n">
        <v>45723</v>
      </c>
      <c r="C237" s="0" t="str">
        <f aca="false">TEXT(B237,"mmm")</f>
        <v>Mar</v>
      </c>
      <c r="D237" s="0" t="str">
        <f aca="false">TEXT(B237,"ddd")</f>
        <v>Fri</v>
      </c>
      <c r="E237" s="3" t="s">
        <v>40</v>
      </c>
      <c r="F237" s="3" t="s">
        <v>14</v>
      </c>
      <c r="G237" s="3" t="s">
        <v>15</v>
      </c>
      <c r="H237" s="3" t="s">
        <v>22</v>
      </c>
      <c r="I237" s="4" t="n">
        <v>255</v>
      </c>
      <c r="J237" s="4" t="n">
        <v>49</v>
      </c>
      <c r="K237" s="4" t="n">
        <v>30</v>
      </c>
      <c r="L237" s="4" t="n">
        <f aca="false">IF(O237="Delivered",I237-J237+K237,0)</f>
        <v>0</v>
      </c>
      <c r="O237" s="3" t="s">
        <v>68</v>
      </c>
    </row>
    <row r="238" customFormat="false" ht="15" hidden="false" customHeight="false" outlineLevel="0" collapsed="false">
      <c r="A238" s="0" t="s">
        <v>662</v>
      </c>
      <c r="B238" s="2" t="n">
        <v>45723</v>
      </c>
      <c r="C238" s="0" t="str">
        <f aca="false">TEXT(B238,"mmm")</f>
        <v>Mar</v>
      </c>
      <c r="D238" s="0" t="str">
        <f aca="false">TEXT(B238,"ddd")</f>
        <v>Fri</v>
      </c>
      <c r="E238" s="3" t="s">
        <v>40</v>
      </c>
      <c r="F238" s="3" t="s">
        <v>20</v>
      </c>
      <c r="G238" s="3" t="s">
        <v>21</v>
      </c>
      <c r="H238" s="3" t="s">
        <v>22</v>
      </c>
      <c r="I238" s="4" t="n">
        <v>666</v>
      </c>
      <c r="J238" s="4" t="n">
        <v>0</v>
      </c>
      <c r="K238" s="4" t="n">
        <v>0</v>
      </c>
      <c r="L238" s="4" t="n">
        <f aca="false">IF(O238="Delivered",I238-J238+K238,0)</f>
        <v>666</v>
      </c>
      <c r="M238" s="0" t="n">
        <v>27</v>
      </c>
      <c r="N238" s="0" t="n">
        <v>4.5</v>
      </c>
      <c r="O238" s="3" t="s">
        <v>17</v>
      </c>
    </row>
    <row r="239" customFormat="false" ht="15" hidden="false" customHeight="false" outlineLevel="0" collapsed="false">
      <c r="A239" s="0" t="s">
        <v>1154</v>
      </c>
      <c r="B239" s="2" t="n">
        <v>45723</v>
      </c>
      <c r="C239" s="0" t="str">
        <f aca="false">TEXT(B239,"mmm")</f>
        <v>Mar</v>
      </c>
      <c r="D239" s="0" t="str">
        <f aca="false">TEXT(B239,"ddd")</f>
        <v>Fri</v>
      </c>
      <c r="E239" s="3" t="s">
        <v>30</v>
      </c>
      <c r="F239" s="3" t="s">
        <v>25</v>
      </c>
      <c r="G239" s="3" t="s">
        <v>21</v>
      </c>
      <c r="H239" s="3" t="s">
        <v>16</v>
      </c>
      <c r="I239" s="4" t="n">
        <v>467</v>
      </c>
      <c r="J239" s="4" t="n">
        <v>48</v>
      </c>
      <c r="K239" s="4" t="n">
        <v>20</v>
      </c>
      <c r="L239" s="4" t="n">
        <f aca="false">IF(O239="Delivered",I239-J239+K239,0)</f>
        <v>439</v>
      </c>
      <c r="M239" s="0" t="n">
        <v>33</v>
      </c>
      <c r="N239" s="0" t="n">
        <v>5</v>
      </c>
      <c r="O239" s="3" t="s">
        <v>17</v>
      </c>
    </row>
    <row r="240" customFormat="false" ht="15" hidden="false" customHeight="false" outlineLevel="0" collapsed="false">
      <c r="A240" s="0" t="s">
        <v>69</v>
      </c>
      <c r="B240" s="2" t="n">
        <v>45724</v>
      </c>
      <c r="C240" s="0" t="str">
        <f aca="false">TEXT(B240,"mmm")</f>
        <v>Mar</v>
      </c>
      <c r="D240" s="0" t="str">
        <f aca="false">TEXT(B240,"ddd")</f>
        <v>Sat</v>
      </c>
      <c r="E240" s="3" t="s">
        <v>40</v>
      </c>
      <c r="F240" s="3" t="s">
        <v>20</v>
      </c>
      <c r="G240" s="3" t="s">
        <v>15</v>
      </c>
      <c r="H240" s="3" t="s">
        <v>54</v>
      </c>
      <c r="I240" s="4" t="n">
        <v>617</v>
      </c>
      <c r="J240" s="4" t="n">
        <v>0</v>
      </c>
      <c r="K240" s="4" t="n">
        <v>0</v>
      </c>
      <c r="L240" s="4" t="n">
        <f aca="false">IF(O240="Delivered",I240-J240+K240,0)</f>
        <v>617</v>
      </c>
      <c r="M240" s="0" t="n">
        <v>27</v>
      </c>
      <c r="N240" s="0" t="n">
        <v>4.6</v>
      </c>
      <c r="O240" s="3" t="s">
        <v>17</v>
      </c>
    </row>
    <row r="241" customFormat="false" ht="15" hidden="false" customHeight="false" outlineLevel="0" collapsed="false">
      <c r="A241" s="0" t="s">
        <v>261</v>
      </c>
      <c r="B241" s="2" t="n">
        <v>45724</v>
      </c>
      <c r="C241" s="0" t="str">
        <f aca="false">TEXT(B241,"mmm")</f>
        <v>Mar</v>
      </c>
      <c r="D241" s="0" t="str">
        <f aca="false">TEXT(B241,"ddd")</f>
        <v>Sat</v>
      </c>
      <c r="E241" s="3" t="s">
        <v>13</v>
      </c>
      <c r="F241" s="3" t="s">
        <v>20</v>
      </c>
      <c r="G241" s="3" t="s">
        <v>21</v>
      </c>
      <c r="H241" s="3" t="s">
        <v>22</v>
      </c>
      <c r="I241" s="4" t="n">
        <v>679</v>
      </c>
      <c r="J241" s="4" t="n">
        <v>0</v>
      </c>
      <c r="K241" s="4" t="n">
        <v>0</v>
      </c>
      <c r="L241" s="4" t="n">
        <f aca="false">IF(O241="Delivered",I241-J241+K241,0)</f>
        <v>679</v>
      </c>
      <c r="M241" s="0" t="n">
        <v>42</v>
      </c>
      <c r="N241" s="0" t="n">
        <v>4.7</v>
      </c>
      <c r="O241" s="3" t="s">
        <v>17</v>
      </c>
    </row>
    <row r="242" customFormat="false" ht="15" hidden="false" customHeight="false" outlineLevel="0" collapsed="false">
      <c r="A242" s="0" t="s">
        <v>341</v>
      </c>
      <c r="B242" s="2" t="n">
        <v>45724</v>
      </c>
      <c r="C242" s="0" t="str">
        <f aca="false">TEXT(B242,"mmm")</f>
        <v>Mar</v>
      </c>
      <c r="D242" s="0" t="str">
        <f aca="false">TEXT(B242,"ddd")</f>
        <v>Sat</v>
      </c>
      <c r="E242" s="3" t="s">
        <v>40</v>
      </c>
      <c r="F242" s="3" t="s">
        <v>28</v>
      </c>
      <c r="G242" s="3" t="s">
        <v>21</v>
      </c>
      <c r="H242" s="3" t="s">
        <v>36</v>
      </c>
      <c r="I242" s="4" t="n">
        <v>420</v>
      </c>
      <c r="J242" s="4" t="n">
        <v>0</v>
      </c>
      <c r="K242" s="4" t="n">
        <v>45</v>
      </c>
      <c r="L242" s="4" t="n">
        <f aca="false">IF(O242="Delivered",I242-J242+K242,0)</f>
        <v>465</v>
      </c>
      <c r="M242" s="0" t="n">
        <v>41</v>
      </c>
      <c r="N242" s="0" t="n">
        <v>4</v>
      </c>
      <c r="O242" s="3" t="s">
        <v>17</v>
      </c>
    </row>
    <row r="243" customFormat="false" ht="15" hidden="false" customHeight="false" outlineLevel="0" collapsed="false">
      <c r="A243" s="0" t="s">
        <v>536</v>
      </c>
      <c r="B243" s="2" t="n">
        <v>45724</v>
      </c>
      <c r="C243" s="0" t="str">
        <f aca="false">TEXT(B243,"mmm")</f>
        <v>Mar</v>
      </c>
      <c r="D243" s="0" t="str">
        <f aca="false">TEXT(B243,"ddd")</f>
        <v>Sat</v>
      </c>
      <c r="E243" s="3" t="s">
        <v>27</v>
      </c>
      <c r="F243" s="3" t="s">
        <v>31</v>
      </c>
      <c r="G243" s="3" t="s">
        <v>15</v>
      </c>
      <c r="H243" s="3" t="s">
        <v>54</v>
      </c>
      <c r="I243" s="4" t="n">
        <v>407</v>
      </c>
      <c r="J243" s="4" t="n">
        <v>86</v>
      </c>
      <c r="K243" s="4" t="n">
        <v>20</v>
      </c>
      <c r="L243" s="4" t="n">
        <f aca="false">IF(O243="Delivered",I243-J243+K243,0)</f>
        <v>341</v>
      </c>
      <c r="M243" s="0" t="n">
        <v>45</v>
      </c>
      <c r="N243" s="0" t="n">
        <v>3.7</v>
      </c>
      <c r="O243" s="3" t="s">
        <v>17</v>
      </c>
    </row>
    <row r="244" customFormat="false" ht="15" hidden="false" customHeight="false" outlineLevel="0" collapsed="false">
      <c r="A244" s="0" t="s">
        <v>631</v>
      </c>
      <c r="B244" s="2" t="n">
        <v>45724</v>
      </c>
      <c r="C244" s="0" t="str">
        <f aca="false">TEXT(B244,"mmm")</f>
        <v>Mar</v>
      </c>
      <c r="D244" s="0" t="str">
        <f aca="false">TEXT(B244,"ddd")</f>
        <v>Sat</v>
      </c>
      <c r="E244" s="3" t="s">
        <v>40</v>
      </c>
      <c r="F244" s="3" t="s">
        <v>31</v>
      </c>
      <c r="G244" s="3" t="s">
        <v>21</v>
      </c>
      <c r="H244" s="3" t="s">
        <v>22</v>
      </c>
      <c r="I244" s="4" t="n">
        <v>493</v>
      </c>
      <c r="J244" s="4" t="n">
        <v>0</v>
      </c>
      <c r="K244" s="4" t="n">
        <v>45</v>
      </c>
      <c r="L244" s="4" t="n">
        <f aca="false">IF(O244="Delivered",I244-J244+K244,0)</f>
        <v>538</v>
      </c>
      <c r="M244" s="0" t="n">
        <v>47</v>
      </c>
      <c r="N244" s="0" t="n">
        <v>3.5</v>
      </c>
      <c r="O244" s="3" t="s">
        <v>17</v>
      </c>
    </row>
    <row r="245" customFormat="false" ht="15" hidden="false" customHeight="false" outlineLevel="0" collapsed="false">
      <c r="A245" s="0" t="s">
        <v>831</v>
      </c>
      <c r="B245" s="2" t="n">
        <v>45724</v>
      </c>
      <c r="C245" s="0" t="str">
        <f aca="false">TEXT(B245,"mmm")</f>
        <v>Mar</v>
      </c>
      <c r="D245" s="0" t="str">
        <f aca="false">TEXT(B245,"ddd")</f>
        <v>Sat</v>
      </c>
      <c r="E245" s="3" t="s">
        <v>45</v>
      </c>
      <c r="F245" s="3" t="s">
        <v>20</v>
      </c>
      <c r="G245" s="3" t="s">
        <v>15</v>
      </c>
      <c r="H245" s="3" t="s">
        <v>54</v>
      </c>
      <c r="I245" s="4" t="n">
        <v>641</v>
      </c>
      <c r="J245" s="4" t="n">
        <v>0</v>
      </c>
      <c r="K245" s="4" t="n">
        <v>0</v>
      </c>
      <c r="L245" s="4" t="n">
        <f aca="false">IF(O245="Delivered",I245-J245+K245,0)</f>
        <v>641</v>
      </c>
      <c r="M245" s="0" t="n">
        <v>28</v>
      </c>
      <c r="N245" s="0" t="n">
        <v>3.6</v>
      </c>
      <c r="O245" s="3" t="s">
        <v>17</v>
      </c>
    </row>
    <row r="246" customFormat="false" ht="15" hidden="false" customHeight="false" outlineLevel="0" collapsed="false">
      <c r="A246" s="0" t="s">
        <v>1134</v>
      </c>
      <c r="B246" s="2" t="n">
        <v>45724</v>
      </c>
      <c r="C246" s="0" t="str">
        <f aca="false">TEXT(B246,"mmm")</f>
        <v>Mar</v>
      </c>
      <c r="D246" s="0" t="str">
        <f aca="false">TEXT(B246,"ddd")</f>
        <v>Sat</v>
      </c>
      <c r="E246" s="3" t="s">
        <v>30</v>
      </c>
      <c r="F246" s="3" t="s">
        <v>56</v>
      </c>
      <c r="G246" s="3" t="s">
        <v>21</v>
      </c>
      <c r="H246" s="3" t="s">
        <v>22</v>
      </c>
      <c r="I246" s="4" t="n">
        <v>217</v>
      </c>
      <c r="J246" s="4" t="n">
        <v>52</v>
      </c>
      <c r="K246" s="4" t="n">
        <v>45</v>
      </c>
      <c r="L246" s="4" t="n">
        <f aca="false">IF(O246="Delivered",I246-J246+K246,0)</f>
        <v>210</v>
      </c>
      <c r="M246" s="0" t="n">
        <v>30</v>
      </c>
      <c r="N246" s="0" t="n">
        <v>4.5</v>
      </c>
      <c r="O246" s="3" t="s">
        <v>17</v>
      </c>
    </row>
    <row r="247" customFormat="false" ht="15" hidden="false" customHeight="false" outlineLevel="0" collapsed="false">
      <c r="A247" s="0" t="s">
        <v>1267</v>
      </c>
      <c r="B247" s="2" t="n">
        <v>45724</v>
      </c>
      <c r="C247" s="0" t="str">
        <f aca="false">TEXT(B247,"mmm")</f>
        <v>Mar</v>
      </c>
      <c r="D247" s="0" t="str">
        <f aca="false">TEXT(B247,"ddd")</f>
        <v>Sat</v>
      </c>
      <c r="E247" s="3" t="s">
        <v>45</v>
      </c>
      <c r="F247" s="3" t="s">
        <v>25</v>
      </c>
      <c r="G247" s="3" t="s">
        <v>15</v>
      </c>
      <c r="H247" s="3" t="s">
        <v>54</v>
      </c>
      <c r="I247" s="4" t="n">
        <v>499</v>
      </c>
      <c r="J247" s="4" t="n">
        <v>54</v>
      </c>
      <c r="K247" s="4" t="n">
        <v>40</v>
      </c>
      <c r="L247" s="4" t="n">
        <f aca="false">IF(O247="Delivered",I247-J247+K247,0)</f>
        <v>485</v>
      </c>
      <c r="M247" s="0" t="n">
        <v>32</v>
      </c>
      <c r="N247" s="0" t="n">
        <v>4.3</v>
      </c>
      <c r="O247" s="3" t="s">
        <v>17</v>
      </c>
    </row>
    <row r="248" customFormat="false" ht="15" hidden="false" customHeight="false" outlineLevel="0" collapsed="false">
      <c r="A248" s="0" t="s">
        <v>1313</v>
      </c>
      <c r="B248" s="2" t="n">
        <v>45724</v>
      </c>
      <c r="C248" s="0" t="str">
        <f aca="false">TEXT(B248,"mmm")</f>
        <v>Mar</v>
      </c>
      <c r="D248" s="0" t="str">
        <f aca="false">TEXT(B248,"ddd")</f>
        <v>Sat</v>
      </c>
      <c r="E248" s="3" t="s">
        <v>13</v>
      </c>
      <c r="F248" s="3" t="s">
        <v>56</v>
      </c>
      <c r="G248" s="3" t="s">
        <v>21</v>
      </c>
      <c r="H248" s="3" t="s">
        <v>34</v>
      </c>
      <c r="I248" s="4" t="n">
        <v>225</v>
      </c>
      <c r="J248" s="4" t="n">
        <v>0</v>
      </c>
      <c r="K248" s="4" t="n">
        <v>45</v>
      </c>
      <c r="L248" s="4" t="n">
        <f aca="false">IF(O248="Delivered",I248-J248+K248,0)</f>
        <v>270</v>
      </c>
      <c r="M248" s="0" t="n">
        <v>37</v>
      </c>
      <c r="O248" s="3" t="s">
        <v>17</v>
      </c>
    </row>
    <row r="249" customFormat="false" ht="15" hidden="false" customHeight="false" outlineLevel="0" collapsed="false">
      <c r="A249" s="0" t="s">
        <v>1623</v>
      </c>
      <c r="B249" s="2" t="n">
        <v>45724</v>
      </c>
      <c r="C249" s="0" t="str">
        <f aca="false">TEXT(B249,"mmm")</f>
        <v>Mar</v>
      </c>
      <c r="D249" s="0" t="str">
        <f aca="false">TEXT(B249,"ddd")</f>
        <v>Sat</v>
      </c>
      <c r="E249" s="3" t="s">
        <v>30</v>
      </c>
      <c r="F249" s="3" t="s">
        <v>14</v>
      </c>
      <c r="G249" s="3" t="s">
        <v>15</v>
      </c>
      <c r="H249" s="3" t="s">
        <v>36</v>
      </c>
      <c r="I249" s="4" t="n">
        <v>372</v>
      </c>
      <c r="J249" s="4" t="n">
        <v>0</v>
      </c>
      <c r="K249" s="4" t="n">
        <v>45</v>
      </c>
      <c r="L249" s="4" t="n">
        <f aca="false">IF(O249="Delivered",I249-J249+K249,0)</f>
        <v>417</v>
      </c>
      <c r="M249" s="0" t="n">
        <v>25</v>
      </c>
      <c r="N249" s="0" t="n">
        <v>4.4</v>
      </c>
      <c r="O249" s="3" t="s">
        <v>17</v>
      </c>
    </row>
    <row r="250" customFormat="false" ht="15" hidden="false" customHeight="false" outlineLevel="0" collapsed="false">
      <c r="A250" s="0" t="s">
        <v>464</v>
      </c>
      <c r="B250" s="2" t="n">
        <v>45725</v>
      </c>
      <c r="C250" s="0" t="str">
        <f aca="false">TEXT(B250,"mmm")</f>
        <v>Mar</v>
      </c>
      <c r="D250" s="0" t="str">
        <f aca="false">TEXT(B250,"ddd")</f>
        <v>Sun</v>
      </c>
      <c r="E250" s="3" t="s">
        <v>45</v>
      </c>
      <c r="F250" s="3" t="s">
        <v>56</v>
      </c>
      <c r="G250" s="3" t="s">
        <v>21</v>
      </c>
      <c r="H250" s="3" t="s">
        <v>22</v>
      </c>
      <c r="I250" s="4" t="n">
        <v>262</v>
      </c>
      <c r="J250" s="4" t="n">
        <v>59</v>
      </c>
      <c r="K250" s="4" t="n">
        <v>30</v>
      </c>
      <c r="L250" s="4" t="n">
        <f aca="false">IF(O250="Delivered",I250-J250+K250,0)</f>
        <v>233</v>
      </c>
      <c r="M250" s="0" t="n">
        <v>44</v>
      </c>
      <c r="N250" s="0" t="n">
        <v>5</v>
      </c>
      <c r="O250" s="3" t="s">
        <v>17</v>
      </c>
    </row>
    <row r="251" customFormat="false" ht="15" hidden="false" customHeight="false" outlineLevel="0" collapsed="false">
      <c r="A251" s="0" t="s">
        <v>1572</v>
      </c>
      <c r="B251" s="2" t="n">
        <v>45725</v>
      </c>
      <c r="C251" s="0" t="str">
        <f aca="false">TEXT(B251,"mmm")</f>
        <v>Mar</v>
      </c>
      <c r="D251" s="0" t="str">
        <f aca="false">TEXT(B251,"ddd")</f>
        <v>Sun</v>
      </c>
      <c r="E251" s="3" t="s">
        <v>40</v>
      </c>
      <c r="F251" s="3" t="s">
        <v>56</v>
      </c>
      <c r="G251" s="3" t="s">
        <v>21</v>
      </c>
      <c r="H251" s="3" t="s">
        <v>54</v>
      </c>
      <c r="I251" s="4" t="n">
        <v>473</v>
      </c>
      <c r="J251" s="4" t="n">
        <v>0</v>
      </c>
      <c r="K251" s="4" t="n">
        <v>20</v>
      </c>
      <c r="L251" s="4" t="n">
        <f aca="false">IF(O251="Delivered",I251-J251+K251,0)</f>
        <v>493</v>
      </c>
      <c r="M251" s="0" t="n">
        <v>50</v>
      </c>
      <c r="N251" s="0" t="n">
        <v>3.7</v>
      </c>
      <c r="O251" s="3" t="s">
        <v>17</v>
      </c>
    </row>
    <row r="252" customFormat="false" ht="15" hidden="false" customHeight="false" outlineLevel="0" collapsed="false">
      <c r="A252" s="0" t="s">
        <v>1614</v>
      </c>
      <c r="B252" s="2" t="n">
        <v>45725</v>
      </c>
      <c r="C252" s="0" t="str">
        <f aca="false">TEXT(B252,"mmm")</f>
        <v>Mar</v>
      </c>
      <c r="D252" s="0" t="str">
        <f aca="false">TEXT(B252,"ddd")</f>
        <v>Sun</v>
      </c>
      <c r="E252" s="3" t="s">
        <v>45</v>
      </c>
      <c r="F252" s="3" t="s">
        <v>56</v>
      </c>
      <c r="G252" s="3" t="s">
        <v>15</v>
      </c>
      <c r="H252" s="3" t="s">
        <v>22</v>
      </c>
      <c r="I252" s="4" t="n">
        <v>441</v>
      </c>
      <c r="J252" s="4" t="n">
        <v>0</v>
      </c>
      <c r="K252" s="4" t="n">
        <v>20</v>
      </c>
      <c r="L252" s="4" t="n">
        <f aca="false">IF(O252="Delivered",I252-J252+K252,0)</f>
        <v>461</v>
      </c>
      <c r="M252" s="0" t="n">
        <v>23</v>
      </c>
      <c r="N252" s="0" t="n">
        <v>5</v>
      </c>
      <c r="O252" s="3" t="s">
        <v>17</v>
      </c>
    </row>
    <row r="253" customFormat="false" ht="15" hidden="false" customHeight="false" outlineLevel="0" collapsed="false">
      <c r="A253" s="0" t="s">
        <v>1071</v>
      </c>
      <c r="B253" s="2" t="n">
        <v>45726</v>
      </c>
      <c r="C253" s="0" t="str">
        <f aca="false">TEXT(B253,"mmm")</f>
        <v>Mar</v>
      </c>
      <c r="D253" s="0" t="str">
        <f aca="false">TEXT(B253,"ddd")</f>
        <v>Mon</v>
      </c>
      <c r="E253" s="3" t="s">
        <v>40</v>
      </c>
      <c r="F253" s="3" t="s">
        <v>20</v>
      </c>
      <c r="G253" s="3" t="s">
        <v>21</v>
      </c>
      <c r="H253" s="3" t="s">
        <v>22</v>
      </c>
      <c r="I253" s="4" t="n">
        <v>378</v>
      </c>
      <c r="J253" s="4" t="n">
        <v>0</v>
      </c>
      <c r="K253" s="4" t="n">
        <v>40</v>
      </c>
      <c r="L253" s="4" t="n">
        <f aca="false">IF(O253="Delivered",I253-J253+K253,0)</f>
        <v>418</v>
      </c>
      <c r="M253" s="0" t="n">
        <v>48</v>
      </c>
      <c r="N253" s="0" t="n">
        <v>4</v>
      </c>
      <c r="O253" s="3" t="s">
        <v>17</v>
      </c>
    </row>
    <row r="254" customFormat="false" ht="15" hidden="false" customHeight="false" outlineLevel="0" collapsed="false">
      <c r="A254" s="0" t="s">
        <v>140</v>
      </c>
      <c r="B254" s="2" t="n">
        <v>45727</v>
      </c>
      <c r="C254" s="0" t="str">
        <f aca="false">TEXT(B254,"mmm")</f>
        <v>Mar</v>
      </c>
      <c r="D254" s="0" t="str">
        <f aca="false">TEXT(B254,"ddd")</f>
        <v>Tue</v>
      </c>
      <c r="E254" s="3" t="s">
        <v>24</v>
      </c>
      <c r="F254" s="3" t="s">
        <v>20</v>
      </c>
      <c r="G254" s="3" t="s">
        <v>21</v>
      </c>
      <c r="H254" s="3" t="s">
        <v>22</v>
      </c>
      <c r="I254" s="4" t="n">
        <v>790</v>
      </c>
      <c r="J254" s="4" t="n">
        <v>0</v>
      </c>
      <c r="K254" s="4" t="n">
        <v>0</v>
      </c>
      <c r="L254" s="4" t="n">
        <f aca="false">IF(O254="Delivered",I254-J254+K254,0)</f>
        <v>790</v>
      </c>
      <c r="M254" s="0" t="n">
        <v>38</v>
      </c>
      <c r="N254" s="0" t="n">
        <v>4.1</v>
      </c>
      <c r="O254" s="3" t="s">
        <v>17</v>
      </c>
    </row>
    <row r="255" customFormat="false" ht="15" hidden="false" customHeight="false" outlineLevel="0" collapsed="false">
      <c r="A255" s="0" t="s">
        <v>1101</v>
      </c>
      <c r="B255" s="2" t="n">
        <v>45727</v>
      </c>
      <c r="C255" s="0" t="str">
        <f aca="false">TEXT(B255,"mmm")</f>
        <v>Mar</v>
      </c>
      <c r="D255" s="0" t="str">
        <f aca="false">TEXT(B255,"ddd")</f>
        <v>Tue</v>
      </c>
      <c r="E255" s="3" t="s">
        <v>30</v>
      </c>
      <c r="F255" s="3" t="s">
        <v>28</v>
      </c>
      <c r="G255" s="3" t="s">
        <v>15</v>
      </c>
      <c r="H255" s="3" t="s">
        <v>34</v>
      </c>
      <c r="I255" s="4" t="n">
        <v>417</v>
      </c>
      <c r="J255" s="4" t="n">
        <v>0</v>
      </c>
      <c r="K255" s="4" t="n">
        <v>40</v>
      </c>
      <c r="L255" s="4" t="n">
        <f aca="false">IF(O255="Delivered",I255-J255+K255,0)</f>
        <v>457</v>
      </c>
      <c r="M255" s="0" t="n">
        <v>42</v>
      </c>
      <c r="N255" s="0" t="n">
        <v>4.6</v>
      </c>
      <c r="O255" s="3" t="s">
        <v>17</v>
      </c>
    </row>
    <row r="256" customFormat="false" ht="15" hidden="false" customHeight="false" outlineLevel="0" collapsed="false">
      <c r="A256" s="0" t="s">
        <v>1501</v>
      </c>
      <c r="B256" s="2" t="n">
        <v>45727</v>
      </c>
      <c r="C256" s="0" t="str">
        <f aca="false">TEXT(B256,"mmm")</f>
        <v>Mar</v>
      </c>
      <c r="D256" s="0" t="str">
        <f aca="false">TEXT(B256,"ddd")</f>
        <v>Tue</v>
      </c>
      <c r="E256" s="3" t="s">
        <v>13</v>
      </c>
      <c r="F256" s="3" t="s">
        <v>49</v>
      </c>
      <c r="G256" s="3" t="s">
        <v>21</v>
      </c>
      <c r="H256" s="3" t="s">
        <v>16</v>
      </c>
      <c r="I256" s="4" t="n">
        <v>383</v>
      </c>
      <c r="J256" s="4" t="n">
        <v>0</v>
      </c>
      <c r="K256" s="4" t="n">
        <v>20</v>
      </c>
      <c r="L256" s="4" t="n">
        <f aca="false">IF(O256="Delivered",I256-J256+K256,0)</f>
        <v>403</v>
      </c>
      <c r="M256" s="0" t="n">
        <v>30</v>
      </c>
      <c r="N256" s="0" t="n">
        <v>3.3</v>
      </c>
      <c r="O256" s="3" t="s">
        <v>17</v>
      </c>
    </row>
    <row r="257" customFormat="false" ht="15" hidden="false" customHeight="false" outlineLevel="0" collapsed="false">
      <c r="A257" s="0" t="s">
        <v>239</v>
      </c>
      <c r="B257" s="2" t="n">
        <v>45728</v>
      </c>
      <c r="C257" s="0" t="str">
        <f aca="false">TEXT(B257,"mmm")</f>
        <v>Mar</v>
      </c>
      <c r="D257" s="0" t="str">
        <f aca="false">TEXT(B257,"ddd")</f>
        <v>Wed</v>
      </c>
      <c r="E257" s="3" t="s">
        <v>30</v>
      </c>
      <c r="F257" s="3" t="s">
        <v>28</v>
      </c>
      <c r="G257" s="3" t="s">
        <v>21</v>
      </c>
      <c r="H257" s="3" t="s">
        <v>16</v>
      </c>
      <c r="I257" s="4" t="n">
        <v>586</v>
      </c>
      <c r="J257" s="4" t="n">
        <v>65</v>
      </c>
      <c r="K257" s="4" t="n">
        <v>0</v>
      </c>
      <c r="L257" s="4" t="n">
        <f aca="false">IF(O257="Delivered",I257-J257+K257,0)</f>
        <v>521</v>
      </c>
      <c r="M257" s="0" t="n">
        <v>21</v>
      </c>
      <c r="N257" s="0" t="n">
        <v>5</v>
      </c>
      <c r="O257" s="3" t="s">
        <v>17</v>
      </c>
    </row>
    <row r="258" customFormat="false" ht="15" hidden="false" customHeight="false" outlineLevel="0" collapsed="false">
      <c r="A258" s="0" t="s">
        <v>646</v>
      </c>
      <c r="B258" s="2" t="n">
        <v>45728</v>
      </c>
      <c r="C258" s="0" t="str">
        <f aca="false">TEXT(B258,"mmm")</f>
        <v>Mar</v>
      </c>
      <c r="D258" s="0" t="str">
        <f aca="false">TEXT(B258,"ddd")</f>
        <v>Wed</v>
      </c>
      <c r="E258" s="3" t="s">
        <v>40</v>
      </c>
      <c r="F258" s="3" t="s">
        <v>20</v>
      </c>
      <c r="G258" s="3" t="s">
        <v>15</v>
      </c>
      <c r="H258" s="3" t="s">
        <v>34</v>
      </c>
      <c r="I258" s="4" t="n">
        <v>634</v>
      </c>
      <c r="J258" s="4" t="n">
        <v>0</v>
      </c>
      <c r="K258" s="4" t="n">
        <v>0</v>
      </c>
      <c r="L258" s="4" t="n">
        <f aca="false">IF(O258="Delivered",I258-J258+K258,0)</f>
        <v>634</v>
      </c>
      <c r="M258" s="0" t="n">
        <v>42</v>
      </c>
      <c r="N258" s="0" t="n">
        <v>4.3</v>
      </c>
      <c r="O258" s="3" t="s">
        <v>17</v>
      </c>
    </row>
    <row r="259" customFormat="false" ht="15" hidden="false" customHeight="false" outlineLevel="0" collapsed="false">
      <c r="A259" s="0" t="s">
        <v>911</v>
      </c>
      <c r="B259" s="2" t="n">
        <v>45728</v>
      </c>
      <c r="C259" s="0" t="str">
        <f aca="false">TEXT(B259,"mmm")</f>
        <v>Mar</v>
      </c>
      <c r="D259" s="0" t="str">
        <f aca="false">TEXT(B259,"ddd")</f>
        <v>Wed</v>
      </c>
      <c r="E259" s="3" t="s">
        <v>24</v>
      </c>
      <c r="F259" s="3" t="s">
        <v>31</v>
      </c>
      <c r="G259" s="3" t="s">
        <v>21</v>
      </c>
      <c r="H259" s="3" t="s">
        <v>16</v>
      </c>
      <c r="I259" s="4" t="n">
        <v>518</v>
      </c>
      <c r="J259" s="4" t="n">
        <v>0</v>
      </c>
      <c r="K259" s="4" t="n">
        <v>0</v>
      </c>
      <c r="L259" s="4" t="n">
        <f aca="false">IF(O259="Delivered",I259-J259+K259,0)</f>
        <v>0</v>
      </c>
      <c r="O259" s="3" t="s">
        <v>68</v>
      </c>
    </row>
    <row r="260" customFormat="false" ht="15" hidden="false" customHeight="false" outlineLevel="0" collapsed="false">
      <c r="A260" s="0" t="s">
        <v>1030</v>
      </c>
      <c r="B260" s="2" t="n">
        <v>45728</v>
      </c>
      <c r="C260" s="0" t="str">
        <f aca="false">TEXT(B260,"mmm")</f>
        <v>Mar</v>
      </c>
      <c r="D260" s="0" t="str">
        <f aca="false">TEXT(B260,"ddd")</f>
        <v>Wed</v>
      </c>
      <c r="E260" s="3" t="s">
        <v>13</v>
      </c>
      <c r="F260" s="3" t="s">
        <v>49</v>
      </c>
      <c r="G260" s="3" t="s">
        <v>21</v>
      </c>
      <c r="H260" s="3" t="s">
        <v>34</v>
      </c>
      <c r="I260" s="4" t="n">
        <v>385</v>
      </c>
      <c r="J260" s="4" t="n">
        <v>0</v>
      </c>
      <c r="K260" s="4" t="n">
        <v>40</v>
      </c>
      <c r="L260" s="4" t="n">
        <f aca="false">IF(O260="Delivered",I260-J260+K260,0)</f>
        <v>425</v>
      </c>
      <c r="M260" s="0" t="n">
        <v>21</v>
      </c>
      <c r="N260" s="0" t="n">
        <v>4.5</v>
      </c>
      <c r="O260" s="3" t="s">
        <v>17</v>
      </c>
    </row>
    <row r="261" customFormat="false" ht="15" hidden="false" customHeight="false" outlineLevel="0" collapsed="false">
      <c r="A261" s="0" t="s">
        <v>1117</v>
      </c>
      <c r="B261" s="2" t="n">
        <v>45728</v>
      </c>
      <c r="C261" s="0" t="str">
        <f aca="false">TEXT(B261,"mmm")</f>
        <v>Mar</v>
      </c>
      <c r="D261" s="0" t="str">
        <f aca="false">TEXT(B261,"ddd")</f>
        <v>Wed</v>
      </c>
      <c r="E261" s="3" t="s">
        <v>27</v>
      </c>
      <c r="F261" s="3" t="s">
        <v>31</v>
      </c>
      <c r="G261" s="3" t="s">
        <v>15</v>
      </c>
      <c r="H261" s="3" t="s">
        <v>22</v>
      </c>
      <c r="I261" s="4" t="n">
        <v>452</v>
      </c>
      <c r="J261" s="4" t="n">
        <v>0</v>
      </c>
      <c r="K261" s="4" t="n">
        <v>40</v>
      </c>
      <c r="L261" s="4" t="n">
        <f aca="false">IF(O261="Delivered",I261-J261+K261,0)</f>
        <v>492</v>
      </c>
      <c r="M261" s="0" t="n">
        <v>29</v>
      </c>
      <c r="N261" s="0" t="n">
        <v>4.3</v>
      </c>
      <c r="O261" s="3" t="s">
        <v>17</v>
      </c>
    </row>
    <row r="262" customFormat="false" ht="15" hidden="false" customHeight="false" outlineLevel="0" collapsed="false">
      <c r="A262" s="0" t="s">
        <v>1534</v>
      </c>
      <c r="B262" s="2" t="n">
        <v>45728</v>
      </c>
      <c r="C262" s="0" t="str">
        <f aca="false">TEXT(B262,"mmm")</f>
        <v>Mar</v>
      </c>
      <c r="D262" s="0" t="str">
        <f aca="false">TEXT(B262,"ddd")</f>
        <v>Wed</v>
      </c>
      <c r="E262" s="3" t="s">
        <v>27</v>
      </c>
      <c r="F262" s="3" t="s">
        <v>28</v>
      </c>
      <c r="G262" s="3" t="s">
        <v>15</v>
      </c>
      <c r="H262" s="3" t="s">
        <v>34</v>
      </c>
      <c r="I262" s="4" t="n">
        <v>356</v>
      </c>
      <c r="J262" s="4" t="n">
        <v>81</v>
      </c>
      <c r="K262" s="4" t="n">
        <v>45</v>
      </c>
      <c r="L262" s="4" t="n">
        <f aca="false">IF(O262="Delivered",I262-J262+K262,0)</f>
        <v>320</v>
      </c>
      <c r="M262" s="0" t="n">
        <v>35</v>
      </c>
      <c r="N262" s="0" t="n">
        <v>4.3</v>
      </c>
      <c r="O262" s="3" t="s">
        <v>17</v>
      </c>
    </row>
    <row r="263" customFormat="false" ht="15" hidden="false" customHeight="false" outlineLevel="0" collapsed="false">
      <c r="A263" s="0" t="s">
        <v>339</v>
      </c>
      <c r="B263" s="2" t="n">
        <v>45729</v>
      </c>
      <c r="C263" s="0" t="str">
        <f aca="false">TEXT(B263,"mmm")</f>
        <v>Mar</v>
      </c>
      <c r="D263" s="0" t="str">
        <f aca="false">TEXT(B263,"ddd")</f>
        <v>Thu</v>
      </c>
      <c r="E263" s="3" t="s">
        <v>40</v>
      </c>
      <c r="F263" s="3" t="s">
        <v>25</v>
      </c>
      <c r="G263" s="3" t="s">
        <v>15</v>
      </c>
      <c r="H263" s="3" t="s">
        <v>36</v>
      </c>
      <c r="I263" s="4" t="n">
        <v>539</v>
      </c>
      <c r="J263" s="4" t="n">
        <v>82</v>
      </c>
      <c r="K263" s="4" t="n">
        <v>0</v>
      </c>
      <c r="L263" s="4" t="n">
        <f aca="false">IF(O263="Delivered",I263-J263+K263,0)</f>
        <v>457</v>
      </c>
      <c r="M263" s="0" t="n">
        <v>44</v>
      </c>
      <c r="N263" s="0" t="n">
        <v>4.4</v>
      </c>
      <c r="O263" s="3" t="s">
        <v>17</v>
      </c>
    </row>
    <row r="264" customFormat="false" ht="15" hidden="false" customHeight="false" outlineLevel="0" collapsed="false">
      <c r="A264" s="0" t="s">
        <v>647</v>
      </c>
      <c r="B264" s="2" t="n">
        <v>45729</v>
      </c>
      <c r="C264" s="0" t="str">
        <f aca="false">TEXT(B264,"mmm")</f>
        <v>Mar</v>
      </c>
      <c r="D264" s="0" t="str">
        <f aca="false">TEXT(B264,"ddd")</f>
        <v>Thu</v>
      </c>
      <c r="E264" s="3" t="s">
        <v>27</v>
      </c>
      <c r="F264" s="3" t="s">
        <v>31</v>
      </c>
      <c r="G264" s="3" t="s">
        <v>21</v>
      </c>
      <c r="H264" s="3" t="s">
        <v>16</v>
      </c>
      <c r="I264" s="4" t="n">
        <v>584</v>
      </c>
      <c r="J264" s="4" t="n">
        <v>0</v>
      </c>
      <c r="K264" s="4" t="n">
        <v>0</v>
      </c>
      <c r="L264" s="4" t="n">
        <f aca="false">IF(O264="Delivered",I264-J264+K264,0)</f>
        <v>584</v>
      </c>
      <c r="M264" s="0" t="n">
        <v>47</v>
      </c>
      <c r="N264" s="0" t="n">
        <v>4.1</v>
      </c>
      <c r="O264" s="3" t="s">
        <v>17</v>
      </c>
    </row>
    <row r="265" customFormat="false" ht="15" hidden="false" customHeight="false" outlineLevel="0" collapsed="false">
      <c r="A265" s="0" t="s">
        <v>932</v>
      </c>
      <c r="B265" s="2" t="n">
        <v>45729</v>
      </c>
      <c r="C265" s="0" t="str">
        <f aca="false">TEXT(B265,"mmm")</f>
        <v>Mar</v>
      </c>
      <c r="D265" s="0" t="str">
        <f aca="false">TEXT(B265,"ddd")</f>
        <v>Thu</v>
      </c>
      <c r="E265" s="3" t="s">
        <v>40</v>
      </c>
      <c r="F265" s="3" t="s">
        <v>28</v>
      </c>
      <c r="G265" s="3" t="s">
        <v>15</v>
      </c>
      <c r="H265" s="3" t="s">
        <v>22</v>
      </c>
      <c r="I265" s="4" t="n">
        <v>332</v>
      </c>
      <c r="J265" s="4" t="n">
        <v>52</v>
      </c>
      <c r="K265" s="4" t="n">
        <v>40</v>
      </c>
      <c r="L265" s="4" t="n">
        <f aca="false">IF(O265="Delivered",I265-J265+K265,0)</f>
        <v>320</v>
      </c>
      <c r="M265" s="0" t="n">
        <v>47</v>
      </c>
      <c r="N265" s="0" t="n">
        <v>4.7</v>
      </c>
      <c r="O265" s="3" t="s">
        <v>17</v>
      </c>
    </row>
    <row r="266" customFormat="false" ht="15" hidden="false" customHeight="false" outlineLevel="0" collapsed="false">
      <c r="A266" s="0" t="s">
        <v>1068</v>
      </c>
      <c r="B266" s="2" t="n">
        <v>45729</v>
      </c>
      <c r="C266" s="0" t="str">
        <f aca="false">TEXT(B266,"mmm")</f>
        <v>Mar</v>
      </c>
      <c r="D266" s="0" t="str">
        <f aca="false">TEXT(B266,"ddd")</f>
        <v>Thu</v>
      </c>
      <c r="E266" s="3" t="s">
        <v>45</v>
      </c>
      <c r="F266" s="3" t="s">
        <v>25</v>
      </c>
      <c r="G266" s="3" t="s">
        <v>21</v>
      </c>
      <c r="H266" s="3" t="s">
        <v>22</v>
      </c>
      <c r="I266" s="4" t="n">
        <v>280</v>
      </c>
      <c r="J266" s="4" t="n">
        <v>0</v>
      </c>
      <c r="K266" s="4" t="n">
        <v>40</v>
      </c>
      <c r="L266" s="4" t="n">
        <f aca="false">IF(O266="Delivered",I266-J266+K266,0)</f>
        <v>320</v>
      </c>
      <c r="M266" s="0" t="n">
        <v>23</v>
      </c>
      <c r="N266" s="0" t="n">
        <v>4.3</v>
      </c>
      <c r="O266" s="3" t="s">
        <v>17</v>
      </c>
    </row>
    <row r="267" customFormat="false" ht="15" hidden="false" customHeight="false" outlineLevel="0" collapsed="false">
      <c r="A267" s="0" t="s">
        <v>1466</v>
      </c>
      <c r="B267" s="2" t="n">
        <v>45729</v>
      </c>
      <c r="C267" s="0" t="str">
        <f aca="false">TEXT(B267,"mmm")</f>
        <v>Mar</v>
      </c>
      <c r="D267" s="0" t="str">
        <f aca="false">TEXT(B267,"ddd")</f>
        <v>Thu</v>
      </c>
      <c r="E267" s="3" t="s">
        <v>24</v>
      </c>
      <c r="F267" s="3" t="s">
        <v>20</v>
      </c>
      <c r="G267" s="3" t="s">
        <v>21</v>
      </c>
      <c r="H267" s="3" t="s">
        <v>22</v>
      </c>
      <c r="I267" s="4" t="n">
        <v>576</v>
      </c>
      <c r="J267" s="4" t="n">
        <v>0</v>
      </c>
      <c r="K267" s="4" t="n">
        <v>0</v>
      </c>
      <c r="L267" s="4" t="n">
        <f aca="false">IF(O267="Delivered",I267-J267+K267,0)</f>
        <v>576</v>
      </c>
      <c r="M267" s="0" t="n">
        <v>34</v>
      </c>
      <c r="N267" s="0" t="n">
        <v>4.2</v>
      </c>
      <c r="O267" s="3" t="s">
        <v>17</v>
      </c>
    </row>
    <row r="268" customFormat="false" ht="15" hidden="false" customHeight="false" outlineLevel="0" collapsed="false">
      <c r="A268" s="0" t="s">
        <v>135</v>
      </c>
      <c r="B268" s="2" t="n">
        <v>45730</v>
      </c>
      <c r="C268" s="0" t="str">
        <f aca="false">TEXT(B268,"mmm")</f>
        <v>Mar</v>
      </c>
      <c r="D268" s="0" t="str">
        <f aca="false">TEXT(B268,"ddd")</f>
        <v>Fri</v>
      </c>
      <c r="E268" s="3" t="s">
        <v>24</v>
      </c>
      <c r="F268" s="3" t="s">
        <v>28</v>
      </c>
      <c r="G268" s="3" t="s">
        <v>21</v>
      </c>
      <c r="H268" s="3" t="s">
        <v>22</v>
      </c>
      <c r="I268" s="4" t="n">
        <v>307</v>
      </c>
      <c r="J268" s="4" t="n">
        <v>0</v>
      </c>
      <c r="K268" s="4" t="n">
        <v>20</v>
      </c>
      <c r="L268" s="4" t="n">
        <f aca="false">IF(O268="Delivered",I268-J268+K268,0)</f>
        <v>327</v>
      </c>
      <c r="M268" s="0" t="n">
        <v>37</v>
      </c>
      <c r="O268" s="3" t="s">
        <v>17</v>
      </c>
    </row>
    <row r="269" customFormat="false" ht="15" hidden="false" customHeight="false" outlineLevel="0" collapsed="false">
      <c r="A269" s="0" t="s">
        <v>1255</v>
      </c>
      <c r="B269" s="2" t="n">
        <v>45730</v>
      </c>
      <c r="C269" s="0" t="str">
        <f aca="false">TEXT(B269,"mmm")</f>
        <v>Mar</v>
      </c>
      <c r="D269" s="0" t="str">
        <f aca="false">TEXT(B269,"ddd")</f>
        <v>Fri</v>
      </c>
      <c r="E269" s="3" t="s">
        <v>51</v>
      </c>
      <c r="F269" s="3" t="s">
        <v>49</v>
      </c>
      <c r="G269" s="3" t="s">
        <v>21</v>
      </c>
      <c r="H269" s="3" t="s">
        <v>22</v>
      </c>
      <c r="I269" s="4" t="n">
        <v>353</v>
      </c>
      <c r="J269" s="4" t="n">
        <v>0</v>
      </c>
      <c r="K269" s="4" t="n">
        <v>40</v>
      </c>
      <c r="L269" s="4" t="n">
        <f aca="false">IF(O269="Delivered",I269-J269+K269,0)</f>
        <v>393</v>
      </c>
      <c r="M269" s="0" t="n">
        <v>29</v>
      </c>
      <c r="N269" s="0" t="n">
        <v>3.9</v>
      </c>
      <c r="O269" s="3" t="s">
        <v>17</v>
      </c>
    </row>
    <row r="270" customFormat="false" ht="15" hidden="false" customHeight="false" outlineLevel="0" collapsed="false">
      <c r="A270" s="0" t="s">
        <v>1323</v>
      </c>
      <c r="B270" s="2" t="n">
        <v>45730</v>
      </c>
      <c r="C270" s="0" t="str">
        <f aca="false">TEXT(B270,"mmm")</f>
        <v>Mar</v>
      </c>
      <c r="D270" s="0" t="str">
        <f aca="false">TEXT(B270,"ddd")</f>
        <v>Fri</v>
      </c>
      <c r="E270" s="3" t="s">
        <v>24</v>
      </c>
      <c r="F270" s="3" t="s">
        <v>56</v>
      </c>
      <c r="G270" s="3" t="s">
        <v>15</v>
      </c>
      <c r="H270" s="3" t="s">
        <v>36</v>
      </c>
      <c r="I270" s="4" t="n">
        <v>344</v>
      </c>
      <c r="J270" s="4" t="n">
        <v>0</v>
      </c>
      <c r="K270" s="4" t="n">
        <v>30</v>
      </c>
      <c r="L270" s="4" t="n">
        <f aca="false">IF(O270="Delivered",I270-J270+K270,0)</f>
        <v>374</v>
      </c>
      <c r="M270" s="0" t="n">
        <v>39</v>
      </c>
      <c r="N270" s="0" t="n">
        <v>4.4</v>
      </c>
      <c r="O270" s="3" t="s">
        <v>17</v>
      </c>
    </row>
    <row r="271" customFormat="false" ht="15" hidden="false" customHeight="false" outlineLevel="0" collapsed="false">
      <c r="A271" s="0" t="s">
        <v>1653</v>
      </c>
      <c r="B271" s="2" t="n">
        <v>45730</v>
      </c>
      <c r="C271" s="0" t="str">
        <f aca="false">TEXT(B271,"mmm")</f>
        <v>Mar</v>
      </c>
      <c r="D271" s="0" t="str">
        <f aca="false">TEXT(B271,"ddd")</f>
        <v>Fri</v>
      </c>
      <c r="E271" s="3" t="s">
        <v>40</v>
      </c>
      <c r="F271" s="3" t="s">
        <v>25</v>
      </c>
      <c r="G271" s="3" t="s">
        <v>21</v>
      </c>
      <c r="H271" s="3" t="s">
        <v>34</v>
      </c>
      <c r="I271" s="4" t="n">
        <v>354</v>
      </c>
      <c r="J271" s="4" t="n">
        <v>0</v>
      </c>
      <c r="K271" s="4" t="n">
        <v>30</v>
      </c>
      <c r="L271" s="4" t="n">
        <f aca="false">IF(O271="Delivered",I271-J271+K271,0)</f>
        <v>384</v>
      </c>
      <c r="M271" s="0" t="n">
        <v>40</v>
      </c>
      <c r="O271" s="3" t="s">
        <v>17</v>
      </c>
    </row>
    <row r="272" customFormat="false" ht="15" hidden="false" customHeight="false" outlineLevel="0" collapsed="false">
      <c r="A272" s="0" t="s">
        <v>188</v>
      </c>
      <c r="B272" s="2" t="n">
        <v>45731</v>
      </c>
      <c r="C272" s="0" t="str">
        <f aca="false">TEXT(B272,"mmm")</f>
        <v>Mar</v>
      </c>
      <c r="D272" s="0" t="str">
        <f aca="false">TEXT(B272,"ddd")</f>
        <v>Sat</v>
      </c>
      <c r="E272" s="3" t="s">
        <v>27</v>
      </c>
      <c r="F272" s="3" t="s">
        <v>56</v>
      </c>
      <c r="G272" s="3" t="s">
        <v>15</v>
      </c>
      <c r="H272" s="3" t="s">
        <v>22</v>
      </c>
      <c r="I272" s="4" t="n">
        <v>341</v>
      </c>
      <c r="J272" s="4" t="n">
        <v>67</v>
      </c>
      <c r="K272" s="4" t="n">
        <v>40</v>
      </c>
      <c r="L272" s="4" t="n">
        <f aca="false">IF(O272="Delivered",I272-J272+K272,0)</f>
        <v>314</v>
      </c>
      <c r="M272" s="0" t="n">
        <v>46</v>
      </c>
      <c r="N272" s="0" t="n">
        <v>4.1</v>
      </c>
      <c r="O272" s="3" t="s">
        <v>17</v>
      </c>
    </row>
    <row r="273" customFormat="false" ht="15" hidden="false" customHeight="false" outlineLevel="0" collapsed="false">
      <c r="A273" s="0" t="s">
        <v>439</v>
      </c>
      <c r="B273" s="2" t="n">
        <v>45731</v>
      </c>
      <c r="C273" s="0" t="str">
        <f aca="false">TEXT(B273,"mmm")</f>
        <v>Mar</v>
      </c>
      <c r="D273" s="0" t="str">
        <f aca="false">TEXT(B273,"ddd")</f>
        <v>Sat</v>
      </c>
      <c r="E273" s="3" t="s">
        <v>45</v>
      </c>
      <c r="F273" s="3" t="s">
        <v>31</v>
      </c>
      <c r="G273" s="3" t="s">
        <v>21</v>
      </c>
      <c r="H273" s="3" t="s">
        <v>54</v>
      </c>
      <c r="I273" s="4" t="n">
        <v>524</v>
      </c>
      <c r="J273" s="4" t="n">
        <v>0</v>
      </c>
      <c r="K273" s="4" t="n">
        <v>0</v>
      </c>
      <c r="L273" s="4" t="n">
        <f aca="false">IF(O273="Delivered",I273-J273+K273,0)</f>
        <v>524</v>
      </c>
      <c r="M273" s="0" t="n">
        <v>37</v>
      </c>
      <c r="N273" s="0" t="n">
        <v>4.3</v>
      </c>
      <c r="O273" s="3" t="s">
        <v>17</v>
      </c>
    </row>
    <row r="274" customFormat="false" ht="15" hidden="false" customHeight="false" outlineLevel="0" collapsed="false">
      <c r="A274" s="0" t="s">
        <v>1389</v>
      </c>
      <c r="B274" s="2" t="n">
        <v>45731</v>
      </c>
      <c r="C274" s="0" t="str">
        <f aca="false">TEXT(B274,"mmm")</f>
        <v>Mar</v>
      </c>
      <c r="D274" s="0" t="str">
        <f aca="false">TEXT(B274,"ddd")</f>
        <v>Sat</v>
      </c>
      <c r="E274" s="3" t="s">
        <v>40</v>
      </c>
      <c r="F274" s="3" t="s">
        <v>25</v>
      </c>
      <c r="G274" s="3" t="s">
        <v>21</v>
      </c>
      <c r="H274" s="3" t="s">
        <v>34</v>
      </c>
      <c r="I274" s="4" t="n">
        <v>506</v>
      </c>
      <c r="J274" s="4" t="n">
        <v>0</v>
      </c>
      <c r="K274" s="4" t="n">
        <v>0</v>
      </c>
      <c r="L274" s="4" t="n">
        <f aca="false">IF(O274="Delivered",I274-J274+K274,0)</f>
        <v>506</v>
      </c>
      <c r="M274" s="0" t="n">
        <v>37</v>
      </c>
      <c r="N274" s="0" t="n">
        <v>4.4</v>
      </c>
      <c r="O274" s="3" t="s">
        <v>17</v>
      </c>
    </row>
    <row r="275" customFormat="false" ht="15" hidden="false" customHeight="false" outlineLevel="0" collapsed="false">
      <c r="A275" s="0" t="s">
        <v>1435</v>
      </c>
      <c r="B275" s="2" t="n">
        <v>45731</v>
      </c>
      <c r="C275" s="0" t="str">
        <f aca="false">TEXT(B275,"mmm")</f>
        <v>Mar</v>
      </c>
      <c r="D275" s="0" t="str">
        <f aca="false">TEXT(B275,"ddd")</f>
        <v>Sat</v>
      </c>
      <c r="E275" s="3" t="s">
        <v>27</v>
      </c>
      <c r="F275" s="3" t="s">
        <v>56</v>
      </c>
      <c r="G275" s="3" t="s">
        <v>21</v>
      </c>
      <c r="H275" s="3" t="s">
        <v>22</v>
      </c>
      <c r="I275" s="4" t="n">
        <v>360</v>
      </c>
      <c r="J275" s="4" t="n">
        <v>0</v>
      </c>
      <c r="K275" s="4" t="n">
        <v>40</v>
      </c>
      <c r="L275" s="4" t="n">
        <f aca="false">IF(O275="Delivered",I275-J275+K275,0)</f>
        <v>400</v>
      </c>
      <c r="M275" s="0" t="n">
        <v>36</v>
      </c>
      <c r="N275" s="0" t="n">
        <v>3.5</v>
      </c>
      <c r="O275" s="3" t="s">
        <v>17</v>
      </c>
    </row>
    <row r="276" customFormat="false" ht="15" hidden="false" customHeight="false" outlineLevel="0" collapsed="false">
      <c r="A276" s="0" t="s">
        <v>345</v>
      </c>
      <c r="B276" s="2" t="n">
        <v>45732</v>
      </c>
      <c r="C276" s="0" t="str">
        <f aca="false">TEXT(B276,"mmm")</f>
        <v>Mar</v>
      </c>
      <c r="D276" s="0" t="str">
        <f aca="false">TEXT(B276,"ddd")</f>
        <v>Sun</v>
      </c>
      <c r="E276" s="3" t="s">
        <v>30</v>
      </c>
      <c r="F276" s="3" t="s">
        <v>20</v>
      </c>
      <c r="G276" s="3" t="s">
        <v>21</v>
      </c>
      <c r="H276" s="3" t="s">
        <v>22</v>
      </c>
      <c r="I276" s="4" t="n">
        <v>767</v>
      </c>
      <c r="J276" s="4" t="n">
        <v>83</v>
      </c>
      <c r="K276" s="4" t="n">
        <v>0</v>
      </c>
      <c r="L276" s="4" t="n">
        <f aca="false">IF(O276="Delivered",I276-J276+K276,0)</f>
        <v>684</v>
      </c>
      <c r="M276" s="0" t="n">
        <v>26</v>
      </c>
      <c r="N276" s="0" t="n">
        <v>4.4</v>
      </c>
      <c r="O276" s="3" t="s">
        <v>17</v>
      </c>
    </row>
    <row r="277" customFormat="false" ht="15" hidden="false" customHeight="false" outlineLevel="0" collapsed="false">
      <c r="A277" s="0" t="s">
        <v>551</v>
      </c>
      <c r="B277" s="2" t="n">
        <v>45732</v>
      </c>
      <c r="C277" s="0" t="str">
        <f aca="false">TEXT(B277,"mmm")</f>
        <v>Mar</v>
      </c>
      <c r="D277" s="0" t="str">
        <f aca="false">TEXT(B277,"ddd")</f>
        <v>Sun</v>
      </c>
      <c r="E277" s="3" t="s">
        <v>19</v>
      </c>
      <c r="F277" s="3" t="s">
        <v>31</v>
      </c>
      <c r="G277" s="3" t="s">
        <v>21</v>
      </c>
      <c r="H277" s="3" t="s">
        <v>22</v>
      </c>
      <c r="I277" s="4" t="n">
        <v>374</v>
      </c>
      <c r="J277" s="4" t="n">
        <v>0</v>
      </c>
      <c r="K277" s="4" t="n">
        <v>40</v>
      </c>
      <c r="L277" s="4" t="n">
        <f aca="false">IF(O277="Delivered",I277-J277+K277,0)</f>
        <v>414</v>
      </c>
      <c r="M277" s="0" t="n">
        <v>22</v>
      </c>
      <c r="N277" s="0" t="n">
        <v>4.1</v>
      </c>
      <c r="O277" s="3" t="s">
        <v>17</v>
      </c>
    </row>
    <row r="278" customFormat="false" ht="15" hidden="false" customHeight="false" outlineLevel="0" collapsed="false">
      <c r="A278" s="0" t="s">
        <v>624</v>
      </c>
      <c r="B278" s="2" t="n">
        <v>45732</v>
      </c>
      <c r="C278" s="0" t="str">
        <f aca="false">TEXT(B278,"mmm")</f>
        <v>Mar</v>
      </c>
      <c r="D278" s="0" t="str">
        <f aca="false">TEXT(B278,"ddd")</f>
        <v>Sun</v>
      </c>
      <c r="E278" s="3" t="s">
        <v>27</v>
      </c>
      <c r="F278" s="3" t="s">
        <v>28</v>
      </c>
      <c r="G278" s="3" t="s">
        <v>15</v>
      </c>
      <c r="H278" s="3" t="s">
        <v>16</v>
      </c>
      <c r="I278" s="4" t="n">
        <v>568</v>
      </c>
      <c r="J278" s="4" t="n">
        <v>63</v>
      </c>
      <c r="K278" s="4" t="n">
        <v>0</v>
      </c>
      <c r="L278" s="4" t="n">
        <f aca="false">IF(O278="Delivered",I278-J278+K278,0)</f>
        <v>505</v>
      </c>
      <c r="M278" s="0" t="n">
        <v>30</v>
      </c>
      <c r="N278" s="0" t="n">
        <v>3.9</v>
      </c>
      <c r="O278" s="3" t="s">
        <v>17</v>
      </c>
    </row>
    <row r="279" customFormat="false" ht="15" hidden="false" customHeight="false" outlineLevel="0" collapsed="false">
      <c r="A279" s="0" t="s">
        <v>942</v>
      </c>
      <c r="B279" s="2" t="n">
        <v>45732</v>
      </c>
      <c r="C279" s="0" t="str">
        <f aca="false">TEXT(B279,"mmm")</f>
        <v>Mar</v>
      </c>
      <c r="D279" s="0" t="str">
        <f aca="false">TEXT(B279,"ddd")</f>
        <v>Sun</v>
      </c>
      <c r="E279" s="3" t="s">
        <v>27</v>
      </c>
      <c r="F279" s="3" t="s">
        <v>20</v>
      </c>
      <c r="G279" s="3" t="s">
        <v>15</v>
      </c>
      <c r="H279" s="3" t="s">
        <v>54</v>
      </c>
      <c r="I279" s="4" t="n">
        <v>495</v>
      </c>
      <c r="J279" s="4" t="n">
        <v>117</v>
      </c>
      <c r="K279" s="4" t="n">
        <v>40</v>
      </c>
      <c r="L279" s="4" t="n">
        <f aca="false">IF(O279="Delivered",I279-J279+K279,0)</f>
        <v>418</v>
      </c>
      <c r="M279" s="0" t="n">
        <v>35</v>
      </c>
      <c r="N279" s="0" t="n">
        <v>3.6</v>
      </c>
      <c r="O279" s="3" t="s">
        <v>17</v>
      </c>
    </row>
    <row r="280" customFormat="false" ht="15" hidden="false" customHeight="false" outlineLevel="0" collapsed="false">
      <c r="A280" s="0" t="s">
        <v>169</v>
      </c>
      <c r="B280" s="2" t="n">
        <v>45733</v>
      </c>
      <c r="C280" s="0" t="str">
        <f aca="false">TEXT(B280,"mmm")</f>
        <v>Mar</v>
      </c>
      <c r="D280" s="0" t="str">
        <f aca="false">TEXT(B280,"ddd")</f>
        <v>Mon</v>
      </c>
      <c r="E280" s="3" t="s">
        <v>30</v>
      </c>
      <c r="F280" s="3" t="s">
        <v>56</v>
      </c>
      <c r="G280" s="3" t="s">
        <v>15</v>
      </c>
      <c r="H280" s="3" t="s">
        <v>22</v>
      </c>
      <c r="I280" s="4" t="n">
        <v>329</v>
      </c>
      <c r="J280" s="4" t="n">
        <v>64</v>
      </c>
      <c r="K280" s="4" t="n">
        <v>20</v>
      </c>
      <c r="L280" s="4" t="n">
        <f aca="false">IF(O280="Delivered",I280-J280+K280,0)</f>
        <v>285</v>
      </c>
      <c r="M280" s="0" t="n">
        <v>44</v>
      </c>
      <c r="N280" s="0" t="n">
        <v>4</v>
      </c>
      <c r="O280" s="3" t="s">
        <v>17</v>
      </c>
    </row>
    <row r="281" customFormat="false" ht="15" hidden="false" customHeight="false" outlineLevel="0" collapsed="false">
      <c r="A281" s="0" t="s">
        <v>1167</v>
      </c>
      <c r="B281" s="2" t="n">
        <v>45733</v>
      </c>
      <c r="C281" s="0" t="str">
        <f aca="false">TEXT(B281,"mmm")</f>
        <v>Mar</v>
      </c>
      <c r="D281" s="0" t="str">
        <f aca="false">TEXT(B281,"ddd")</f>
        <v>Mon</v>
      </c>
      <c r="E281" s="3" t="s">
        <v>30</v>
      </c>
      <c r="F281" s="3" t="s">
        <v>20</v>
      </c>
      <c r="G281" s="3" t="s">
        <v>21</v>
      </c>
      <c r="H281" s="3" t="s">
        <v>54</v>
      </c>
      <c r="I281" s="4" t="n">
        <v>673</v>
      </c>
      <c r="J281" s="4" t="n">
        <v>78</v>
      </c>
      <c r="K281" s="4" t="n">
        <v>0</v>
      </c>
      <c r="L281" s="4" t="n">
        <f aca="false">IF(O281="Delivered",I281-J281+K281,0)</f>
        <v>595</v>
      </c>
      <c r="M281" s="0" t="n">
        <v>37</v>
      </c>
      <c r="N281" s="0" t="n">
        <v>4.8</v>
      </c>
      <c r="O281" s="3" t="s">
        <v>17</v>
      </c>
    </row>
    <row r="282" customFormat="false" ht="15" hidden="false" customHeight="false" outlineLevel="0" collapsed="false">
      <c r="A282" s="0" t="s">
        <v>1280</v>
      </c>
      <c r="B282" s="2" t="n">
        <v>45733</v>
      </c>
      <c r="C282" s="0" t="str">
        <f aca="false">TEXT(B282,"mmm")</f>
        <v>Mar</v>
      </c>
      <c r="D282" s="0" t="str">
        <f aca="false">TEXT(B282,"ddd")</f>
        <v>Mon</v>
      </c>
      <c r="E282" s="3" t="s">
        <v>51</v>
      </c>
      <c r="F282" s="3" t="s">
        <v>56</v>
      </c>
      <c r="G282" s="3" t="s">
        <v>21</v>
      </c>
      <c r="H282" s="3" t="s">
        <v>36</v>
      </c>
      <c r="I282" s="4" t="n">
        <v>512</v>
      </c>
      <c r="J282" s="4" t="n">
        <v>52</v>
      </c>
      <c r="K282" s="4" t="n">
        <v>0</v>
      </c>
      <c r="L282" s="4" t="n">
        <f aca="false">IF(O282="Delivered",I282-J282+K282,0)</f>
        <v>460</v>
      </c>
      <c r="M282" s="0" t="n">
        <v>22</v>
      </c>
      <c r="N282" s="0" t="n">
        <v>4.5</v>
      </c>
      <c r="O282" s="3" t="s">
        <v>17</v>
      </c>
    </row>
    <row r="283" customFormat="false" ht="15" hidden="false" customHeight="false" outlineLevel="0" collapsed="false">
      <c r="A283" s="0" t="s">
        <v>1345</v>
      </c>
      <c r="B283" s="2" t="n">
        <v>45733</v>
      </c>
      <c r="C283" s="0" t="str">
        <f aca="false">TEXT(B283,"mmm")</f>
        <v>Mar</v>
      </c>
      <c r="D283" s="0" t="str">
        <f aca="false">TEXT(B283,"ddd")</f>
        <v>Mon</v>
      </c>
      <c r="E283" s="3" t="s">
        <v>27</v>
      </c>
      <c r="F283" s="3" t="s">
        <v>56</v>
      </c>
      <c r="G283" s="3" t="s">
        <v>21</v>
      </c>
      <c r="H283" s="3" t="s">
        <v>22</v>
      </c>
      <c r="I283" s="4" t="n">
        <v>300</v>
      </c>
      <c r="J283" s="4" t="n">
        <v>0</v>
      </c>
      <c r="K283" s="4" t="n">
        <v>20</v>
      </c>
      <c r="L283" s="4" t="n">
        <f aca="false">IF(O283="Delivered",I283-J283+K283,0)</f>
        <v>320</v>
      </c>
      <c r="M283" s="0" t="n">
        <v>38</v>
      </c>
      <c r="O283" s="3" t="s">
        <v>17</v>
      </c>
    </row>
    <row r="284" customFormat="false" ht="15" hidden="false" customHeight="false" outlineLevel="0" collapsed="false">
      <c r="A284" s="0" t="s">
        <v>1346</v>
      </c>
      <c r="B284" s="2" t="n">
        <v>45733</v>
      </c>
      <c r="C284" s="0" t="str">
        <f aca="false">TEXT(B284,"mmm")</f>
        <v>Mar</v>
      </c>
      <c r="D284" s="0" t="str">
        <f aca="false">TEXT(B284,"ddd")</f>
        <v>Mon</v>
      </c>
      <c r="E284" s="3" t="s">
        <v>24</v>
      </c>
      <c r="F284" s="3" t="s">
        <v>49</v>
      </c>
      <c r="G284" s="3" t="s">
        <v>21</v>
      </c>
      <c r="H284" s="3" t="s">
        <v>22</v>
      </c>
      <c r="I284" s="4" t="n">
        <v>604</v>
      </c>
      <c r="J284" s="4" t="n">
        <v>0</v>
      </c>
      <c r="K284" s="4" t="n">
        <v>0</v>
      </c>
      <c r="L284" s="4" t="n">
        <f aca="false">IF(O284="Delivered",I284-J284+K284,0)</f>
        <v>604</v>
      </c>
      <c r="M284" s="0" t="n">
        <v>33</v>
      </c>
      <c r="N284" s="0" t="n">
        <v>4</v>
      </c>
      <c r="O284" s="3" t="s">
        <v>17</v>
      </c>
    </row>
    <row r="285" customFormat="false" ht="15" hidden="false" customHeight="false" outlineLevel="0" collapsed="false">
      <c r="A285" s="0" t="s">
        <v>1404</v>
      </c>
      <c r="B285" s="2" t="n">
        <v>45733</v>
      </c>
      <c r="C285" s="0" t="str">
        <f aca="false">TEXT(B285,"mmm")</f>
        <v>Mar</v>
      </c>
      <c r="D285" s="0" t="str">
        <f aca="false">TEXT(B285,"ddd")</f>
        <v>Mon</v>
      </c>
      <c r="E285" s="3" t="s">
        <v>13</v>
      </c>
      <c r="F285" s="3" t="s">
        <v>20</v>
      </c>
      <c r="G285" s="3" t="s">
        <v>21</v>
      </c>
      <c r="H285" s="3" t="s">
        <v>16</v>
      </c>
      <c r="I285" s="4" t="n">
        <v>657</v>
      </c>
      <c r="J285" s="4" t="n">
        <v>152</v>
      </c>
      <c r="K285" s="4" t="n">
        <v>0</v>
      </c>
      <c r="L285" s="4" t="n">
        <f aca="false">IF(O285="Delivered",I285-J285+K285,0)</f>
        <v>505</v>
      </c>
      <c r="M285" s="0" t="n">
        <v>31</v>
      </c>
      <c r="N285" s="0" t="n">
        <v>4.9</v>
      </c>
      <c r="O285" s="3" t="s">
        <v>17</v>
      </c>
    </row>
    <row r="286" customFormat="false" ht="15" hidden="false" customHeight="false" outlineLevel="0" collapsed="false">
      <c r="A286" s="0" t="s">
        <v>262</v>
      </c>
      <c r="B286" s="2" t="n">
        <v>45734</v>
      </c>
      <c r="C286" s="0" t="str">
        <f aca="false">TEXT(B286,"mmm")</f>
        <v>Mar</v>
      </c>
      <c r="D286" s="0" t="str">
        <f aca="false">TEXT(B286,"ddd")</f>
        <v>Tue</v>
      </c>
      <c r="E286" s="3" t="s">
        <v>27</v>
      </c>
      <c r="F286" s="3" t="s">
        <v>56</v>
      </c>
      <c r="G286" s="3" t="s">
        <v>21</v>
      </c>
      <c r="H286" s="3" t="s">
        <v>22</v>
      </c>
      <c r="I286" s="4" t="n">
        <v>303</v>
      </c>
      <c r="J286" s="4" t="n">
        <v>31</v>
      </c>
      <c r="K286" s="4" t="n">
        <v>45</v>
      </c>
      <c r="L286" s="4" t="n">
        <f aca="false">IF(O286="Delivered",I286-J286+K286,0)</f>
        <v>317</v>
      </c>
      <c r="M286" s="0" t="n">
        <v>29</v>
      </c>
      <c r="O286" s="3" t="s">
        <v>17</v>
      </c>
    </row>
    <row r="287" customFormat="false" ht="15" hidden="false" customHeight="false" outlineLevel="0" collapsed="false">
      <c r="A287" s="0" t="s">
        <v>706</v>
      </c>
      <c r="B287" s="2" t="n">
        <v>45734</v>
      </c>
      <c r="C287" s="0" t="str">
        <f aca="false">TEXT(B287,"mmm")</f>
        <v>Mar</v>
      </c>
      <c r="D287" s="0" t="str">
        <f aca="false">TEXT(B287,"ddd")</f>
        <v>Tue</v>
      </c>
      <c r="E287" s="3" t="s">
        <v>24</v>
      </c>
      <c r="F287" s="3" t="s">
        <v>56</v>
      </c>
      <c r="G287" s="3" t="s">
        <v>21</v>
      </c>
      <c r="H287" s="3" t="s">
        <v>22</v>
      </c>
      <c r="I287" s="4" t="n">
        <v>385</v>
      </c>
      <c r="J287" s="4" t="n">
        <v>0</v>
      </c>
      <c r="K287" s="4" t="n">
        <v>45</v>
      </c>
      <c r="L287" s="4" t="n">
        <f aca="false">IF(O287="Delivered",I287-J287+K287,0)</f>
        <v>430</v>
      </c>
      <c r="M287" s="0" t="n">
        <v>39</v>
      </c>
      <c r="N287" s="0" t="n">
        <v>2.6</v>
      </c>
      <c r="O287" s="3" t="s">
        <v>17</v>
      </c>
    </row>
    <row r="288" customFormat="false" ht="15" hidden="false" customHeight="false" outlineLevel="0" collapsed="false">
      <c r="A288" s="0" t="s">
        <v>989</v>
      </c>
      <c r="B288" s="2" t="n">
        <v>45734</v>
      </c>
      <c r="C288" s="0" t="str">
        <f aca="false">TEXT(B288,"mmm")</f>
        <v>Mar</v>
      </c>
      <c r="D288" s="0" t="str">
        <f aca="false">TEXT(B288,"ddd")</f>
        <v>Tue</v>
      </c>
      <c r="E288" s="3" t="s">
        <v>40</v>
      </c>
      <c r="F288" s="3" t="s">
        <v>56</v>
      </c>
      <c r="G288" s="3" t="s">
        <v>21</v>
      </c>
      <c r="H288" s="3" t="s">
        <v>54</v>
      </c>
      <c r="I288" s="4" t="n">
        <v>290</v>
      </c>
      <c r="J288" s="4" t="n">
        <v>0</v>
      </c>
      <c r="K288" s="4" t="n">
        <v>20</v>
      </c>
      <c r="L288" s="4" t="n">
        <f aca="false">IF(O288="Delivered",I288-J288+K288,0)</f>
        <v>310</v>
      </c>
      <c r="M288" s="0" t="n">
        <v>43</v>
      </c>
      <c r="N288" s="0" t="n">
        <v>4.3</v>
      </c>
      <c r="O288" s="3" t="s">
        <v>17</v>
      </c>
    </row>
    <row r="289" customFormat="false" ht="15" hidden="false" customHeight="false" outlineLevel="0" collapsed="false">
      <c r="A289" s="0" t="s">
        <v>1088</v>
      </c>
      <c r="B289" s="2" t="n">
        <v>45734</v>
      </c>
      <c r="C289" s="0" t="str">
        <f aca="false">TEXT(B289,"mmm")</f>
        <v>Mar</v>
      </c>
      <c r="D289" s="0" t="str">
        <f aca="false">TEXT(B289,"ddd")</f>
        <v>Tue</v>
      </c>
      <c r="E289" s="3" t="s">
        <v>24</v>
      </c>
      <c r="F289" s="3" t="s">
        <v>31</v>
      </c>
      <c r="G289" s="3" t="s">
        <v>21</v>
      </c>
      <c r="H289" s="3" t="s">
        <v>16</v>
      </c>
      <c r="I289" s="4" t="n">
        <v>502</v>
      </c>
      <c r="J289" s="4" t="n">
        <v>57</v>
      </c>
      <c r="K289" s="4" t="n">
        <v>0</v>
      </c>
      <c r="L289" s="4" t="n">
        <f aca="false">IF(O289="Delivered",I289-J289+K289,0)</f>
        <v>445</v>
      </c>
      <c r="M289" s="0" t="n">
        <v>38</v>
      </c>
      <c r="N289" s="0" t="n">
        <v>3.9</v>
      </c>
      <c r="O289" s="3" t="s">
        <v>17</v>
      </c>
    </row>
    <row r="290" customFormat="false" ht="15" hidden="false" customHeight="false" outlineLevel="0" collapsed="false">
      <c r="A290" s="0" t="s">
        <v>357</v>
      </c>
      <c r="B290" s="2" t="n">
        <v>45735</v>
      </c>
      <c r="C290" s="0" t="str">
        <f aca="false">TEXT(B290,"mmm")</f>
        <v>Mar</v>
      </c>
      <c r="D290" s="0" t="str">
        <f aca="false">TEXT(B290,"ddd")</f>
        <v>Wed</v>
      </c>
      <c r="E290" s="3" t="s">
        <v>30</v>
      </c>
      <c r="F290" s="3" t="s">
        <v>31</v>
      </c>
      <c r="G290" s="3" t="s">
        <v>21</v>
      </c>
      <c r="H290" s="3" t="s">
        <v>22</v>
      </c>
      <c r="I290" s="4" t="n">
        <v>550</v>
      </c>
      <c r="J290" s="4" t="n">
        <v>0</v>
      </c>
      <c r="K290" s="4" t="n">
        <v>0</v>
      </c>
      <c r="L290" s="4" t="n">
        <f aca="false">IF(O290="Delivered",I290-J290+K290,0)</f>
        <v>550</v>
      </c>
      <c r="M290" s="0" t="n">
        <v>39</v>
      </c>
      <c r="O290" s="3" t="s">
        <v>17</v>
      </c>
    </row>
    <row r="291" customFormat="false" ht="15" hidden="false" customHeight="false" outlineLevel="0" collapsed="false">
      <c r="A291" s="0" t="s">
        <v>663</v>
      </c>
      <c r="B291" s="2" t="n">
        <v>45735</v>
      </c>
      <c r="C291" s="0" t="str">
        <f aca="false">TEXT(B291,"mmm")</f>
        <v>Mar</v>
      </c>
      <c r="D291" s="0" t="str">
        <f aca="false">TEXT(B291,"ddd")</f>
        <v>Wed</v>
      </c>
      <c r="E291" s="3" t="s">
        <v>27</v>
      </c>
      <c r="F291" s="3" t="s">
        <v>25</v>
      </c>
      <c r="G291" s="3" t="s">
        <v>21</v>
      </c>
      <c r="H291" s="3" t="s">
        <v>36</v>
      </c>
      <c r="I291" s="4" t="n">
        <v>574</v>
      </c>
      <c r="J291" s="4" t="n">
        <v>0</v>
      </c>
      <c r="K291" s="4" t="n">
        <v>0</v>
      </c>
      <c r="L291" s="4" t="n">
        <f aca="false">IF(O291="Delivered",I291-J291+K291,0)</f>
        <v>574</v>
      </c>
      <c r="M291" s="0" t="n">
        <v>27</v>
      </c>
      <c r="N291" s="0" t="n">
        <v>3.4</v>
      </c>
      <c r="O291" s="3" t="s">
        <v>17</v>
      </c>
    </row>
    <row r="292" customFormat="false" ht="15" hidden="false" customHeight="false" outlineLevel="0" collapsed="false">
      <c r="A292" s="0" t="s">
        <v>554</v>
      </c>
      <c r="B292" s="2" t="n">
        <v>45736</v>
      </c>
      <c r="C292" s="0" t="str">
        <f aca="false">TEXT(B292,"mmm")</f>
        <v>Mar</v>
      </c>
      <c r="D292" s="0" t="str">
        <f aca="false">TEXT(B292,"ddd")</f>
        <v>Thu</v>
      </c>
      <c r="E292" s="3" t="s">
        <v>19</v>
      </c>
      <c r="F292" s="3" t="s">
        <v>28</v>
      </c>
      <c r="G292" s="3" t="s">
        <v>15</v>
      </c>
      <c r="H292" s="3" t="s">
        <v>36</v>
      </c>
      <c r="I292" s="4" t="n">
        <v>301</v>
      </c>
      <c r="J292" s="4" t="n">
        <v>49</v>
      </c>
      <c r="K292" s="4" t="n">
        <v>30</v>
      </c>
      <c r="L292" s="4" t="n">
        <f aca="false">IF(O292="Delivered",I292-J292+K292,0)</f>
        <v>282</v>
      </c>
      <c r="M292" s="0" t="n">
        <v>41</v>
      </c>
      <c r="N292" s="0" t="n">
        <v>3.6</v>
      </c>
      <c r="O292" s="3" t="s">
        <v>17</v>
      </c>
    </row>
    <row r="293" customFormat="false" ht="15" hidden="false" customHeight="false" outlineLevel="0" collapsed="false">
      <c r="A293" s="0" t="s">
        <v>1645</v>
      </c>
      <c r="B293" s="2" t="n">
        <v>45736</v>
      </c>
      <c r="C293" s="0" t="str">
        <f aca="false">TEXT(B293,"mmm")</f>
        <v>Mar</v>
      </c>
      <c r="D293" s="0" t="str">
        <f aca="false">TEXT(B293,"ddd")</f>
        <v>Thu</v>
      </c>
      <c r="E293" s="3" t="s">
        <v>40</v>
      </c>
      <c r="F293" s="3" t="s">
        <v>25</v>
      </c>
      <c r="G293" s="3" t="s">
        <v>21</v>
      </c>
      <c r="H293" s="3" t="s">
        <v>22</v>
      </c>
      <c r="I293" s="4" t="n">
        <v>403</v>
      </c>
      <c r="J293" s="4" t="n">
        <v>0</v>
      </c>
      <c r="K293" s="4" t="n">
        <v>40</v>
      </c>
      <c r="L293" s="4" t="n">
        <f aca="false">IF(O293="Delivered",I293-J293+K293,0)</f>
        <v>443</v>
      </c>
      <c r="M293" s="0" t="n">
        <v>29</v>
      </c>
      <c r="N293" s="0" t="n">
        <v>4.8</v>
      </c>
      <c r="O293" s="3" t="s">
        <v>17</v>
      </c>
    </row>
    <row r="294" customFormat="false" ht="15" hidden="false" customHeight="false" outlineLevel="0" collapsed="false">
      <c r="A294" s="0" t="s">
        <v>844</v>
      </c>
      <c r="B294" s="2" t="n">
        <v>45737</v>
      </c>
      <c r="C294" s="0" t="str">
        <f aca="false">TEXT(B294,"mmm")</f>
        <v>Mar</v>
      </c>
      <c r="D294" s="0" t="str">
        <f aca="false">TEXT(B294,"ddd")</f>
        <v>Fri</v>
      </c>
      <c r="E294" s="3" t="s">
        <v>40</v>
      </c>
      <c r="F294" s="3" t="s">
        <v>14</v>
      </c>
      <c r="G294" s="3" t="s">
        <v>21</v>
      </c>
      <c r="H294" s="3" t="s">
        <v>36</v>
      </c>
      <c r="I294" s="4" t="n">
        <v>370</v>
      </c>
      <c r="J294" s="4" t="n">
        <v>0</v>
      </c>
      <c r="K294" s="4" t="n">
        <v>30</v>
      </c>
      <c r="L294" s="4" t="n">
        <f aca="false">IF(O294="Delivered",I294-J294+K294,0)</f>
        <v>400</v>
      </c>
      <c r="M294" s="0" t="n">
        <v>29</v>
      </c>
      <c r="N294" s="0" t="n">
        <v>5</v>
      </c>
      <c r="O294" s="3" t="s">
        <v>17</v>
      </c>
    </row>
    <row r="295" customFormat="false" ht="15" hidden="false" customHeight="false" outlineLevel="0" collapsed="false">
      <c r="A295" s="0" t="s">
        <v>1041</v>
      </c>
      <c r="B295" s="2" t="n">
        <v>45737</v>
      </c>
      <c r="C295" s="0" t="str">
        <f aca="false">TEXT(B295,"mmm")</f>
        <v>Mar</v>
      </c>
      <c r="D295" s="0" t="str">
        <f aca="false">TEXT(B295,"ddd")</f>
        <v>Fri</v>
      </c>
      <c r="E295" s="3" t="s">
        <v>40</v>
      </c>
      <c r="F295" s="3" t="s">
        <v>31</v>
      </c>
      <c r="G295" s="3" t="s">
        <v>21</v>
      </c>
      <c r="H295" s="3" t="s">
        <v>34</v>
      </c>
      <c r="I295" s="4" t="n">
        <v>560</v>
      </c>
      <c r="J295" s="4" t="n">
        <v>73</v>
      </c>
      <c r="K295" s="4" t="n">
        <v>0</v>
      </c>
      <c r="L295" s="4" t="n">
        <f aca="false">IF(O295="Delivered",I295-J295+K295,0)</f>
        <v>487</v>
      </c>
      <c r="M295" s="0" t="n">
        <v>23</v>
      </c>
      <c r="N295" s="0" t="n">
        <v>4.6</v>
      </c>
      <c r="O295" s="3" t="s">
        <v>17</v>
      </c>
    </row>
    <row r="296" customFormat="false" ht="15" hidden="false" customHeight="false" outlineLevel="0" collapsed="false">
      <c r="A296" s="0" t="s">
        <v>79</v>
      </c>
      <c r="B296" s="2" t="n">
        <v>45738</v>
      </c>
      <c r="C296" s="0" t="str">
        <f aca="false">TEXT(B296,"mmm")</f>
        <v>Mar</v>
      </c>
      <c r="D296" s="0" t="str">
        <f aca="false">TEXT(B296,"ddd")</f>
        <v>Sat</v>
      </c>
      <c r="E296" s="3" t="s">
        <v>27</v>
      </c>
      <c r="F296" s="3" t="s">
        <v>28</v>
      </c>
      <c r="G296" s="3" t="s">
        <v>15</v>
      </c>
      <c r="H296" s="3" t="s">
        <v>54</v>
      </c>
      <c r="I296" s="4" t="n">
        <v>312</v>
      </c>
      <c r="J296" s="4" t="n">
        <v>0</v>
      </c>
      <c r="K296" s="4" t="n">
        <v>30</v>
      </c>
      <c r="L296" s="4" t="n">
        <f aca="false">IF(O296="Delivered",I296-J296+K296,0)</f>
        <v>342</v>
      </c>
      <c r="M296" s="0" t="n">
        <v>49</v>
      </c>
      <c r="N296" s="0" t="n">
        <v>3.9</v>
      </c>
      <c r="O296" s="3" t="s">
        <v>17</v>
      </c>
    </row>
    <row r="297" customFormat="false" ht="15" hidden="false" customHeight="false" outlineLevel="0" collapsed="false">
      <c r="A297" s="0" t="s">
        <v>785</v>
      </c>
      <c r="B297" s="2" t="n">
        <v>45738</v>
      </c>
      <c r="C297" s="0" t="str">
        <f aca="false">TEXT(B297,"mmm")</f>
        <v>Mar</v>
      </c>
      <c r="D297" s="0" t="str">
        <f aca="false">TEXT(B297,"ddd")</f>
        <v>Sat</v>
      </c>
      <c r="E297" s="3" t="s">
        <v>24</v>
      </c>
      <c r="F297" s="3" t="s">
        <v>49</v>
      </c>
      <c r="G297" s="3" t="s">
        <v>15</v>
      </c>
      <c r="H297" s="3" t="s">
        <v>22</v>
      </c>
      <c r="I297" s="4" t="n">
        <v>735</v>
      </c>
      <c r="J297" s="4" t="n">
        <v>175</v>
      </c>
      <c r="K297" s="4" t="n">
        <v>0</v>
      </c>
      <c r="L297" s="4" t="n">
        <f aca="false">IF(O297="Delivered",I297-J297+K297,0)</f>
        <v>560</v>
      </c>
      <c r="M297" s="0" t="n">
        <v>21</v>
      </c>
      <c r="N297" s="0" t="n">
        <v>4.5</v>
      </c>
      <c r="O297" s="3" t="s">
        <v>17</v>
      </c>
    </row>
    <row r="298" customFormat="false" ht="15" hidden="false" customHeight="false" outlineLevel="0" collapsed="false">
      <c r="A298" s="0" t="s">
        <v>899</v>
      </c>
      <c r="B298" s="2" t="n">
        <v>45738</v>
      </c>
      <c r="C298" s="0" t="str">
        <f aca="false">TEXT(B298,"mmm")</f>
        <v>Mar</v>
      </c>
      <c r="D298" s="0" t="str">
        <f aca="false">TEXT(B298,"ddd")</f>
        <v>Sat</v>
      </c>
      <c r="E298" s="3" t="s">
        <v>13</v>
      </c>
      <c r="F298" s="3" t="s">
        <v>56</v>
      </c>
      <c r="G298" s="3" t="s">
        <v>15</v>
      </c>
      <c r="H298" s="3" t="s">
        <v>36</v>
      </c>
      <c r="I298" s="4" t="n">
        <v>355</v>
      </c>
      <c r="J298" s="4" t="n">
        <v>89</v>
      </c>
      <c r="K298" s="4" t="n">
        <v>45</v>
      </c>
      <c r="L298" s="4" t="n">
        <f aca="false">IF(O298="Delivered",I298-J298+K298,0)</f>
        <v>0</v>
      </c>
      <c r="O298" s="3" t="s">
        <v>68</v>
      </c>
    </row>
    <row r="299" customFormat="false" ht="15" hidden="false" customHeight="false" outlineLevel="0" collapsed="false">
      <c r="A299" s="0" t="s">
        <v>1129</v>
      </c>
      <c r="B299" s="2" t="n">
        <v>45738</v>
      </c>
      <c r="C299" s="0" t="str">
        <f aca="false">TEXT(B299,"mmm")</f>
        <v>Mar</v>
      </c>
      <c r="D299" s="0" t="str">
        <f aca="false">TEXT(B299,"ddd")</f>
        <v>Sat</v>
      </c>
      <c r="E299" s="3" t="s">
        <v>51</v>
      </c>
      <c r="F299" s="3" t="s">
        <v>20</v>
      </c>
      <c r="G299" s="3" t="s">
        <v>21</v>
      </c>
      <c r="H299" s="3" t="s">
        <v>36</v>
      </c>
      <c r="I299" s="4" t="n">
        <v>692</v>
      </c>
      <c r="J299" s="4" t="n">
        <v>0</v>
      </c>
      <c r="K299" s="4" t="n">
        <v>0</v>
      </c>
      <c r="L299" s="4" t="n">
        <f aca="false">IF(O299="Delivered",I299-J299+K299,0)</f>
        <v>692</v>
      </c>
      <c r="M299" s="0" t="n">
        <v>35</v>
      </c>
      <c r="N299" s="0" t="n">
        <v>5</v>
      </c>
      <c r="O299" s="3" t="s">
        <v>17</v>
      </c>
    </row>
    <row r="300" customFormat="false" ht="15" hidden="false" customHeight="false" outlineLevel="0" collapsed="false">
      <c r="A300" s="0" t="s">
        <v>1509</v>
      </c>
      <c r="B300" s="2" t="n">
        <v>45738</v>
      </c>
      <c r="C300" s="0" t="str">
        <f aca="false">TEXT(B300,"mmm")</f>
        <v>Mar</v>
      </c>
      <c r="D300" s="0" t="str">
        <f aca="false">TEXT(B300,"ddd")</f>
        <v>Sat</v>
      </c>
      <c r="E300" s="3" t="s">
        <v>13</v>
      </c>
      <c r="F300" s="3" t="s">
        <v>31</v>
      </c>
      <c r="G300" s="3" t="s">
        <v>21</v>
      </c>
      <c r="H300" s="3" t="s">
        <v>34</v>
      </c>
      <c r="I300" s="4" t="n">
        <v>596</v>
      </c>
      <c r="J300" s="4" t="n">
        <v>0</v>
      </c>
      <c r="K300" s="4" t="n">
        <v>0</v>
      </c>
      <c r="L300" s="4" t="n">
        <f aca="false">IF(O300="Delivered",I300-J300+K300,0)</f>
        <v>596</v>
      </c>
      <c r="M300" s="0" t="n">
        <v>38</v>
      </c>
      <c r="N300" s="0" t="n">
        <v>4.5</v>
      </c>
      <c r="O300" s="3" t="s">
        <v>17</v>
      </c>
    </row>
    <row r="301" customFormat="false" ht="15" hidden="false" customHeight="false" outlineLevel="0" collapsed="false">
      <c r="A301" s="0" t="s">
        <v>1543</v>
      </c>
      <c r="B301" s="2" t="n">
        <v>45738</v>
      </c>
      <c r="C301" s="0" t="str">
        <f aca="false">TEXT(B301,"mmm")</f>
        <v>Mar</v>
      </c>
      <c r="D301" s="0" t="str">
        <f aca="false">TEXT(B301,"ddd")</f>
        <v>Sat</v>
      </c>
      <c r="E301" s="3" t="s">
        <v>51</v>
      </c>
      <c r="F301" s="3" t="s">
        <v>31</v>
      </c>
      <c r="G301" s="3" t="s">
        <v>15</v>
      </c>
      <c r="H301" s="3" t="s">
        <v>54</v>
      </c>
      <c r="I301" s="4" t="n">
        <v>492</v>
      </c>
      <c r="J301" s="4" t="n">
        <v>70</v>
      </c>
      <c r="K301" s="4" t="n">
        <v>40</v>
      </c>
      <c r="L301" s="4" t="n">
        <f aca="false">IF(O301="Delivered",I301-J301+K301,0)</f>
        <v>462</v>
      </c>
      <c r="M301" s="0" t="n">
        <v>36</v>
      </c>
      <c r="N301" s="0" t="n">
        <v>4.4</v>
      </c>
      <c r="O301" s="3" t="s">
        <v>17</v>
      </c>
    </row>
    <row r="302" customFormat="false" ht="15" hidden="false" customHeight="false" outlineLevel="0" collapsed="false">
      <c r="A302" s="0" t="s">
        <v>1582</v>
      </c>
      <c r="B302" s="2" t="n">
        <v>45738</v>
      </c>
      <c r="C302" s="0" t="str">
        <f aca="false">TEXT(B302,"mmm")</f>
        <v>Mar</v>
      </c>
      <c r="D302" s="0" t="str">
        <f aca="false">TEXT(B302,"ddd")</f>
        <v>Sat</v>
      </c>
      <c r="E302" s="3" t="s">
        <v>24</v>
      </c>
      <c r="F302" s="3" t="s">
        <v>56</v>
      </c>
      <c r="G302" s="3" t="s">
        <v>21</v>
      </c>
      <c r="H302" s="3" t="s">
        <v>16</v>
      </c>
      <c r="I302" s="4" t="n">
        <v>324</v>
      </c>
      <c r="J302" s="4" t="n">
        <v>45</v>
      </c>
      <c r="K302" s="4" t="n">
        <v>20</v>
      </c>
      <c r="L302" s="4" t="n">
        <f aca="false">IF(O302="Delivered",I302-J302+K302,0)</f>
        <v>299</v>
      </c>
      <c r="M302" s="0" t="n">
        <v>39</v>
      </c>
      <c r="N302" s="0" t="n">
        <v>4.6</v>
      </c>
      <c r="O302" s="3" t="s">
        <v>17</v>
      </c>
    </row>
    <row r="303" customFormat="false" ht="15" hidden="false" customHeight="false" outlineLevel="0" collapsed="false">
      <c r="A303" s="0" t="s">
        <v>1655</v>
      </c>
      <c r="B303" s="2" t="n">
        <v>45738</v>
      </c>
      <c r="C303" s="0" t="str">
        <f aca="false">TEXT(B303,"mmm")</f>
        <v>Mar</v>
      </c>
      <c r="D303" s="0" t="str">
        <f aca="false">TEXT(B303,"ddd")</f>
        <v>Sat</v>
      </c>
      <c r="E303" s="3" t="s">
        <v>13</v>
      </c>
      <c r="F303" s="3" t="s">
        <v>25</v>
      </c>
      <c r="G303" s="3" t="s">
        <v>15</v>
      </c>
      <c r="H303" s="3" t="s">
        <v>36</v>
      </c>
      <c r="I303" s="4" t="n">
        <v>609</v>
      </c>
      <c r="J303" s="4" t="n">
        <v>0</v>
      </c>
      <c r="K303" s="4" t="n">
        <v>0</v>
      </c>
      <c r="L303" s="4" t="n">
        <f aca="false">IF(O303="Delivered",I303-J303+K303,0)</f>
        <v>609</v>
      </c>
      <c r="M303" s="0" t="n">
        <v>27</v>
      </c>
      <c r="N303" s="0" t="n">
        <v>5</v>
      </c>
      <c r="O303" s="3" t="s">
        <v>17</v>
      </c>
    </row>
    <row r="304" customFormat="false" ht="15" hidden="false" customHeight="false" outlineLevel="0" collapsed="false">
      <c r="A304" s="0" t="s">
        <v>708</v>
      </c>
      <c r="B304" s="2" t="n">
        <v>45739</v>
      </c>
      <c r="C304" s="0" t="str">
        <f aca="false">TEXT(B304,"mmm")</f>
        <v>Mar</v>
      </c>
      <c r="D304" s="0" t="str">
        <f aca="false">TEXT(B304,"ddd")</f>
        <v>Sun</v>
      </c>
      <c r="E304" s="3" t="s">
        <v>13</v>
      </c>
      <c r="F304" s="3" t="s">
        <v>28</v>
      </c>
      <c r="G304" s="3" t="s">
        <v>21</v>
      </c>
      <c r="H304" s="3" t="s">
        <v>36</v>
      </c>
      <c r="I304" s="4" t="n">
        <v>401</v>
      </c>
      <c r="J304" s="4" t="n">
        <v>0</v>
      </c>
      <c r="K304" s="4" t="n">
        <v>30</v>
      </c>
      <c r="L304" s="4" t="n">
        <f aca="false">IF(O304="Delivered",I304-J304+K304,0)</f>
        <v>431</v>
      </c>
      <c r="M304" s="0" t="n">
        <v>40</v>
      </c>
      <c r="N304" s="0" t="n">
        <v>3.7</v>
      </c>
      <c r="O304" s="3" t="s">
        <v>17</v>
      </c>
    </row>
    <row r="305" customFormat="false" ht="15" hidden="false" customHeight="false" outlineLevel="0" collapsed="false">
      <c r="A305" s="0" t="s">
        <v>1359</v>
      </c>
      <c r="B305" s="2" t="n">
        <v>45739</v>
      </c>
      <c r="C305" s="0" t="str">
        <f aca="false">TEXT(B305,"mmm")</f>
        <v>Mar</v>
      </c>
      <c r="D305" s="0" t="str">
        <f aca="false">TEXT(B305,"ddd")</f>
        <v>Sun</v>
      </c>
      <c r="E305" s="3" t="s">
        <v>40</v>
      </c>
      <c r="F305" s="3" t="s">
        <v>56</v>
      </c>
      <c r="G305" s="3" t="s">
        <v>15</v>
      </c>
      <c r="H305" s="3" t="s">
        <v>54</v>
      </c>
      <c r="I305" s="4" t="n">
        <v>309</v>
      </c>
      <c r="J305" s="4" t="n">
        <v>0</v>
      </c>
      <c r="K305" s="4" t="n">
        <v>45</v>
      </c>
      <c r="L305" s="4" t="n">
        <f aca="false">IF(O305="Delivered",I305-J305+K305,0)</f>
        <v>354</v>
      </c>
      <c r="M305" s="0" t="n">
        <v>53</v>
      </c>
      <c r="N305" s="0" t="n">
        <v>2.8</v>
      </c>
      <c r="O305" s="3" t="s">
        <v>17</v>
      </c>
    </row>
    <row r="306" customFormat="false" ht="15" hidden="false" customHeight="false" outlineLevel="0" collapsed="false">
      <c r="A306" s="0" t="s">
        <v>539</v>
      </c>
      <c r="B306" s="2" t="n">
        <v>45740</v>
      </c>
      <c r="C306" s="0" t="str">
        <f aca="false">TEXT(B306,"mmm")</f>
        <v>Mar</v>
      </c>
      <c r="D306" s="0" t="str">
        <f aca="false">TEXT(B306,"ddd")</f>
        <v>Mon</v>
      </c>
      <c r="E306" s="3" t="s">
        <v>40</v>
      </c>
      <c r="F306" s="3" t="s">
        <v>25</v>
      </c>
      <c r="G306" s="3" t="s">
        <v>21</v>
      </c>
      <c r="H306" s="3" t="s">
        <v>36</v>
      </c>
      <c r="I306" s="4" t="n">
        <v>458</v>
      </c>
      <c r="J306" s="4" t="n">
        <v>0</v>
      </c>
      <c r="K306" s="4" t="n">
        <v>30</v>
      </c>
      <c r="L306" s="4" t="n">
        <f aca="false">IF(O306="Delivered",I306-J306+K306,0)</f>
        <v>488</v>
      </c>
      <c r="M306" s="0" t="n">
        <v>44</v>
      </c>
      <c r="N306" s="0" t="n">
        <v>4.1</v>
      </c>
      <c r="O306" s="3" t="s">
        <v>17</v>
      </c>
    </row>
    <row r="307" customFormat="false" ht="15" hidden="false" customHeight="false" outlineLevel="0" collapsed="false">
      <c r="A307" s="0" t="s">
        <v>1265</v>
      </c>
      <c r="B307" s="2" t="n">
        <v>45740</v>
      </c>
      <c r="C307" s="0" t="str">
        <f aca="false">TEXT(B307,"mmm")</f>
        <v>Mar</v>
      </c>
      <c r="D307" s="0" t="str">
        <f aca="false">TEXT(B307,"ddd")</f>
        <v>Mon</v>
      </c>
      <c r="E307" s="3" t="s">
        <v>24</v>
      </c>
      <c r="F307" s="3" t="s">
        <v>56</v>
      </c>
      <c r="G307" s="3" t="s">
        <v>21</v>
      </c>
      <c r="H307" s="3" t="s">
        <v>22</v>
      </c>
      <c r="I307" s="4" t="n">
        <v>361</v>
      </c>
      <c r="J307" s="4" t="n">
        <v>0</v>
      </c>
      <c r="K307" s="4" t="n">
        <v>40</v>
      </c>
      <c r="L307" s="4" t="n">
        <f aca="false">IF(O307="Delivered",I307-J307+K307,0)</f>
        <v>401</v>
      </c>
      <c r="M307" s="0" t="n">
        <v>36</v>
      </c>
      <c r="N307" s="0" t="n">
        <v>4.5</v>
      </c>
      <c r="O307" s="3" t="s">
        <v>17</v>
      </c>
    </row>
    <row r="308" customFormat="false" ht="15" hidden="false" customHeight="false" outlineLevel="0" collapsed="false">
      <c r="A308" s="0" t="s">
        <v>1445</v>
      </c>
      <c r="B308" s="2" t="n">
        <v>45740</v>
      </c>
      <c r="C308" s="0" t="str">
        <f aca="false">TEXT(B308,"mmm")</f>
        <v>Mar</v>
      </c>
      <c r="D308" s="0" t="str">
        <f aca="false">TEXT(B308,"ddd")</f>
        <v>Mon</v>
      </c>
      <c r="E308" s="3" t="s">
        <v>13</v>
      </c>
      <c r="F308" s="3" t="s">
        <v>56</v>
      </c>
      <c r="G308" s="3" t="s">
        <v>21</v>
      </c>
      <c r="H308" s="3" t="s">
        <v>22</v>
      </c>
      <c r="I308" s="4" t="n">
        <v>484</v>
      </c>
      <c r="J308" s="4" t="n">
        <v>100</v>
      </c>
      <c r="K308" s="4" t="n">
        <v>45</v>
      </c>
      <c r="L308" s="4" t="n">
        <f aca="false">IF(O308="Delivered",I308-J308+K308,0)</f>
        <v>429</v>
      </c>
      <c r="M308" s="0" t="n">
        <v>32</v>
      </c>
      <c r="N308" s="0" t="n">
        <v>4.4</v>
      </c>
      <c r="O308" s="3" t="s">
        <v>17</v>
      </c>
    </row>
    <row r="309" customFormat="false" ht="15" hidden="false" customHeight="false" outlineLevel="0" collapsed="false">
      <c r="A309" s="0" t="s">
        <v>64</v>
      </c>
      <c r="B309" s="2" t="n">
        <v>45741</v>
      </c>
      <c r="C309" s="0" t="str">
        <f aca="false">TEXT(B309,"mmm")</f>
        <v>Mar</v>
      </c>
      <c r="D309" s="0" t="str">
        <f aca="false">TEXT(B309,"ddd")</f>
        <v>Tue</v>
      </c>
      <c r="E309" s="3" t="s">
        <v>40</v>
      </c>
      <c r="F309" s="3" t="s">
        <v>31</v>
      </c>
      <c r="G309" s="3" t="s">
        <v>21</v>
      </c>
      <c r="H309" s="3" t="s">
        <v>54</v>
      </c>
      <c r="I309" s="4" t="n">
        <v>455</v>
      </c>
      <c r="J309" s="4" t="n">
        <v>70</v>
      </c>
      <c r="K309" s="4" t="n">
        <v>30</v>
      </c>
      <c r="L309" s="4" t="n">
        <f aca="false">IF(O309="Delivered",I309-J309+K309,0)</f>
        <v>415</v>
      </c>
      <c r="M309" s="0" t="n">
        <v>45</v>
      </c>
      <c r="N309" s="0" t="n">
        <v>4.5</v>
      </c>
      <c r="O309" s="3" t="s">
        <v>17</v>
      </c>
    </row>
    <row r="310" customFormat="false" ht="15" hidden="false" customHeight="false" outlineLevel="0" collapsed="false">
      <c r="A310" s="0" t="s">
        <v>266</v>
      </c>
      <c r="B310" s="2" t="n">
        <v>45741</v>
      </c>
      <c r="C310" s="0" t="str">
        <f aca="false">TEXT(B310,"mmm")</f>
        <v>Mar</v>
      </c>
      <c r="D310" s="0" t="str">
        <f aca="false">TEXT(B310,"ddd")</f>
        <v>Tue</v>
      </c>
      <c r="E310" s="3" t="s">
        <v>19</v>
      </c>
      <c r="F310" s="3" t="s">
        <v>31</v>
      </c>
      <c r="G310" s="3" t="s">
        <v>21</v>
      </c>
      <c r="H310" s="3" t="s">
        <v>16</v>
      </c>
      <c r="I310" s="4" t="n">
        <v>570</v>
      </c>
      <c r="J310" s="4" t="n">
        <v>0</v>
      </c>
      <c r="K310" s="4" t="n">
        <v>0</v>
      </c>
      <c r="L310" s="4" t="n">
        <f aca="false">IF(O310="Delivered",I310-J310+K310,0)</f>
        <v>570</v>
      </c>
      <c r="M310" s="0" t="n">
        <v>23</v>
      </c>
      <c r="N310" s="0" t="n">
        <v>4.2</v>
      </c>
      <c r="O310" s="3" t="s">
        <v>17</v>
      </c>
    </row>
    <row r="311" customFormat="false" ht="15" hidden="false" customHeight="false" outlineLevel="0" collapsed="false">
      <c r="A311" s="0" t="s">
        <v>1397</v>
      </c>
      <c r="B311" s="2" t="n">
        <v>45741</v>
      </c>
      <c r="C311" s="0" t="str">
        <f aca="false">TEXT(B311,"mmm")</f>
        <v>Mar</v>
      </c>
      <c r="D311" s="0" t="str">
        <f aca="false">TEXT(B311,"ddd")</f>
        <v>Tue</v>
      </c>
      <c r="E311" s="3" t="s">
        <v>27</v>
      </c>
      <c r="F311" s="3" t="s">
        <v>28</v>
      </c>
      <c r="G311" s="3" t="s">
        <v>21</v>
      </c>
      <c r="H311" s="3" t="s">
        <v>22</v>
      </c>
      <c r="I311" s="4" t="n">
        <v>521</v>
      </c>
      <c r="J311" s="4" t="n">
        <v>59</v>
      </c>
      <c r="K311" s="4" t="n">
        <v>0</v>
      </c>
      <c r="L311" s="4" t="n">
        <f aca="false">IF(O311="Delivered",I311-J311+K311,0)</f>
        <v>462</v>
      </c>
      <c r="M311" s="0" t="n">
        <v>48</v>
      </c>
      <c r="O311" s="3" t="s">
        <v>17</v>
      </c>
    </row>
    <row r="312" customFormat="false" ht="15" hidden="false" customHeight="false" outlineLevel="0" collapsed="false">
      <c r="A312" s="0" t="s">
        <v>1625</v>
      </c>
      <c r="B312" s="2" t="n">
        <v>45741</v>
      </c>
      <c r="C312" s="0" t="str">
        <f aca="false">TEXT(B312,"mmm")</f>
        <v>Mar</v>
      </c>
      <c r="D312" s="0" t="str">
        <f aca="false">TEXT(B312,"ddd")</f>
        <v>Tue</v>
      </c>
      <c r="E312" s="3" t="s">
        <v>24</v>
      </c>
      <c r="F312" s="3" t="s">
        <v>31</v>
      </c>
      <c r="G312" s="3" t="s">
        <v>15</v>
      </c>
      <c r="H312" s="3" t="s">
        <v>22</v>
      </c>
      <c r="I312" s="4" t="n">
        <v>718</v>
      </c>
      <c r="J312" s="4" t="n">
        <v>0</v>
      </c>
      <c r="K312" s="4" t="n">
        <v>0</v>
      </c>
      <c r="L312" s="4" t="n">
        <f aca="false">IF(O312="Delivered",I312-J312+K312,0)</f>
        <v>718</v>
      </c>
      <c r="M312" s="0" t="n">
        <v>37</v>
      </c>
      <c r="N312" s="0" t="n">
        <v>4.2</v>
      </c>
      <c r="O312" s="3" t="s">
        <v>17</v>
      </c>
    </row>
    <row r="313" customFormat="false" ht="15" hidden="false" customHeight="false" outlineLevel="0" collapsed="false">
      <c r="A313" s="0" t="s">
        <v>512</v>
      </c>
      <c r="B313" s="2" t="n">
        <v>45742</v>
      </c>
      <c r="C313" s="0" t="str">
        <f aca="false">TEXT(B313,"mmm")</f>
        <v>Mar</v>
      </c>
      <c r="D313" s="0" t="str">
        <f aca="false">TEXT(B313,"ddd")</f>
        <v>Wed</v>
      </c>
      <c r="E313" s="3" t="s">
        <v>27</v>
      </c>
      <c r="F313" s="3" t="s">
        <v>31</v>
      </c>
      <c r="G313" s="3" t="s">
        <v>21</v>
      </c>
      <c r="H313" s="3" t="s">
        <v>54</v>
      </c>
      <c r="I313" s="4" t="n">
        <v>514</v>
      </c>
      <c r="J313" s="4" t="n">
        <v>0</v>
      </c>
      <c r="K313" s="4" t="n">
        <v>0</v>
      </c>
      <c r="L313" s="4" t="n">
        <f aca="false">IF(O313="Delivered",I313-J313+K313,0)</f>
        <v>514</v>
      </c>
      <c r="M313" s="0" t="n">
        <v>51</v>
      </c>
      <c r="N313" s="0" t="n">
        <v>3.8</v>
      </c>
      <c r="O313" s="3" t="s">
        <v>17</v>
      </c>
    </row>
    <row r="314" customFormat="false" ht="15" hidden="false" customHeight="false" outlineLevel="0" collapsed="false">
      <c r="A314" s="0" t="s">
        <v>1026</v>
      </c>
      <c r="B314" s="2" t="n">
        <v>45742</v>
      </c>
      <c r="C314" s="0" t="str">
        <f aca="false">TEXT(B314,"mmm")</f>
        <v>Mar</v>
      </c>
      <c r="D314" s="0" t="str">
        <f aca="false">TEXT(B314,"ddd")</f>
        <v>Wed</v>
      </c>
      <c r="E314" s="3" t="s">
        <v>40</v>
      </c>
      <c r="F314" s="3" t="s">
        <v>78</v>
      </c>
      <c r="G314" s="3" t="s">
        <v>15</v>
      </c>
      <c r="H314" s="3" t="s">
        <v>54</v>
      </c>
      <c r="I314" s="4" t="n">
        <v>387</v>
      </c>
      <c r="J314" s="4" t="n">
        <v>0</v>
      </c>
      <c r="K314" s="4" t="n">
        <v>40</v>
      </c>
      <c r="L314" s="4" t="n">
        <f aca="false">IF(O314="Delivered",I314-J314+K314,0)</f>
        <v>427</v>
      </c>
      <c r="M314" s="0" t="n">
        <v>38</v>
      </c>
      <c r="N314" s="0" t="n">
        <v>4.5</v>
      </c>
      <c r="O314" s="3" t="s">
        <v>17</v>
      </c>
    </row>
    <row r="315" customFormat="false" ht="15" hidden="false" customHeight="false" outlineLevel="0" collapsed="false">
      <c r="A315" s="0" t="s">
        <v>1199</v>
      </c>
      <c r="B315" s="2" t="n">
        <v>45742</v>
      </c>
      <c r="C315" s="0" t="str">
        <f aca="false">TEXT(B315,"mmm")</f>
        <v>Mar</v>
      </c>
      <c r="D315" s="0" t="str">
        <f aca="false">TEXT(B315,"ddd")</f>
        <v>Wed</v>
      </c>
      <c r="E315" s="3" t="s">
        <v>19</v>
      </c>
      <c r="F315" s="3" t="s">
        <v>25</v>
      </c>
      <c r="G315" s="3" t="s">
        <v>21</v>
      </c>
      <c r="H315" s="3" t="s">
        <v>22</v>
      </c>
      <c r="I315" s="4" t="n">
        <v>445</v>
      </c>
      <c r="J315" s="4" t="n">
        <v>111</v>
      </c>
      <c r="K315" s="4" t="n">
        <v>40</v>
      </c>
      <c r="L315" s="4" t="n">
        <f aca="false">IF(O315="Delivered",I315-J315+K315,0)</f>
        <v>0</v>
      </c>
      <c r="O315" s="3" t="s">
        <v>68</v>
      </c>
    </row>
    <row r="316" customFormat="false" ht="15" hidden="false" customHeight="false" outlineLevel="0" collapsed="false">
      <c r="A316" s="0" t="s">
        <v>96</v>
      </c>
      <c r="B316" s="2" t="n">
        <v>45743</v>
      </c>
      <c r="C316" s="0" t="str">
        <f aca="false">TEXT(B316,"mmm")</f>
        <v>Mar</v>
      </c>
      <c r="D316" s="0" t="str">
        <f aca="false">TEXT(B316,"ddd")</f>
        <v>Thu</v>
      </c>
      <c r="E316" s="3" t="s">
        <v>40</v>
      </c>
      <c r="F316" s="3" t="s">
        <v>14</v>
      </c>
      <c r="G316" s="3" t="s">
        <v>15</v>
      </c>
      <c r="H316" s="3" t="s">
        <v>16</v>
      </c>
      <c r="I316" s="4" t="n">
        <v>399</v>
      </c>
      <c r="J316" s="4" t="n">
        <v>70</v>
      </c>
      <c r="K316" s="4" t="n">
        <v>45</v>
      </c>
      <c r="L316" s="4" t="n">
        <f aca="false">IF(O316="Delivered",I316-J316+K316,0)</f>
        <v>374</v>
      </c>
      <c r="M316" s="0" t="n">
        <v>39</v>
      </c>
      <c r="N316" s="0" t="n">
        <v>4.2</v>
      </c>
      <c r="O316" s="3" t="s">
        <v>17</v>
      </c>
    </row>
    <row r="317" customFormat="false" ht="15" hidden="false" customHeight="false" outlineLevel="0" collapsed="false">
      <c r="A317" s="0" t="s">
        <v>282</v>
      </c>
      <c r="B317" s="2" t="n">
        <v>45743</v>
      </c>
      <c r="C317" s="0" t="str">
        <f aca="false">TEXT(B317,"mmm")</f>
        <v>Mar</v>
      </c>
      <c r="D317" s="0" t="str">
        <f aca="false">TEXT(B317,"ddd")</f>
        <v>Thu</v>
      </c>
      <c r="E317" s="3" t="s">
        <v>19</v>
      </c>
      <c r="F317" s="3" t="s">
        <v>14</v>
      </c>
      <c r="G317" s="3" t="s">
        <v>21</v>
      </c>
      <c r="H317" s="3" t="s">
        <v>22</v>
      </c>
      <c r="I317" s="4" t="n">
        <v>437</v>
      </c>
      <c r="J317" s="4" t="n">
        <v>86</v>
      </c>
      <c r="K317" s="4" t="n">
        <v>20</v>
      </c>
      <c r="L317" s="4" t="n">
        <f aca="false">IF(O317="Delivered",I317-J317+K317,0)</f>
        <v>371</v>
      </c>
      <c r="M317" s="0" t="n">
        <v>25</v>
      </c>
      <c r="N317" s="0" t="n">
        <v>5</v>
      </c>
      <c r="O317" s="3" t="s">
        <v>17</v>
      </c>
    </row>
    <row r="318" customFormat="false" ht="15" hidden="false" customHeight="false" outlineLevel="0" collapsed="false">
      <c r="A318" s="0" t="s">
        <v>990</v>
      </c>
      <c r="B318" s="2" t="n">
        <v>45743</v>
      </c>
      <c r="C318" s="0" t="str">
        <f aca="false">TEXT(B318,"mmm")</f>
        <v>Mar</v>
      </c>
      <c r="D318" s="0" t="str">
        <f aca="false">TEXT(B318,"ddd")</f>
        <v>Thu</v>
      </c>
      <c r="E318" s="3" t="s">
        <v>45</v>
      </c>
      <c r="F318" s="3" t="s">
        <v>25</v>
      </c>
      <c r="G318" s="3" t="s">
        <v>21</v>
      </c>
      <c r="H318" s="3" t="s">
        <v>22</v>
      </c>
      <c r="I318" s="4" t="n">
        <v>533</v>
      </c>
      <c r="J318" s="4" t="n">
        <v>0</v>
      </c>
      <c r="K318" s="4" t="n">
        <v>0</v>
      </c>
      <c r="L318" s="4" t="n">
        <f aca="false">IF(O318="Delivered",I318-J318+K318,0)</f>
        <v>533</v>
      </c>
      <c r="M318" s="0" t="n">
        <v>28</v>
      </c>
      <c r="N318" s="0" t="n">
        <v>5</v>
      </c>
      <c r="O318" s="3" t="s">
        <v>17</v>
      </c>
    </row>
    <row r="319" customFormat="false" ht="15" hidden="false" customHeight="false" outlineLevel="0" collapsed="false">
      <c r="A319" s="0" t="s">
        <v>166</v>
      </c>
      <c r="B319" s="2" t="n">
        <v>45744</v>
      </c>
      <c r="C319" s="0" t="str">
        <f aca="false">TEXT(B319,"mmm")</f>
        <v>Mar</v>
      </c>
      <c r="D319" s="0" t="str">
        <f aca="false">TEXT(B319,"ddd")</f>
        <v>Fri</v>
      </c>
      <c r="E319" s="3" t="s">
        <v>30</v>
      </c>
      <c r="F319" s="3" t="s">
        <v>25</v>
      </c>
      <c r="G319" s="3" t="s">
        <v>15</v>
      </c>
      <c r="H319" s="3" t="s">
        <v>22</v>
      </c>
      <c r="I319" s="4" t="n">
        <v>451</v>
      </c>
      <c r="J319" s="4" t="n">
        <v>76</v>
      </c>
      <c r="K319" s="4" t="n">
        <v>20</v>
      </c>
      <c r="L319" s="4" t="n">
        <f aca="false">IF(O319="Delivered",I319-J319+K319,0)</f>
        <v>395</v>
      </c>
      <c r="M319" s="0" t="n">
        <v>22</v>
      </c>
      <c r="O319" s="3" t="s">
        <v>17</v>
      </c>
    </row>
    <row r="320" customFormat="false" ht="15" hidden="false" customHeight="false" outlineLevel="0" collapsed="false">
      <c r="A320" s="0" t="s">
        <v>415</v>
      </c>
      <c r="B320" s="2" t="n">
        <v>45744</v>
      </c>
      <c r="C320" s="0" t="str">
        <f aca="false">TEXT(B320,"mmm")</f>
        <v>Mar</v>
      </c>
      <c r="D320" s="0" t="str">
        <f aca="false">TEXT(B320,"ddd")</f>
        <v>Fri</v>
      </c>
      <c r="E320" s="3" t="s">
        <v>19</v>
      </c>
      <c r="F320" s="3" t="s">
        <v>25</v>
      </c>
      <c r="G320" s="3" t="s">
        <v>15</v>
      </c>
      <c r="H320" s="3" t="s">
        <v>54</v>
      </c>
      <c r="I320" s="4" t="n">
        <v>403</v>
      </c>
      <c r="J320" s="4" t="n">
        <v>86</v>
      </c>
      <c r="K320" s="4" t="n">
        <v>45</v>
      </c>
      <c r="L320" s="4" t="n">
        <f aca="false">IF(O320="Delivered",I320-J320+K320,0)</f>
        <v>362</v>
      </c>
      <c r="M320" s="0" t="n">
        <v>25</v>
      </c>
      <c r="N320" s="0" t="n">
        <v>5</v>
      </c>
      <c r="O320" s="3" t="s">
        <v>17</v>
      </c>
    </row>
    <row r="321" customFormat="false" ht="15" hidden="false" customHeight="false" outlineLevel="0" collapsed="false">
      <c r="A321" s="0" t="s">
        <v>530</v>
      </c>
      <c r="B321" s="2" t="n">
        <v>45744</v>
      </c>
      <c r="C321" s="0" t="str">
        <f aca="false">TEXT(B321,"mmm")</f>
        <v>Mar</v>
      </c>
      <c r="D321" s="0" t="str">
        <f aca="false">TEXT(B321,"ddd")</f>
        <v>Fri</v>
      </c>
      <c r="E321" s="3" t="s">
        <v>40</v>
      </c>
      <c r="F321" s="3" t="s">
        <v>20</v>
      </c>
      <c r="G321" s="3" t="s">
        <v>15</v>
      </c>
      <c r="H321" s="3" t="s">
        <v>22</v>
      </c>
      <c r="I321" s="4" t="n">
        <v>749</v>
      </c>
      <c r="J321" s="4" t="n">
        <v>169</v>
      </c>
      <c r="K321" s="4" t="n">
        <v>0</v>
      </c>
      <c r="L321" s="4" t="n">
        <f aca="false">IF(O321="Delivered",I321-J321+K321,0)</f>
        <v>580</v>
      </c>
      <c r="M321" s="0" t="n">
        <v>44</v>
      </c>
      <c r="N321" s="0" t="n">
        <v>4.4</v>
      </c>
      <c r="O321" s="3" t="s">
        <v>17</v>
      </c>
    </row>
    <row r="322" customFormat="false" ht="15" hidden="false" customHeight="false" outlineLevel="0" collapsed="false">
      <c r="A322" s="0" t="s">
        <v>806</v>
      </c>
      <c r="B322" s="2" t="n">
        <v>45744</v>
      </c>
      <c r="C322" s="0" t="str">
        <f aca="false">TEXT(B322,"mmm")</f>
        <v>Mar</v>
      </c>
      <c r="D322" s="0" t="str">
        <f aca="false">TEXT(B322,"ddd")</f>
        <v>Fri</v>
      </c>
      <c r="E322" s="3" t="s">
        <v>19</v>
      </c>
      <c r="F322" s="3" t="s">
        <v>31</v>
      </c>
      <c r="G322" s="3" t="s">
        <v>21</v>
      </c>
      <c r="H322" s="3" t="s">
        <v>54</v>
      </c>
      <c r="I322" s="4" t="n">
        <v>599</v>
      </c>
      <c r="J322" s="4" t="n">
        <v>0</v>
      </c>
      <c r="K322" s="4" t="n">
        <v>0</v>
      </c>
      <c r="L322" s="4" t="n">
        <f aca="false">IF(O322="Delivered",I322-J322+K322,0)</f>
        <v>599</v>
      </c>
      <c r="M322" s="0" t="n">
        <v>32</v>
      </c>
      <c r="N322" s="0" t="n">
        <v>3.8</v>
      </c>
      <c r="O322" s="3" t="s">
        <v>17</v>
      </c>
    </row>
    <row r="323" customFormat="false" ht="15" hidden="false" customHeight="false" outlineLevel="0" collapsed="false">
      <c r="A323" s="0" t="s">
        <v>1040</v>
      </c>
      <c r="B323" s="2" t="n">
        <v>45744</v>
      </c>
      <c r="C323" s="0" t="str">
        <f aca="false">TEXT(B323,"mmm")</f>
        <v>Mar</v>
      </c>
      <c r="D323" s="0" t="str">
        <f aca="false">TEXT(B323,"ddd")</f>
        <v>Fri</v>
      </c>
      <c r="E323" s="3" t="s">
        <v>40</v>
      </c>
      <c r="F323" s="3" t="s">
        <v>56</v>
      </c>
      <c r="G323" s="3" t="s">
        <v>15</v>
      </c>
      <c r="H323" s="3" t="s">
        <v>22</v>
      </c>
      <c r="I323" s="4" t="n">
        <v>432</v>
      </c>
      <c r="J323" s="4" t="n">
        <v>0</v>
      </c>
      <c r="K323" s="4" t="n">
        <v>20</v>
      </c>
      <c r="L323" s="4" t="n">
        <f aca="false">IF(O323="Delivered",I323-J323+K323,0)</f>
        <v>452</v>
      </c>
      <c r="M323" s="0" t="n">
        <v>28</v>
      </c>
      <c r="N323" s="0" t="n">
        <v>4</v>
      </c>
      <c r="O323" s="3" t="s">
        <v>17</v>
      </c>
    </row>
    <row r="324" customFormat="false" ht="15" hidden="false" customHeight="false" outlineLevel="0" collapsed="false">
      <c r="A324" s="0" t="s">
        <v>1211</v>
      </c>
      <c r="B324" s="2" t="n">
        <v>45744</v>
      </c>
      <c r="C324" s="0" t="str">
        <f aca="false">TEXT(B324,"mmm")</f>
        <v>Mar</v>
      </c>
      <c r="D324" s="0" t="str">
        <f aca="false">TEXT(B324,"ddd")</f>
        <v>Fri</v>
      </c>
      <c r="E324" s="3" t="s">
        <v>24</v>
      </c>
      <c r="F324" s="3" t="s">
        <v>78</v>
      </c>
      <c r="G324" s="3" t="s">
        <v>15</v>
      </c>
      <c r="H324" s="3" t="s">
        <v>22</v>
      </c>
      <c r="I324" s="4" t="n">
        <v>252</v>
      </c>
      <c r="J324" s="4" t="n">
        <v>57</v>
      </c>
      <c r="K324" s="4" t="n">
        <v>30</v>
      </c>
      <c r="L324" s="4" t="n">
        <f aca="false">IF(O324="Delivered",I324-J324+K324,0)</f>
        <v>225</v>
      </c>
      <c r="M324" s="0" t="n">
        <v>34</v>
      </c>
      <c r="N324" s="0" t="n">
        <v>3.8</v>
      </c>
      <c r="O324" s="3" t="s">
        <v>17</v>
      </c>
    </row>
    <row r="325" customFormat="false" ht="15" hidden="false" customHeight="false" outlineLevel="0" collapsed="false">
      <c r="A325" s="0" t="s">
        <v>1631</v>
      </c>
      <c r="B325" s="2" t="n">
        <v>45744</v>
      </c>
      <c r="C325" s="0" t="str">
        <f aca="false">TEXT(B325,"mmm")</f>
        <v>Mar</v>
      </c>
      <c r="D325" s="0" t="str">
        <f aca="false">TEXT(B325,"ddd")</f>
        <v>Fri</v>
      </c>
      <c r="E325" s="3" t="s">
        <v>45</v>
      </c>
      <c r="F325" s="3" t="s">
        <v>31</v>
      </c>
      <c r="G325" s="3" t="s">
        <v>21</v>
      </c>
      <c r="H325" s="3" t="s">
        <v>16</v>
      </c>
      <c r="I325" s="4" t="n">
        <v>461</v>
      </c>
      <c r="J325" s="4" t="n">
        <v>83</v>
      </c>
      <c r="K325" s="4" t="n">
        <v>30</v>
      </c>
      <c r="L325" s="4" t="n">
        <f aca="false">IF(O325="Delivered",I325-J325+K325,0)</f>
        <v>408</v>
      </c>
      <c r="M325" s="0" t="n">
        <v>19</v>
      </c>
      <c r="N325" s="0" t="n">
        <v>5</v>
      </c>
      <c r="O325" s="3" t="s">
        <v>17</v>
      </c>
    </row>
    <row r="326" customFormat="false" ht="15" hidden="false" customHeight="false" outlineLevel="0" collapsed="false">
      <c r="A326" s="0" t="s">
        <v>1010</v>
      </c>
      <c r="B326" s="2" t="n">
        <v>45745</v>
      </c>
      <c r="C326" s="0" t="str">
        <f aca="false">TEXT(B326,"mmm")</f>
        <v>Mar</v>
      </c>
      <c r="D326" s="0" t="str">
        <f aca="false">TEXT(B326,"ddd")</f>
        <v>Sat</v>
      </c>
      <c r="E326" s="3" t="s">
        <v>27</v>
      </c>
      <c r="F326" s="3" t="s">
        <v>56</v>
      </c>
      <c r="G326" s="3" t="s">
        <v>15</v>
      </c>
      <c r="H326" s="3" t="s">
        <v>16</v>
      </c>
      <c r="I326" s="4" t="n">
        <v>386</v>
      </c>
      <c r="J326" s="4" t="n">
        <v>0</v>
      </c>
      <c r="K326" s="4" t="n">
        <v>40</v>
      </c>
      <c r="L326" s="4" t="n">
        <f aca="false">IF(O326="Delivered",I326-J326+K326,0)</f>
        <v>426</v>
      </c>
      <c r="M326" s="0" t="n">
        <v>45</v>
      </c>
      <c r="N326" s="0" t="n">
        <v>3.3</v>
      </c>
      <c r="O326" s="3" t="s">
        <v>17</v>
      </c>
    </row>
    <row r="327" customFormat="false" ht="15" hidden="false" customHeight="false" outlineLevel="0" collapsed="false">
      <c r="A327" s="0" t="s">
        <v>1415</v>
      </c>
      <c r="B327" s="2" t="n">
        <v>45745</v>
      </c>
      <c r="C327" s="0" t="str">
        <f aca="false">TEXT(B327,"mmm")</f>
        <v>Mar</v>
      </c>
      <c r="D327" s="0" t="str">
        <f aca="false">TEXT(B327,"ddd")</f>
        <v>Sat</v>
      </c>
      <c r="E327" s="3" t="s">
        <v>40</v>
      </c>
      <c r="F327" s="3" t="s">
        <v>31</v>
      </c>
      <c r="G327" s="3" t="s">
        <v>21</v>
      </c>
      <c r="H327" s="3" t="s">
        <v>22</v>
      </c>
      <c r="I327" s="4" t="n">
        <v>441</v>
      </c>
      <c r="J327" s="4" t="n">
        <v>0</v>
      </c>
      <c r="K327" s="4" t="n">
        <v>40</v>
      </c>
      <c r="L327" s="4" t="n">
        <f aca="false">IF(O327="Delivered",I327-J327+K327,0)</f>
        <v>0</v>
      </c>
      <c r="O327" s="3" t="s">
        <v>68</v>
      </c>
    </row>
    <row r="328" customFormat="false" ht="15" hidden="false" customHeight="false" outlineLevel="0" collapsed="false">
      <c r="A328" s="0" t="s">
        <v>1615</v>
      </c>
      <c r="B328" s="2" t="n">
        <v>45745</v>
      </c>
      <c r="C328" s="0" t="str">
        <f aca="false">TEXT(B328,"mmm")</f>
        <v>Mar</v>
      </c>
      <c r="D328" s="0" t="str">
        <f aca="false">TEXT(B328,"ddd")</f>
        <v>Sat</v>
      </c>
      <c r="E328" s="3" t="s">
        <v>13</v>
      </c>
      <c r="F328" s="3" t="s">
        <v>20</v>
      </c>
      <c r="G328" s="3" t="s">
        <v>15</v>
      </c>
      <c r="H328" s="3" t="s">
        <v>22</v>
      </c>
      <c r="I328" s="4" t="n">
        <v>676</v>
      </c>
      <c r="J328" s="4" t="n">
        <v>80</v>
      </c>
      <c r="K328" s="4" t="n">
        <v>0</v>
      </c>
      <c r="L328" s="4" t="n">
        <f aca="false">IF(O328="Delivered",I328-J328+K328,0)</f>
        <v>596</v>
      </c>
      <c r="M328" s="0" t="n">
        <v>37</v>
      </c>
      <c r="N328" s="0" t="n">
        <v>4.4</v>
      </c>
      <c r="O328" s="3" t="s">
        <v>17</v>
      </c>
    </row>
    <row r="329" customFormat="false" ht="15" hidden="false" customHeight="false" outlineLevel="0" collapsed="false">
      <c r="A329" s="0" t="s">
        <v>644</v>
      </c>
      <c r="B329" s="2" t="n">
        <v>45746</v>
      </c>
      <c r="C329" s="0" t="str">
        <f aca="false">TEXT(B329,"mmm")</f>
        <v>Mar</v>
      </c>
      <c r="D329" s="0" t="str">
        <f aca="false">TEXT(B329,"ddd")</f>
        <v>Sun</v>
      </c>
      <c r="E329" s="3" t="s">
        <v>30</v>
      </c>
      <c r="F329" s="3" t="s">
        <v>14</v>
      </c>
      <c r="G329" s="3" t="s">
        <v>15</v>
      </c>
      <c r="H329" s="3" t="s">
        <v>22</v>
      </c>
      <c r="I329" s="4" t="n">
        <v>262</v>
      </c>
      <c r="J329" s="4" t="n">
        <v>27</v>
      </c>
      <c r="K329" s="4" t="n">
        <v>30</v>
      </c>
      <c r="L329" s="4" t="n">
        <f aca="false">IF(O329="Delivered",I329-J329+K329,0)</f>
        <v>265</v>
      </c>
      <c r="M329" s="0" t="n">
        <v>28</v>
      </c>
      <c r="N329" s="0" t="n">
        <v>4.7</v>
      </c>
      <c r="O329" s="3" t="s">
        <v>17</v>
      </c>
    </row>
    <row r="330" customFormat="false" ht="15" hidden="false" customHeight="false" outlineLevel="0" collapsed="false">
      <c r="A330" s="0" t="s">
        <v>868</v>
      </c>
      <c r="B330" s="2" t="n">
        <v>45746</v>
      </c>
      <c r="C330" s="0" t="str">
        <f aca="false">TEXT(B330,"mmm")</f>
        <v>Mar</v>
      </c>
      <c r="D330" s="0" t="str">
        <f aca="false">TEXT(B330,"ddd")</f>
        <v>Sun</v>
      </c>
      <c r="E330" s="3" t="s">
        <v>40</v>
      </c>
      <c r="F330" s="3" t="s">
        <v>25</v>
      </c>
      <c r="G330" s="3" t="s">
        <v>15</v>
      </c>
      <c r="H330" s="3" t="s">
        <v>22</v>
      </c>
      <c r="I330" s="4" t="n">
        <v>535</v>
      </c>
      <c r="J330" s="4" t="n">
        <v>62</v>
      </c>
      <c r="K330" s="4" t="n">
        <v>0</v>
      </c>
      <c r="L330" s="4" t="n">
        <f aca="false">IF(O330="Delivered",I330-J330+K330,0)</f>
        <v>473</v>
      </c>
      <c r="M330" s="0" t="n">
        <v>31</v>
      </c>
      <c r="N330" s="0" t="n">
        <v>4.1</v>
      </c>
      <c r="O330" s="3" t="s">
        <v>17</v>
      </c>
    </row>
    <row r="331" customFormat="false" ht="15" hidden="false" customHeight="false" outlineLevel="0" collapsed="false">
      <c r="A331" s="0" t="s">
        <v>1081</v>
      </c>
      <c r="B331" s="2" t="n">
        <v>45746</v>
      </c>
      <c r="C331" s="0" t="str">
        <f aca="false">TEXT(B331,"mmm")</f>
        <v>Mar</v>
      </c>
      <c r="D331" s="0" t="str">
        <f aca="false">TEXT(B331,"ddd")</f>
        <v>Sun</v>
      </c>
      <c r="E331" s="3" t="s">
        <v>51</v>
      </c>
      <c r="F331" s="3" t="s">
        <v>25</v>
      </c>
      <c r="G331" s="3" t="s">
        <v>15</v>
      </c>
      <c r="H331" s="3" t="s">
        <v>36</v>
      </c>
      <c r="I331" s="4" t="n">
        <v>444</v>
      </c>
      <c r="J331" s="4" t="n">
        <v>70</v>
      </c>
      <c r="K331" s="4" t="n">
        <v>40</v>
      </c>
      <c r="L331" s="4" t="n">
        <f aca="false">IF(O331="Delivered",I331-J331+K331,0)</f>
        <v>414</v>
      </c>
      <c r="M331" s="0" t="n">
        <v>38</v>
      </c>
      <c r="O331" s="3" t="s">
        <v>17</v>
      </c>
    </row>
    <row r="332" customFormat="false" ht="15" hidden="false" customHeight="false" outlineLevel="0" collapsed="false">
      <c r="A332" s="0" t="s">
        <v>1119</v>
      </c>
      <c r="B332" s="2" t="n">
        <v>45746</v>
      </c>
      <c r="C332" s="0" t="str">
        <f aca="false">TEXT(B332,"mmm")</f>
        <v>Mar</v>
      </c>
      <c r="D332" s="0" t="str">
        <f aca="false">TEXT(B332,"ddd")</f>
        <v>Sun</v>
      </c>
      <c r="E332" s="3" t="s">
        <v>24</v>
      </c>
      <c r="F332" s="3" t="s">
        <v>31</v>
      </c>
      <c r="G332" s="3" t="s">
        <v>15</v>
      </c>
      <c r="H332" s="3" t="s">
        <v>16</v>
      </c>
      <c r="I332" s="4" t="n">
        <v>564</v>
      </c>
      <c r="J332" s="4" t="n">
        <v>115</v>
      </c>
      <c r="K332" s="4" t="n">
        <v>0</v>
      </c>
      <c r="L332" s="4" t="n">
        <f aca="false">IF(O332="Delivered",I332-J332+K332,0)</f>
        <v>449</v>
      </c>
      <c r="M332" s="0" t="n">
        <v>29</v>
      </c>
      <c r="N332" s="0" t="n">
        <v>3.8</v>
      </c>
      <c r="O332" s="3" t="s">
        <v>17</v>
      </c>
    </row>
    <row r="333" customFormat="false" ht="15" hidden="false" customHeight="false" outlineLevel="0" collapsed="false">
      <c r="A333" s="0" t="s">
        <v>1341</v>
      </c>
      <c r="B333" s="2" t="n">
        <v>45746</v>
      </c>
      <c r="C333" s="0" t="str">
        <f aca="false">TEXT(B333,"mmm")</f>
        <v>Mar</v>
      </c>
      <c r="D333" s="0" t="str">
        <f aca="false">TEXT(B333,"ddd")</f>
        <v>Sun</v>
      </c>
      <c r="E333" s="3" t="s">
        <v>24</v>
      </c>
      <c r="F333" s="3" t="s">
        <v>49</v>
      </c>
      <c r="G333" s="3" t="s">
        <v>21</v>
      </c>
      <c r="H333" s="3" t="s">
        <v>22</v>
      </c>
      <c r="I333" s="4" t="n">
        <v>729</v>
      </c>
      <c r="J333" s="4" t="n">
        <v>0</v>
      </c>
      <c r="K333" s="4" t="n">
        <v>0</v>
      </c>
      <c r="L333" s="4" t="n">
        <f aca="false">IF(O333="Delivered",I333-J333+K333,0)</f>
        <v>729</v>
      </c>
      <c r="M333" s="0" t="n">
        <v>51</v>
      </c>
      <c r="N333" s="0" t="n">
        <v>4.2</v>
      </c>
      <c r="O333" s="3" t="s">
        <v>17</v>
      </c>
    </row>
    <row r="334" customFormat="false" ht="15" hidden="false" customHeight="false" outlineLevel="0" collapsed="false">
      <c r="A334" s="0" t="s">
        <v>1402</v>
      </c>
      <c r="B334" s="2" t="n">
        <v>45746</v>
      </c>
      <c r="C334" s="0" t="str">
        <f aca="false">TEXT(B334,"mmm")</f>
        <v>Mar</v>
      </c>
      <c r="D334" s="0" t="str">
        <f aca="false">TEXT(B334,"ddd")</f>
        <v>Sun</v>
      </c>
      <c r="E334" s="3" t="s">
        <v>40</v>
      </c>
      <c r="F334" s="3" t="s">
        <v>56</v>
      </c>
      <c r="G334" s="3" t="s">
        <v>21</v>
      </c>
      <c r="H334" s="3" t="s">
        <v>22</v>
      </c>
      <c r="I334" s="4" t="n">
        <v>364</v>
      </c>
      <c r="J334" s="4" t="n">
        <v>46</v>
      </c>
      <c r="K334" s="4" t="n">
        <v>20</v>
      </c>
      <c r="L334" s="4" t="n">
        <f aca="false">IF(O334="Delivered",I334-J334+K334,0)</f>
        <v>338</v>
      </c>
      <c r="M334" s="0" t="n">
        <v>39</v>
      </c>
      <c r="N334" s="0" t="n">
        <v>5</v>
      </c>
      <c r="O334" s="3" t="s">
        <v>17</v>
      </c>
    </row>
    <row r="335" customFormat="false" ht="15" hidden="false" customHeight="false" outlineLevel="0" collapsed="false">
      <c r="A335" s="0" t="s">
        <v>993</v>
      </c>
      <c r="B335" s="2" t="n">
        <v>45748</v>
      </c>
      <c r="C335" s="0" t="str">
        <f aca="false">TEXT(B335,"mmm")</f>
        <v>Apr</v>
      </c>
      <c r="D335" s="0" t="str">
        <f aca="false">TEXT(B335,"ddd")</f>
        <v>Tue</v>
      </c>
      <c r="E335" s="3" t="s">
        <v>27</v>
      </c>
      <c r="F335" s="3" t="s">
        <v>20</v>
      </c>
      <c r="G335" s="3" t="s">
        <v>21</v>
      </c>
      <c r="H335" s="3" t="s">
        <v>22</v>
      </c>
      <c r="I335" s="4" t="n">
        <v>465</v>
      </c>
      <c r="J335" s="4" t="n">
        <v>0</v>
      </c>
      <c r="K335" s="4" t="n">
        <v>45</v>
      </c>
      <c r="L335" s="4" t="n">
        <f aca="false">IF(O335="Delivered",I335-J335+K335,0)</f>
        <v>510</v>
      </c>
      <c r="M335" s="0" t="n">
        <v>46</v>
      </c>
      <c r="N335" s="0" t="n">
        <v>4.2</v>
      </c>
      <c r="O335" s="3" t="s">
        <v>17</v>
      </c>
    </row>
    <row r="336" customFormat="false" ht="15" hidden="false" customHeight="false" outlineLevel="0" collapsed="false">
      <c r="A336" s="0" t="s">
        <v>1143</v>
      </c>
      <c r="B336" s="2" t="n">
        <v>45748</v>
      </c>
      <c r="C336" s="0" t="str">
        <f aca="false">TEXT(B336,"mmm")</f>
        <v>Apr</v>
      </c>
      <c r="D336" s="0" t="str">
        <f aca="false">TEXT(B336,"ddd")</f>
        <v>Tue</v>
      </c>
      <c r="E336" s="3" t="s">
        <v>51</v>
      </c>
      <c r="F336" s="3" t="s">
        <v>25</v>
      </c>
      <c r="G336" s="3" t="s">
        <v>15</v>
      </c>
      <c r="H336" s="3" t="s">
        <v>16</v>
      </c>
      <c r="I336" s="4" t="n">
        <v>517</v>
      </c>
      <c r="J336" s="4" t="n">
        <v>0</v>
      </c>
      <c r="K336" s="4" t="n">
        <v>0</v>
      </c>
      <c r="L336" s="4" t="n">
        <f aca="false">IF(O336="Delivered",I336-J336+K336,0)</f>
        <v>517</v>
      </c>
      <c r="M336" s="0" t="n">
        <v>39</v>
      </c>
      <c r="N336" s="0" t="n">
        <v>4.3</v>
      </c>
      <c r="O336" s="3" t="s">
        <v>17</v>
      </c>
    </row>
    <row r="337" customFormat="false" ht="15" hidden="false" customHeight="false" outlineLevel="0" collapsed="false">
      <c r="A337" s="0" t="s">
        <v>1386</v>
      </c>
      <c r="B337" s="2" t="n">
        <v>45748</v>
      </c>
      <c r="C337" s="0" t="str">
        <f aca="false">TEXT(B337,"mmm")</f>
        <v>Apr</v>
      </c>
      <c r="D337" s="0" t="str">
        <f aca="false">TEXT(B337,"ddd")</f>
        <v>Tue</v>
      </c>
      <c r="E337" s="3" t="s">
        <v>30</v>
      </c>
      <c r="F337" s="3" t="s">
        <v>31</v>
      </c>
      <c r="G337" s="3" t="s">
        <v>15</v>
      </c>
      <c r="H337" s="3" t="s">
        <v>22</v>
      </c>
      <c r="I337" s="4" t="n">
        <v>413</v>
      </c>
      <c r="J337" s="4" t="n">
        <v>0</v>
      </c>
      <c r="K337" s="4" t="n">
        <v>20</v>
      </c>
      <c r="L337" s="4" t="n">
        <f aca="false">IF(O337="Delivered",I337-J337+K337,0)</f>
        <v>433</v>
      </c>
      <c r="M337" s="0" t="n">
        <v>31</v>
      </c>
      <c r="N337" s="0" t="n">
        <v>3.9</v>
      </c>
      <c r="O337" s="3" t="s">
        <v>17</v>
      </c>
    </row>
    <row r="338" customFormat="false" ht="15" hidden="false" customHeight="false" outlineLevel="0" collapsed="false">
      <c r="A338" s="0" t="s">
        <v>120</v>
      </c>
      <c r="B338" s="2" t="n">
        <v>45749</v>
      </c>
      <c r="C338" s="0" t="str">
        <f aca="false">TEXT(B338,"mmm")</f>
        <v>Apr</v>
      </c>
      <c r="D338" s="0" t="str">
        <f aca="false">TEXT(B338,"ddd")</f>
        <v>Wed</v>
      </c>
      <c r="E338" s="3" t="s">
        <v>27</v>
      </c>
      <c r="F338" s="3" t="s">
        <v>31</v>
      </c>
      <c r="G338" s="3" t="s">
        <v>15</v>
      </c>
      <c r="H338" s="3" t="s">
        <v>54</v>
      </c>
      <c r="I338" s="4" t="n">
        <v>684</v>
      </c>
      <c r="J338" s="4" t="n">
        <v>0</v>
      </c>
      <c r="K338" s="4" t="n">
        <v>0</v>
      </c>
      <c r="L338" s="4" t="n">
        <f aca="false">IF(O338="Delivered",I338-J338+K338,0)</f>
        <v>684</v>
      </c>
      <c r="M338" s="0" t="n">
        <v>48</v>
      </c>
      <c r="N338" s="0" t="n">
        <v>3.5</v>
      </c>
      <c r="O338" s="3" t="s">
        <v>17</v>
      </c>
    </row>
    <row r="339" customFormat="false" ht="15" hidden="false" customHeight="false" outlineLevel="0" collapsed="false">
      <c r="A339" s="0" t="s">
        <v>1395</v>
      </c>
      <c r="B339" s="2" t="n">
        <v>45749</v>
      </c>
      <c r="C339" s="0" t="str">
        <f aca="false">TEXT(B339,"mmm")</f>
        <v>Apr</v>
      </c>
      <c r="D339" s="0" t="str">
        <f aca="false">TEXT(B339,"ddd")</f>
        <v>Wed</v>
      </c>
      <c r="E339" s="3" t="s">
        <v>40</v>
      </c>
      <c r="F339" s="3" t="s">
        <v>78</v>
      </c>
      <c r="G339" s="3" t="s">
        <v>15</v>
      </c>
      <c r="H339" s="3" t="s">
        <v>22</v>
      </c>
      <c r="I339" s="4" t="n">
        <v>317</v>
      </c>
      <c r="J339" s="4" t="n">
        <v>73</v>
      </c>
      <c r="K339" s="4" t="n">
        <v>45</v>
      </c>
      <c r="L339" s="4" t="n">
        <f aca="false">IF(O339="Delivered",I339-J339+K339,0)</f>
        <v>289</v>
      </c>
      <c r="M339" s="0" t="n">
        <v>52</v>
      </c>
      <c r="N339" s="0" t="n">
        <v>4.3</v>
      </c>
      <c r="O339" s="3" t="s">
        <v>17</v>
      </c>
    </row>
    <row r="340" customFormat="false" ht="15" hidden="false" customHeight="false" outlineLevel="0" collapsed="false">
      <c r="A340" s="0" t="s">
        <v>1400</v>
      </c>
      <c r="B340" s="2" t="n">
        <v>45749</v>
      </c>
      <c r="C340" s="0" t="str">
        <f aca="false">TEXT(B340,"mmm")</f>
        <v>Apr</v>
      </c>
      <c r="D340" s="0" t="str">
        <f aca="false">TEXT(B340,"ddd")</f>
        <v>Wed</v>
      </c>
      <c r="E340" s="3" t="s">
        <v>24</v>
      </c>
      <c r="F340" s="3" t="s">
        <v>31</v>
      </c>
      <c r="G340" s="3" t="s">
        <v>15</v>
      </c>
      <c r="H340" s="3" t="s">
        <v>34</v>
      </c>
      <c r="I340" s="4" t="n">
        <v>534</v>
      </c>
      <c r="J340" s="4" t="n">
        <v>0</v>
      </c>
      <c r="K340" s="4" t="n">
        <v>0</v>
      </c>
      <c r="L340" s="4" t="n">
        <f aca="false">IF(O340="Delivered",I340-J340+K340,0)</f>
        <v>534</v>
      </c>
      <c r="M340" s="0" t="n">
        <v>29</v>
      </c>
      <c r="O340" s="3" t="s">
        <v>17</v>
      </c>
    </row>
    <row r="341" customFormat="false" ht="15" hidden="false" customHeight="false" outlineLevel="0" collapsed="false">
      <c r="A341" s="0" t="s">
        <v>1469</v>
      </c>
      <c r="B341" s="2" t="n">
        <v>45749</v>
      </c>
      <c r="C341" s="0" t="str">
        <f aca="false">TEXT(B341,"mmm")</f>
        <v>Apr</v>
      </c>
      <c r="D341" s="0" t="str">
        <f aca="false">TEXT(B341,"ddd")</f>
        <v>Wed</v>
      </c>
      <c r="E341" s="3" t="s">
        <v>19</v>
      </c>
      <c r="F341" s="3" t="s">
        <v>56</v>
      </c>
      <c r="G341" s="3" t="s">
        <v>21</v>
      </c>
      <c r="H341" s="3" t="s">
        <v>16</v>
      </c>
      <c r="I341" s="4" t="n">
        <v>422</v>
      </c>
      <c r="J341" s="4" t="n">
        <v>76</v>
      </c>
      <c r="K341" s="4" t="n">
        <v>20</v>
      </c>
      <c r="L341" s="4" t="n">
        <f aca="false">IF(O341="Delivered",I341-J341+K341,0)</f>
        <v>366</v>
      </c>
      <c r="M341" s="0" t="n">
        <v>37</v>
      </c>
      <c r="N341" s="0" t="n">
        <v>4.5</v>
      </c>
      <c r="O341" s="3" t="s">
        <v>17</v>
      </c>
    </row>
    <row r="342" customFormat="false" ht="15" hidden="false" customHeight="false" outlineLevel="0" collapsed="false">
      <c r="A342" s="0" t="s">
        <v>1541</v>
      </c>
      <c r="B342" s="2" t="n">
        <v>45749</v>
      </c>
      <c r="C342" s="0" t="str">
        <f aca="false">TEXT(B342,"mmm")</f>
        <v>Apr</v>
      </c>
      <c r="D342" s="0" t="str">
        <f aca="false">TEXT(B342,"ddd")</f>
        <v>Wed</v>
      </c>
      <c r="E342" s="3" t="s">
        <v>27</v>
      </c>
      <c r="F342" s="3" t="s">
        <v>56</v>
      </c>
      <c r="G342" s="3" t="s">
        <v>21</v>
      </c>
      <c r="H342" s="3" t="s">
        <v>22</v>
      </c>
      <c r="I342" s="4" t="n">
        <v>363</v>
      </c>
      <c r="J342" s="4" t="n">
        <v>67</v>
      </c>
      <c r="K342" s="4" t="n">
        <v>40</v>
      </c>
      <c r="L342" s="4" t="n">
        <f aca="false">IF(O342="Delivered",I342-J342+K342,0)</f>
        <v>336</v>
      </c>
      <c r="M342" s="0" t="n">
        <v>48</v>
      </c>
      <c r="N342" s="0" t="n">
        <v>3.8</v>
      </c>
      <c r="O342" s="3" t="s">
        <v>17</v>
      </c>
    </row>
    <row r="343" customFormat="false" ht="15" hidden="false" customHeight="false" outlineLevel="0" collapsed="false">
      <c r="A343" s="0" t="s">
        <v>585</v>
      </c>
      <c r="B343" s="2" t="n">
        <v>45750</v>
      </c>
      <c r="C343" s="0" t="str">
        <f aca="false">TEXT(B343,"mmm")</f>
        <v>Apr</v>
      </c>
      <c r="D343" s="0" t="str">
        <f aca="false">TEXT(B343,"ddd")</f>
        <v>Thu</v>
      </c>
      <c r="E343" s="3" t="s">
        <v>24</v>
      </c>
      <c r="F343" s="3" t="s">
        <v>28</v>
      </c>
      <c r="G343" s="3" t="s">
        <v>15</v>
      </c>
      <c r="H343" s="3" t="s">
        <v>16</v>
      </c>
      <c r="I343" s="4" t="n">
        <v>421</v>
      </c>
      <c r="J343" s="4" t="n">
        <v>0</v>
      </c>
      <c r="K343" s="4" t="n">
        <v>30</v>
      </c>
      <c r="L343" s="4" t="n">
        <f aca="false">IF(O343="Delivered",I343-J343+K343,0)</f>
        <v>451</v>
      </c>
      <c r="M343" s="0" t="n">
        <v>44</v>
      </c>
      <c r="N343" s="0" t="n">
        <v>4</v>
      </c>
      <c r="O343" s="3" t="s">
        <v>17</v>
      </c>
    </row>
    <row r="344" customFormat="false" ht="15" hidden="false" customHeight="false" outlineLevel="0" collapsed="false">
      <c r="A344" s="0" t="s">
        <v>924</v>
      </c>
      <c r="B344" s="2" t="n">
        <v>45750</v>
      </c>
      <c r="C344" s="0" t="str">
        <f aca="false">TEXT(B344,"mmm")</f>
        <v>Apr</v>
      </c>
      <c r="D344" s="0" t="str">
        <f aca="false">TEXT(B344,"ddd")</f>
        <v>Thu</v>
      </c>
      <c r="E344" s="3" t="s">
        <v>19</v>
      </c>
      <c r="F344" s="3" t="s">
        <v>25</v>
      </c>
      <c r="G344" s="3" t="s">
        <v>15</v>
      </c>
      <c r="H344" s="3" t="s">
        <v>22</v>
      </c>
      <c r="I344" s="4" t="n">
        <v>342</v>
      </c>
      <c r="J344" s="4" t="n">
        <v>0</v>
      </c>
      <c r="K344" s="4" t="n">
        <v>40</v>
      </c>
      <c r="L344" s="4" t="n">
        <f aca="false">IF(O344="Delivered",I344-J344+K344,0)</f>
        <v>382</v>
      </c>
      <c r="M344" s="0" t="n">
        <v>21</v>
      </c>
      <c r="N344" s="0" t="n">
        <v>4.7</v>
      </c>
      <c r="O344" s="3" t="s">
        <v>17</v>
      </c>
    </row>
    <row r="345" customFormat="false" ht="15" hidden="false" customHeight="false" outlineLevel="0" collapsed="false">
      <c r="A345" s="0" t="s">
        <v>1252</v>
      </c>
      <c r="B345" s="2" t="n">
        <v>45751</v>
      </c>
      <c r="C345" s="0" t="str">
        <f aca="false">TEXT(B345,"mmm")</f>
        <v>Apr</v>
      </c>
      <c r="D345" s="0" t="str">
        <f aca="false">TEXT(B345,"ddd")</f>
        <v>Fri</v>
      </c>
      <c r="E345" s="3" t="s">
        <v>40</v>
      </c>
      <c r="F345" s="3" t="s">
        <v>20</v>
      </c>
      <c r="G345" s="3" t="s">
        <v>21</v>
      </c>
      <c r="H345" s="3" t="s">
        <v>16</v>
      </c>
      <c r="I345" s="4" t="n">
        <v>503</v>
      </c>
      <c r="J345" s="4" t="n">
        <v>0</v>
      </c>
      <c r="K345" s="4" t="n">
        <v>0</v>
      </c>
      <c r="L345" s="4" t="n">
        <f aca="false">IF(O345="Delivered",I345-J345+K345,0)</f>
        <v>503</v>
      </c>
      <c r="M345" s="0" t="n">
        <v>39</v>
      </c>
      <c r="N345" s="0" t="n">
        <v>5</v>
      </c>
      <c r="O345" s="3" t="s">
        <v>17</v>
      </c>
    </row>
    <row r="346" customFormat="false" ht="15" hidden="false" customHeight="false" outlineLevel="0" collapsed="false">
      <c r="A346" s="0" t="s">
        <v>1340</v>
      </c>
      <c r="B346" s="2" t="n">
        <v>45751</v>
      </c>
      <c r="C346" s="0" t="str">
        <f aca="false">TEXT(B346,"mmm")</f>
        <v>Apr</v>
      </c>
      <c r="D346" s="0" t="str">
        <f aca="false">TEXT(B346,"ddd")</f>
        <v>Fri</v>
      </c>
      <c r="E346" s="3" t="s">
        <v>13</v>
      </c>
      <c r="F346" s="3" t="s">
        <v>20</v>
      </c>
      <c r="G346" s="3" t="s">
        <v>21</v>
      </c>
      <c r="H346" s="3" t="s">
        <v>54</v>
      </c>
      <c r="I346" s="4" t="n">
        <v>737</v>
      </c>
      <c r="J346" s="4" t="n">
        <v>0</v>
      </c>
      <c r="K346" s="4" t="n">
        <v>0</v>
      </c>
      <c r="L346" s="4" t="n">
        <f aca="false">IF(O346="Delivered",I346-J346+K346,0)</f>
        <v>737</v>
      </c>
      <c r="M346" s="0" t="n">
        <v>38</v>
      </c>
      <c r="N346" s="0" t="n">
        <v>4.2</v>
      </c>
      <c r="O346" s="3" t="s">
        <v>17</v>
      </c>
    </row>
    <row r="347" customFormat="false" ht="15" hidden="false" customHeight="false" outlineLevel="0" collapsed="false">
      <c r="A347" s="0" t="s">
        <v>1360</v>
      </c>
      <c r="B347" s="2" t="n">
        <v>45751</v>
      </c>
      <c r="C347" s="0" t="str">
        <f aca="false">TEXT(B347,"mmm")</f>
        <v>Apr</v>
      </c>
      <c r="D347" s="0" t="str">
        <f aca="false">TEXT(B347,"ddd")</f>
        <v>Fri</v>
      </c>
      <c r="E347" s="3" t="s">
        <v>30</v>
      </c>
      <c r="F347" s="3" t="s">
        <v>31</v>
      </c>
      <c r="G347" s="3" t="s">
        <v>15</v>
      </c>
      <c r="H347" s="3" t="s">
        <v>22</v>
      </c>
      <c r="I347" s="4" t="n">
        <v>384</v>
      </c>
      <c r="J347" s="4" t="n">
        <v>0</v>
      </c>
      <c r="K347" s="4" t="n">
        <v>20</v>
      </c>
      <c r="L347" s="4" t="n">
        <f aca="false">IF(O347="Delivered",I347-J347+K347,0)</f>
        <v>404</v>
      </c>
      <c r="M347" s="0" t="n">
        <v>35</v>
      </c>
      <c r="N347" s="0" t="n">
        <v>4</v>
      </c>
      <c r="O347" s="3" t="s">
        <v>17</v>
      </c>
    </row>
    <row r="348" customFormat="false" ht="15" hidden="false" customHeight="false" outlineLevel="0" collapsed="false">
      <c r="A348" s="0" t="s">
        <v>1617</v>
      </c>
      <c r="B348" s="2" t="n">
        <v>45751</v>
      </c>
      <c r="C348" s="0" t="str">
        <f aca="false">TEXT(B348,"mmm")</f>
        <v>Apr</v>
      </c>
      <c r="D348" s="0" t="str">
        <f aca="false">TEXT(B348,"ddd")</f>
        <v>Fri</v>
      </c>
      <c r="E348" s="3" t="s">
        <v>24</v>
      </c>
      <c r="F348" s="3" t="s">
        <v>14</v>
      </c>
      <c r="G348" s="3" t="s">
        <v>15</v>
      </c>
      <c r="H348" s="3" t="s">
        <v>22</v>
      </c>
      <c r="I348" s="4" t="n">
        <v>376</v>
      </c>
      <c r="J348" s="4" t="n">
        <v>0</v>
      </c>
      <c r="K348" s="4" t="n">
        <v>40</v>
      </c>
      <c r="L348" s="4" t="n">
        <f aca="false">IF(O348="Delivered",I348-J348+K348,0)</f>
        <v>416</v>
      </c>
      <c r="M348" s="0" t="n">
        <v>26</v>
      </c>
      <c r="N348" s="0" t="n">
        <v>4.8</v>
      </c>
      <c r="O348" s="3" t="s">
        <v>17</v>
      </c>
    </row>
    <row r="349" customFormat="false" ht="15" hidden="false" customHeight="false" outlineLevel="0" collapsed="false">
      <c r="A349" s="0" t="s">
        <v>82</v>
      </c>
      <c r="B349" s="2" t="n">
        <v>45753</v>
      </c>
      <c r="C349" s="0" t="str">
        <f aca="false">TEXT(B349,"mmm")</f>
        <v>Apr</v>
      </c>
      <c r="D349" s="0" t="str">
        <f aca="false">TEXT(B349,"ddd")</f>
        <v>Sun</v>
      </c>
      <c r="E349" s="3" t="s">
        <v>30</v>
      </c>
      <c r="F349" s="3" t="s">
        <v>31</v>
      </c>
      <c r="G349" s="3" t="s">
        <v>15</v>
      </c>
      <c r="H349" s="3" t="s">
        <v>22</v>
      </c>
      <c r="I349" s="4" t="n">
        <v>475</v>
      </c>
      <c r="J349" s="4" t="n">
        <v>78</v>
      </c>
      <c r="K349" s="4" t="n">
        <v>30</v>
      </c>
      <c r="L349" s="4" t="n">
        <f aca="false">IF(O349="Delivered",I349-J349+K349,0)</f>
        <v>427</v>
      </c>
      <c r="M349" s="0" t="n">
        <v>30</v>
      </c>
      <c r="O349" s="3" t="s">
        <v>17</v>
      </c>
    </row>
    <row r="350" customFormat="false" ht="15" hidden="false" customHeight="false" outlineLevel="0" collapsed="false">
      <c r="A350" s="0" t="s">
        <v>593</v>
      </c>
      <c r="B350" s="2" t="n">
        <v>45753</v>
      </c>
      <c r="C350" s="0" t="str">
        <f aca="false">TEXT(B350,"mmm")</f>
        <v>Apr</v>
      </c>
      <c r="D350" s="0" t="str">
        <f aca="false">TEXT(B350,"ddd")</f>
        <v>Sun</v>
      </c>
      <c r="E350" s="3" t="s">
        <v>13</v>
      </c>
      <c r="F350" s="3" t="s">
        <v>28</v>
      </c>
      <c r="G350" s="3" t="s">
        <v>15</v>
      </c>
      <c r="H350" s="3" t="s">
        <v>34</v>
      </c>
      <c r="I350" s="4" t="n">
        <v>308</v>
      </c>
      <c r="J350" s="4" t="n">
        <v>68</v>
      </c>
      <c r="K350" s="4" t="n">
        <v>20</v>
      </c>
      <c r="L350" s="4" t="n">
        <f aca="false">IF(O350="Delivered",I350-J350+K350,0)</f>
        <v>260</v>
      </c>
      <c r="M350" s="0" t="n">
        <v>20</v>
      </c>
      <c r="N350" s="0" t="n">
        <v>4.4</v>
      </c>
      <c r="O350" s="3" t="s">
        <v>17</v>
      </c>
    </row>
    <row r="351" customFormat="false" ht="15" hidden="false" customHeight="false" outlineLevel="0" collapsed="false">
      <c r="A351" s="0" t="s">
        <v>1639</v>
      </c>
      <c r="B351" s="2" t="n">
        <v>45753</v>
      </c>
      <c r="C351" s="0" t="str">
        <f aca="false">TEXT(B351,"mmm")</f>
        <v>Apr</v>
      </c>
      <c r="D351" s="0" t="str">
        <f aca="false">TEXT(B351,"ddd")</f>
        <v>Sun</v>
      </c>
      <c r="E351" s="3" t="s">
        <v>40</v>
      </c>
      <c r="F351" s="3" t="s">
        <v>31</v>
      </c>
      <c r="G351" s="3" t="s">
        <v>21</v>
      </c>
      <c r="H351" s="3" t="s">
        <v>1690</v>
      </c>
      <c r="I351" s="4" t="n">
        <v>458</v>
      </c>
      <c r="J351" s="4" t="n">
        <v>0</v>
      </c>
      <c r="K351" s="4" t="n">
        <v>40</v>
      </c>
      <c r="L351" s="4" t="n">
        <f aca="false">IF(O351="Delivered",I351-J351+K351,0)</f>
        <v>498</v>
      </c>
      <c r="M351" s="0" t="n">
        <v>31</v>
      </c>
      <c r="N351" s="0" t="n">
        <v>4.6</v>
      </c>
      <c r="O351" s="3" t="s">
        <v>17</v>
      </c>
    </row>
    <row r="352" customFormat="false" ht="15" hidden="false" customHeight="false" outlineLevel="0" collapsed="false">
      <c r="A352" s="0" t="s">
        <v>46</v>
      </c>
      <c r="B352" s="2" t="n">
        <v>45754</v>
      </c>
      <c r="C352" s="0" t="str">
        <f aca="false">TEXT(B352,"mmm")</f>
        <v>Apr</v>
      </c>
      <c r="D352" s="0" t="str">
        <f aca="false">TEXT(B352,"ddd")</f>
        <v>Mon</v>
      </c>
      <c r="E352" s="3" t="s">
        <v>24</v>
      </c>
      <c r="F352" s="3" t="s">
        <v>28</v>
      </c>
      <c r="G352" s="3" t="s">
        <v>15</v>
      </c>
      <c r="H352" s="3" t="s">
        <v>22</v>
      </c>
      <c r="I352" s="4" t="n">
        <v>337</v>
      </c>
      <c r="J352" s="4" t="n">
        <v>41</v>
      </c>
      <c r="K352" s="4" t="n">
        <v>30</v>
      </c>
      <c r="L352" s="4" t="n">
        <f aca="false">IF(O352="Delivered",I352-J352+K352,0)</f>
        <v>326</v>
      </c>
      <c r="M352" s="0" t="n">
        <v>27</v>
      </c>
      <c r="N352" s="0" t="n">
        <v>4.6</v>
      </c>
      <c r="O352" s="3" t="s">
        <v>17</v>
      </c>
    </row>
    <row r="353" customFormat="false" ht="15" hidden="false" customHeight="false" outlineLevel="0" collapsed="false">
      <c r="A353" s="0" t="s">
        <v>887</v>
      </c>
      <c r="B353" s="2" t="n">
        <v>45754</v>
      </c>
      <c r="C353" s="0" t="str">
        <f aca="false">TEXT(B353,"mmm")</f>
        <v>Apr</v>
      </c>
      <c r="D353" s="0" t="str">
        <f aca="false">TEXT(B353,"ddd")</f>
        <v>Mon</v>
      </c>
      <c r="E353" s="3" t="s">
        <v>27</v>
      </c>
      <c r="F353" s="3" t="s">
        <v>25</v>
      </c>
      <c r="G353" s="3" t="s">
        <v>21</v>
      </c>
      <c r="H353" s="3" t="s">
        <v>22</v>
      </c>
      <c r="I353" s="4" t="n">
        <v>448</v>
      </c>
      <c r="J353" s="4" t="n">
        <v>0</v>
      </c>
      <c r="K353" s="4" t="n">
        <v>40</v>
      </c>
      <c r="L353" s="4" t="n">
        <f aca="false">IF(O353="Delivered",I353-J353+K353,0)</f>
        <v>0</v>
      </c>
      <c r="O353" s="3" t="s">
        <v>68</v>
      </c>
    </row>
    <row r="354" customFormat="false" ht="15" hidden="false" customHeight="false" outlineLevel="0" collapsed="false">
      <c r="A354" s="0" t="s">
        <v>1651</v>
      </c>
      <c r="B354" s="2" t="n">
        <v>45754</v>
      </c>
      <c r="C354" s="0" t="str">
        <f aca="false">TEXT(B354,"mmm")</f>
        <v>Apr</v>
      </c>
      <c r="D354" s="0" t="str">
        <f aca="false">TEXT(B354,"ddd")</f>
        <v>Mon</v>
      </c>
      <c r="E354" s="3" t="s">
        <v>24</v>
      </c>
      <c r="F354" s="3" t="s">
        <v>20</v>
      </c>
      <c r="G354" s="3" t="s">
        <v>15</v>
      </c>
      <c r="H354" s="3" t="s">
        <v>1690</v>
      </c>
      <c r="I354" s="4" t="n">
        <v>409</v>
      </c>
      <c r="J354" s="4" t="n">
        <v>86</v>
      </c>
      <c r="K354" s="4" t="n">
        <v>20</v>
      </c>
      <c r="L354" s="4" t="n">
        <f aca="false">IF(O354="Delivered",I354-J354+K354,0)</f>
        <v>343</v>
      </c>
      <c r="M354" s="0" t="n">
        <v>33</v>
      </c>
      <c r="N354" s="0" t="n">
        <v>3.5</v>
      </c>
      <c r="O354" s="3" t="s">
        <v>17</v>
      </c>
    </row>
    <row r="355" customFormat="false" ht="15" hidden="false" customHeight="false" outlineLevel="0" collapsed="false">
      <c r="A355" s="0" t="s">
        <v>1669</v>
      </c>
      <c r="B355" s="2" t="n">
        <v>45754</v>
      </c>
      <c r="C355" s="0" t="str">
        <f aca="false">TEXT(B355,"mmm")</f>
        <v>Apr</v>
      </c>
      <c r="D355" s="0" t="str">
        <f aca="false">TEXT(B355,"ddd")</f>
        <v>Mon</v>
      </c>
      <c r="E355" s="3" t="s">
        <v>27</v>
      </c>
      <c r="F355" s="3" t="s">
        <v>25</v>
      </c>
      <c r="G355" s="3" t="s">
        <v>15</v>
      </c>
      <c r="H355" s="3" t="s">
        <v>36</v>
      </c>
      <c r="I355" s="4" t="n">
        <v>575</v>
      </c>
      <c r="J355" s="4" t="n">
        <v>0</v>
      </c>
      <c r="K355" s="4" t="n">
        <v>0</v>
      </c>
      <c r="L355" s="4" t="n">
        <f aca="false">IF(O355="Delivered",I355-J355+K355,0)</f>
        <v>575</v>
      </c>
      <c r="M355" s="0" t="n">
        <v>35</v>
      </c>
      <c r="N355" s="0" t="n">
        <v>3.9</v>
      </c>
      <c r="O355" s="3" t="s">
        <v>17</v>
      </c>
    </row>
    <row r="356" customFormat="false" ht="15" hidden="false" customHeight="false" outlineLevel="0" collapsed="false">
      <c r="A356" s="0" t="s">
        <v>225</v>
      </c>
      <c r="B356" s="2" t="n">
        <v>45755</v>
      </c>
      <c r="C356" s="0" t="str">
        <f aca="false">TEXT(B356,"mmm")</f>
        <v>Apr</v>
      </c>
      <c r="D356" s="0" t="str">
        <f aca="false">TEXT(B356,"ddd")</f>
        <v>Tue</v>
      </c>
      <c r="E356" s="3" t="s">
        <v>30</v>
      </c>
      <c r="F356" s="3" t="s">
        <v>31</v>
      </c>
      <c r="G356" s="3" t="s">
        <v>21</v>
      </c>
      <c r="H356" s="3" t="s">
        <v>22</v>
      </c>
      <c r="I356" s="4" t="n">
        <v>581</v>
      </c>
      <c r="J356" s="4" t="n">
        <v>0</v>
      </c>
      <c r="K356" s="4" t="n">
        <v>0</v>
      </c>
      <c r="L356" s="4" t="n">
        <f aca="false">IF(O356="Delivered",I356-J356+K356,0)</f>
        <v>581</v>
      </c>
      <c r="M356" s="0" t="n">
        <v>34</v>
      </c>
      <c r="N356" s="0" t="n">
        <v>4.5</v>
      </c>
      <c r="O356" s="3" t="s">
        <v>17</v>
      </c>
    </row>
    <row r="357" customFormat="false" ht="15" hidden="false" customHeight="false" outlineLevel="0" collapsed="false">
      <c r="A357" s="0" t="s">
        <v>273</v>
      </c>
      <c r="B357" s="2" t="n">
        <v>45755</v>
      </c>
      <c r="C357" s="0" t="str">
        <f aca="false">TEXT(B357,"mmm")</f>
        <v>Apr</v>
      </c>
      <c r="D357" s="0" t="str">
        <f aca="false">TEXT(B357,"ddd")</f>
        <v>Tue</v>
      </c>
      <c r="E357" s="3" t="s">
        <v>19</v>
      </c>
      <c r="F357" s="3" t="s">
        <v>56</v>
      </c>
      <c r="G357" s="3" t="s">
        <v>15</v>
      </c>
      <c r="H357" s="3" t="s">
        <v>36</v>
      </c>
      <c r="I357" s="4" t="n">
        <v>423</v>
      </c>
      <c r="J357" s="4" t="n">
        <v>44</v>
      </c>
      <c r="K357" s="4" t="n">
        <v>20</v>
      </c>
      <c r="L357" s="4" t="n">
        <f aca="false">IF(O357="Delivered",I357-J357+K357,0)</f>
        <v>399</v>
      </c>
      <c r="M357" s="0" t="n">
        <v>32</v>
      </c>
      <c r="N357" s="0" t="n">
        <v>4.2</v>
      </c>
      <c r="O357" s="3" t="s">
        <v>17</v>
      </c>
    </row>
    <row r="358" customFormat="false" ht="15" hidden="false" customHeight="false" outlineLevel="0" collapsed="false">
      <c r="A358" s="0" t="s">
        <v>963</v>
      </c>
      <c r="B358" s="2" t="n">
        <v>45755</v>
      </c>
      <c r="C358" s="0" t="str">
        <f aca="false">TEXT(B358,"mmm")</f>
        <v>Apr</v>
      </c>
      <c r="D358" s="0" t="str">
        <f aca="false">TEXT(B358,"ddd")</f>
        <v>Tue</v>
      </c>
      <c r="E358" s="3" t="s">
        <v>40</v>
      </c>
      <c r="F358" s="3" t="s">
        <v>25</v>
      </c>
      <c r="G358" s="3" t="s">
        <v>21</v>
      </c>
      <c r="H358" s="3" t="s">
        <v>36</v>
      </c>
      <c r="I358" s="4" t="n">
        <v>454</v>
      </c>
      <c r="J358" s="4" t="n">
        <v>0</v>
      </c>
      <c r="K358" s="4" t="n">
        <v>20</v>
      </c>
      <c r="L358" s="4" t="n">
        <f aca="false">IF(O358="Delivered",I358-J358+K358,0)</f>
        <v>474</v>
      </c>
      <c r="M358" s="0" t="n">
        <v>43</v>
      </c>
      <c r="N358" s="0" t="n">
        <v>4.4</v>
      </c>
      <c r="O358" s="3" t="s">
        <v>17</v>
      </c>
    </row>
    <row r="359" customFormat="false" ht="15" hidden="false" customHeight="false" outlineLevel="0" collapsed="false">
      <c r="A359" s="0" t="s">
        <v>315</v>
      </c>
      <c r="B359" s="2" t="n">
        <v>45756</v>
      </c>
      <c r="C359" s="0" t="str">
        <f aca="false">TEXT(B359,"mmm")</f>
        <v>Apr</v>
      </c>
      <c r="D359" s="0" t="str">
        <f aca="false">TEXT(B359,"ddd")</f>
        <v>Wed</v>
      </c>
      <c r="E359" s="3" t="s">
        <v>40</v>
      </c>
      <c r="F359" s="3" t="s">
        <v>49</v>
      </c>
      <c r="G359" s="3" t="s">
        <v>21</v>
      </c>
      <c r="H359" s="3" t="s">
        <v>22</v>
      </c>
      <c r="I359" s="4" t="n">
        <v>484</v>
      </c>
      <c r="J359" s="4" t="n">
        <v>0</v>
      </c>
      <c r="K359" s="4" t="n">
        <v>20</v>
      </c>
      <c r="L359" s="4" t="n">
        <f aca="false">IF(O359="Delivered",I359-J359+K359,0)</f>
        <v>504</v>
      </c>
      <c r="M359" s="0" t="n">
        <v>47</v>
      </c>
      <c r="N359" s="0" t="n">
        <v>2.8</v>
      </c>
      <c r="O359" s="3" t="s">
        <v>17</v>
      </c>
    </row>
    <row r="360" customFormat="false" ht="15" hidden="false" customHeight="false" outlineLevel="0" collapsed="false">
      <c r="A360" s="0" t="s">
        <v>392</v>
      </c>
      <c r="B360" s="2" t="n">
        <v>45756</v>
      </c>
      <c r="C360" s="0" t="str">
        <f aca="false">TEXT(B360,"mmm")</f>
        <v>Apr</v>
      </c>
      <c r="D360" s="0" t="str">
        <f aca="false">TEXT(B360,"ddd")</f>
        <v>Wed</v>
      </c>
      <c r="E360" s="3" t="s">
        <v>13</v>
      </c>
      <c r="F360" s="3" t="s">
        <v>20</v>
      </c>
      <c r="G360" s="3" t="s">
        <v>21</v>
      </c>
      <c r="H360" s="3" t="s">
        <v>54</v>
      </c>
      <c r="I360" s="4" t="n">
        <v>398</v>
      </c>
      <c r="J360" s="4" t="n">
        <v>0</v>
      </c>
      <c r="K360" s="4" t="n">
        <v>30</v>
      </c>
      <c r="L360" s="4" t="n">
        <f aca="false">IF(O360="Delivered",I360-J360+K360,0)</f>
        <v>428</v>
      </c>
      <c r="M360" s="0" t="n">
        <v>37</v>
      </c>
      <c r="N360" s="0" t="n">
        <v>3.7</v>
      </c>
      <c r="O360" s="3" t="s">
        <v>17</v>
      </c>
    </row>
    <row r="361" customFormat="false" ht="15" hidden="false" customHeight="false" outlineLevel="0" collapsed="false">
      <c r="A361" s="0" t="s">
        <v>667</v>
      </c>
      <c r="B361" s="2" t="n">
        <v>45756</v>
      </c>
      <c r="C361" s="0" t="str">
        <f aca="false">TEXT(B361,"mmm")</f>
        <v>Apr</v>
      </c>
      <c r="D361" s="0" t="str">
        <f aca="false">TEXT(B361,"ddd")</f>
        <v>Wed</v>
      </c>
      <c r="E361" s="3" t="s">
        <v>27</v>
      </c>
      <c r="F361" s="3" t="s">
        <v>14</v>
      </c>
      <c r="G361" s="3" t="s">
        <v>15</v>
      </c>
      <c r="H361" s="3" t="s">
        <v>22</v>
      </c>
      <c r="I361" s="4" t="n">
        <v>285</v>
      </c>
      <c r="J361" s="4" t="n">
        <v>0</v>
      </c>
      <c r="K361" s="4" t="n">
        <v>30</v>
      </c>
      <c r="L361" s="4" t="n">
        <f aca="false">IF(O361="Delivered",I361-J361+K361,0)</f>
        <v>0</v>
      </c>
      <c r="O361" s="3" t="s">
        <v>68</v>
      </c>
    </row>
    <row r="362" customFormat="false" ht="15" hidden="false" customHeight="false" outlineLevel="0" collapsed="false">
      <c r="A362" s="0" t="s">
        <v>124</v>
      </c>
      <c r="B362" s="2" t="n">
        <v>45757</v>
      </c>
      <c r="C362" s="0" t="str">
        <f aca="false">TEXT(B362,"mmm")</f>
        <v>Apr</v>
      </c>
      <c r="D362" s="0" t="str">
        <f aca="false">TEXT(B362,"ddd")</f>
        <v>Thu</v>
      </c>
      <c r="E362" s="3" t="s">
        <v>30</v>
      </c>
      <c r="F362" s="3" t="s">
        <v>28</v>
      </c>
      <c r="G362" s="3" t="s">
        <v>21</v>
      </c>
      <c r="H362" s="3" t="s">
        <v>22</v>
      </c>
      <c r="I362" s="4" t="n">
        <v>579</v>
      </c>
      <c r="J362" s="4" t="n">
        <v>0</v>
      </c>
      <c r="K362" s="4" t="n">
        <v>0</v>
      </c>
      <c r="L362" s="4" t="n">
        <f aca="false">IF(O362="Delivered",I362-J362+K362,0)</f>
        <v>0</v>
      </c>
      <c r="O362" s="3" t="s">
        <v>68</v>
      </c>
    </row>
    <row r="363" customFormat="false" ht="15" hidden="false" customHeight="false" outlineLevel="0" collapsed="false">
      <c r="A363" s="0" t="s">
        <v>766</v>
      </c>
      <c r="B363" s="2" t="n">
        <v>45757</v>
      </c>
      <c r="C363" s="0" t="str">
        <f aca="false">TEXT(B363,"mmm")</f>
        <v>Apr</v>
      </c>
      <c r="D363" s="0" t="str">
        <f aca="false">TEXT(B363,"ddd")</f>
        <v>Thu</v>
      </c>
      <c r="E363" s="3" t="s">
        <v>30</v>
      </c>
      <c r="F363" s="3" t="s">
        <v>31</v>
      </c>
      <c r="G363" s="3" t="s">
        <v>21</v>
      </c>
      <c r="H363" s="3" t="s">
        <v>22</v>
      </c>
      <c r="I363" s="4" t="n">
        <v>533</v>
      </c>
      <c r="J363" s="4" t="n">
        <v>0</v>
      </c>
      <c r="K363" s="4" t="n">
        <v>0</v>
      </c>
      <c r="L363" s="4" t="n">
        <f aca="false">IF(O363="Delivered",I363-J363+K363,0)</f>
        <v>533</v>
      </c>
      <c r="M363" s="0" t="n">
        <v>41</v>
      </c>
      <c r="N363" s="0" t="n">
        <v>4.1</v>
      </c>
      <c r="O363" s="3" t="s">
        <v>17</v>
      </c>
    </row>
    <row r="364" customFormat="false" ht="15" hidden="false" customHeight="false" outlineLevel="0" collapsed="false">
      <c r="A364" s="0" t="s">
        <v>820</v>
      </c>
      <c r="B364" s="2" t="n">
        <v>45757</v>
      </c>
      <c r="C364" s="0" t="str">
        <f aca="false">TEXT(B364,"mmm")</f>
        <v>Apr</v>
      </c>
      <c r="D364" s="0" t="str">
        <f aca="false">TEXT(B364,"ddd")</f>
        <v>Thu</v>
      </c>
      <c r="E364" s="3" t="s">
        <v>13</v>
      </c>
      <c r="F364" s="3" t="s">
        <v>31</v>
      </c>
      <c r="G364" s="3" t="s">
        <v>15</v>
      </c>
      <c r="H364" s="3" t="s">
        <v>54</v>
      </c>
      <c r="I364" s="4" t="n">
        <v>329</v>
      </c>
      <c r="J364" s="4" t="n">
        <v>0</v>
      </c>
      <c r="K364" s="4" t="n">
        <v>20</v>
      </c>
      <c r="L364" s="4" t="n">
        <f aca="false">IF(O364="Delivered",I364-J364+K364,0)</f>
        <v>349</v>
      </c>
      <c r="M364" s="0" t="n">
        <v>28</v>
      </c>
      <c r="N364" s="0" t="n">
        <v>5</v>
      </c>
      <c r="O364" s="3" t="s">
        <v>17</v>
      </c>
    </row>
    <row r="365" customFormat="false" ht="15" hidden="false" customHeight="false" outlineLevel="0" collapsed="false">
      <c r="A365" s="0" t="s">
        <v>328</v>
      </c>
      <c r="B365" s="2" t="n">
        <v>45758</v>
      </c>
      <c r="C365" s="0" t="str">
        <f aca="false">TEXT(B365,"mmm")</f>
        <v>Apr</v>
      </c>
      <c r="D365" s="0" t="str">
        <f aca="false">TEXT(B365,"ddd")</f>
        <v>Fri</v>
      </c>
      <c r="E365" s="3" t="s">
        <v>24</v>
      </c>
      <c r="F365" s="3" t="s">
        <v>31</v>
      </c>
      <c r="G365" s="3" t="s">
        <v>21</v>
      </c>
      <c r="H365" s="3" t="s">
        <v>54</v>
      </c>
      <c r="I365" s="4" t="n">
        <v>303</v>
      </c>
      <c r="J365" s="4" t="n">
        <v>0</v>
      </c>
      <c r="K365" s="4" t="n">
        <v>20</v>
      </c>
      <c r="L365" s="4" t="n">
        <f aca="false">IF(O365="Delivered",I365-J365+K365,0)</f>
        <v>323</v>
      </c>
      <c r="M365" s="0" t="n">
        <v>39</v>
      </c>
      <c r="N365" s="0" t="n">
        <v>4.6</v>
      </c>
      <c r="O365" s="3" t="s">
        <v>17</v>
      </c>
    </row>
    <row r="366" customFormat="false" ht="15" hidden="false" customHeight="false" outlineLevel="0" collapsed="false">
      <c r="A366" s="0" t="s">
        <v>358</v>
      </c>
      <c r="B366" s="2" t="n">
        <v>45758</v>
      </c>
      <c r="C366" s="0" t="str">
        <f aca="false">TEXT(B366,"mmm")</f>
        <v>Apr</v>
      </c>
      <c r="D366" s="0" t="str">
        <f aca="false">TEXT(B366,"ddd")</f>
        <v>Fri</v>
      </c>
      <c r="E366" s="3" t="s">
        <v>24</v>
      </c>
      <c r="F366" s="3" t="s">
        <v>25</v>
      </c>
      <c r="G366" s="3" t="s">
        <v>21</v>
      </c>
      <c r="H366" s="3" t="s">
        <v>22</v>
      </c>
      <c r="I366" s="4" t="n">
        <v>430</v>
      </c>
      <c r="J366" s="4" t="n">
        <v>0</v>
      </c>
      <c r="K366" s="4" t="n">
        <v>30</v>
      </c>
      <c r="L366" s="4" t="n">
        <f aca="false">IF(O366="Delivered",I366-J366+K366,0)</f>
        <v>0</v>
      </c>
      <c r="O366" s="3" t="s">
        <v>68</v>
      </c>
    </row>
    <row r="367" customFormat="false" ht="15" hidden="false" customHeight="false" outlineLevel="0" collapsed="false">
      <c r="A367" s="0" t="s">
        <v>521</v>
      </c>
      <c r="B367" s="2" t="n">
        <v>45758</v>
      </c>
      <c r="C367" s="0" t="str">
        <f aca="false">TEXT(B367,"mmm")</f>
        <v>Apr</v>
      </c>
      <c r="D367" s="0" t="str">
        <f aca="false">TEXT(B367,"ddd")</f>
        <v>Fri</v>
      </c>
      <c r="E367" s="3" t="s">
        <v>24</v>
      </c>
      <c r="F367" s="3" t="s">
        <v>31</v>
      </c>
      <c r="G367" s="3" t="s">
        <v>15</v>
      </c>
      <c r="H367" s="3" t="s">
        <v>22</v>
      </c>
      <c r="I367" s="4" t="n">
        <v>396</v>
      </c>
      <c r="J367" s="4" t="n">
        <v>57</v>
      </c>
      <c r="K367" s="4" t="n">
        <v>20</v>
      </c>
      <c r="L367" s="4" t="n">
        <f aca="false">IF(O367="Delivered",I367-J367+K367,0)</f>
        <v>0</v>
      </c>
      <c r="O367" s="3" t="s">
        <v>68</v>
      </c>
    </row>
    <row r="368" customFormat="false" ht="15" hidden="false" customHeight="false" outlineLevel="0" collapsed="false">
      <c r="A368" s="0" t="s">
        <v>776</v>
      </c>
      <c r="B368" s="2" t="n">
        <v>45758</v>
      </c>
      <c r="C368" s="0" t="str">
        <f aca="false">TEXT(B368,"mmm")</f>
        <v>Apr</v>
      </c>
      <c r="D368" s="0" t="str">
        <f aca="false">TEXT(B368,"ddd")</f>
        <v>Fri</v>
      </c>
      <c r="E368" s="3" t="s">
        <v>30</v>
      </c>
      <c r="F368" s="3" t="s">
        <v>25</v>
      </c>
      <c r="G368" s="3" t="s">
        <v>15</v>
      </c>
      <c r="H368" s="3" t="s">
        <v>16</v>
      </c>
      <c r="I368" s="4" t="n">
        <v>391</v>
      </c>
      <c r="J368" s="4" t="n">
        <v>56</v>
      </c>
      <c r="K368" s="4" t="n">
        <v>30</v>
      </c>
      <c r="L368" s="4" t="n">
        <f aca="false">IF(O368="Delivered",I368-J368+K368,0)</f>
        <v>365</v>
      </c>
      <c r="M368" s="0" t="n">
        <v>30</v>
      </c>
      <c r="N368" s="0" t="n">
        <v>4.5</v>
      </c>
      <c r="O368" s="3" t="s">
        <v>17</v>
      </c>
    </row>
    <row r="369" customFormat="false" ht="15" hidden="false" customHeight="false" outlineLevel="0" collapsed="false">
      <c r="A369" s="0" t="s">
        <v>1621</v>
      </c>
      <c r="B369" s="2" t="n">
        <v>45758</v>
      </c>
      <c r="C369" s="0" t="str">
        <f aca="false">TEXT(B369,"mmm")</f>
        <v>Apr</v>
      </c>
      <c r="D369" s="0" t="str">
        <f aca="false">TEXT(B369,"ddd")</f>
        <v>Fri</v>
      </c>
      <c r="E369" s="3" t="s">
        <v>19</v>
      </c>
      <c r="F369" s="3" t="s">
        <v>31</v>
      </c>
      <c r="G369" s="3" t="s">
        <v>21</v>
      </c>
      <c r="H369" s="3" t="s">
        <v>54</v>
      </c>
      <c r="I369" s="4" t="n">
        <v>408</v>
      </c>
      <c r="J369" s="4" t="n">
        <v>0</v>
      </c>
      <c r="K369" s="4" t="n">
        <v>40</v>
      </c>
      <c r="L369" s="4" t="n">
        <f aca="false">IF(O369="Delivered",I369-J369+K369,0)</f>
        <v>448</v>
      </c>
      <c r="M369" s="0" t="n">
        <v>24</v>
      </c>
      <c r="N369" s="0" t="n">
        <v>5</v>
      </c>
      <c r="O369" s="3" t="s">
        <v>17</v>
      </c>
    </row>
    <row r="370" customFormat="false" ht="15" hidden="false" customHeight="false" outlineLevel="0" collapsed="false">
      <c r="A370" s="0" t="s">
        <v>258</v>
      </c>
      <c r="B370" s="2" t="n">
        <v>45759</v>
      </c>
      <c r="C370" s="0" t="str">
        <f aca="false">TEXT(B370,"mmm")</f>
        <v>Apr</v>
      </c>
      <c r="D370" s="0" t="str">
        <f aca="false">TEXT(B370,"ddd")</f>
        <v>Sat</v>
      </c>
      <c r="E370" s="3" t="s">
        <v>51</v>
      </c>
      <c r="F370" s="3" t="s">
        <v>31</v>
      </c>
      <c r="G370" s="3" t="s">
        <v>15</v>
      </c>
      <c r="H370" s="3" t="s">
        <v>22</v>
      </c>
      <c r="I370" s="4" t="n">
        <v>641</v>
      </c>
      <c r="J370" s="4" t="n">
        <v>90</v>
      </c>
      <c r="K370" s="4" t="n">
        <v>0</v>
      </c>
      <c r="L370" s="4" t="n">
        <f aca="false">IF(O370="Delivered",I370-J370+K370,0)</f>
        <v>551</v>
      </c>
      <c r="M370" s="0" t="n">
        <v>45</v>
      </c>
      <c r="N370" s="0" t="n">
        <v>4.8</v>
      </c>
      <c r="O370" s="3" t="s">
        <v>17</v>
      </c>
    </row>
    <row r="371" customFormat="false" ht="15" hidden="false" customHeight="false" outlineLevel="0" collapsed="false">
      <c r="A371" s="0" t="s">
        <v>509</v>
      </c>
      <c r="B371" s="2" t="n">
        <v>45759</v>
      </c>
      <c r="C371" s="0" t="str">
        <f aca="false">TEXT(B371,"mmm")</f>
        <v>Apr</v>
      </c>
      <c r="D371" s="0" t="str">
        <f aca="false">TEXT(B371,"ddd")</f>
        <v>Sat</v>
      </c>
      <c r="E371" s="3" t="s">
        <v>24</v>
      </c>
      <c r="F371" s="3" t="s">
        <v>25</v>
      </c>
      <c r="G371" s="3" t="s">
        <v>21</v>
      </c>
      <c r="H371" s="3" t="s">
        <v>22</v>
      </c>
      <c r="I371" s="4" t="n">
        <v>402</v>
      </c>
      <c r="J371" s="4" t="n">
        <v>0</v>
      </c>
      <c r="K371" s="4" t="n">
        <v>30</v>
      </c>
      <c r="L371" s="4" t="n">
        <f aca="false">IF(O371="Delivered",I371-J371+K371,0)</f>
        <v>432</v>
      </c>
      <c r="M371" s="0" t="n">
        <v>37</v>
      </c>
      <c r="N371" s="0" t="n">
        <v>3</v>
      </c>
      <c r="O371" s="3" t="s">
        <v>17</v>
      </c>
    </row>
    <row r="372" customFormat="false" ht="15" hidden="false" customHeight="false" outlineLevel="0" collapsed="false">
      <c r="A372" s="0" t="s">
        <v>828</v>
      </c>
      <c r="B372" s="2" t="n">
        <v>45759</v>
      </c>
      <c r="C372" s="0" t="str">
        <f aca="false">TEXT(B372,"mmm")</f>
        <v>Apr</v>
      </c>
      <c r="D372" s="0" t="str">
        <f aca="false">TEXT(B372,"ddd")</f>
        <v>Sat</v>
      </c>
      <c r="E372" s="3" t="s">
        <v>40</v>
      </c>
      <c r="F372" s="3" t="s">
        <v>14</v>
      </c>
      <c r="G372" s="3" t="s">
        <v>15</v>
      </c>
      <c r="H372" s="3" t="s">
        <v>22</v>
      </c>
      <c r="I372" s="4" t="n">
        <v>289</v>
      </c>
      <c r="J372" s="4" t="n">
        <v>66</v>
      </c>
      <c r="K372" s="4" t="n">
        <v>45</v>
      </c>
      <c r="L372" s="4" t="n">
        <f aca="false">IF(O372="Delivered",I372-J372+K372,0)</f>
        <v>268</v>
      </c>
      <c r="M372" s="0" t="n">
        <v>48</v>
      </c>
      <c r="N372" s="0" t="n">
        <v>4.4</v>
      </c>
      <c r="O372" s="3" t="s">
        <v>17</v>
      </c>
    </row>
    <row r="373" customFormat="false" ht="15" hidden="false" customHeight="false" outlineLevel="0" collapsed="false">
      <c r="A373" s="0" t="s">
        <v>903</v>
      </c>
      <c r="B373" s="2" t="n">
        <v>45759</v>
      </c>
      <c r="C373" s="0" t="str">
        <f aca="false">TEXT(B373,"mmm")</f>
        <v>Apr</v>
      </c>
      <c r="D373" s="0" t="str">
        <f aca="false">TEXT(B373,"ddd")</f>
        <v>Sat</v>
      </c>
      <c r="E373" s="3" t="s">
        <v>13</v>
      </c>
      <c r="F373" s="3" t="s">
        <v>49</v>
      </c>
      <c r="G373" s="3" t="s">
        <v>21</v>
      </c>
      <c r="H373" s="3" t="s">
        <v>22</v>
      </c>
      <c r="I373" s="4" t="n">
        <v>385</v>
      </c>
      <c r="J373" s="4" t="n">
        <v>0</v>
      </c>
      <c r="K373" s="4" t="n">
        <v>40</v>
      </c>
      <c r="L373" s="4" t="n">
        <f aca="false">IF(O373="Delivered",I373-J373+K373,0)</f>
        <v>425</v>
      </c>
      <c r="M373" s="0" t="n">
        <v>41</v>
      </c>
      <c r="N373" s="0" t="n">
        <v>3.4</v>
      </c>
      <c r="O373" s="3" t="s">
        <v>17</v>
      </c>
    </row>
    <row r="374" customFormat="false" ht="15" hidden="false" customHeight="false" outlineLevel="0" collapsed="false">
      <c r="A374" s="0" t="s">
        <v>1246</v>
      </c>
      <c r="B374" s="2" t="n">
        <v>45759</v>
      </c>
      <c r="C374" s="0" t="str">
        <f aca="false">TEXT(B374,"mmm")</f>
        <v>Apr</v>
      </c>
      <c r="D374" s="0" t="str">
        <f aca="false">TEXT(B374,"ddd")</f>
        <v>Sat</v>
      </c>
      <c r="E374" s="3" t="s">
        <v>30</v>
      </c>
      <c r="F374" s="3" t="s">
        <v>31</v>
      </c>
      <c r="G374" s="3" t="s">
        <v>21</v>
      </c>
      <c r="H374" s="3" t="s">
        <v>16</v>
      </c>
      <c r="I374" s="4" t="n">
        <v>513</v>
      </c>
      <c r="J374" s="4" t="n">
        <v>0</v>
      </c>
      <c r="K374" s="4" t="n">
        <v>0</v>
      </c>
      <c r="L374" s="4" t="n">
        <f aca="false">IF(O374="Delivered",I374-J374+K374,0)</f>
        <v>513</v>
      </c>
      <c r="M374" s="0" t="n">
        <v>38</v>
      </c>
      <c r="N374" s="0" t="n">
        <v>4.1</v>
      </c>
      <c r="O374" s="3" t="s">
        <v>17</v>
      </c>
    </row>
    <row r="375" customFormat="false" ht="15" hidden="false" customHeight="false" outlineLevel="0" collapsed="false">
      <c r="A375" s="0" t="s">
        <v>676</v>
      </c>
      <c r="B375" s="2" t="n">
        <v>45760</v>
      </c>
      <c r="C375" s="0" t="str">
        <f aca="false">TEXT(B375,"mmm")</f>
        <v>Apr</v>
      </c>
      <c r="D375" s="0" t="str">
        <f aca="false">TEXT(B375,"ddd")</f>
        <v>Sun</v>
      </c>
      <c r="E375" s="3" t="s">
        <v>24</v>
      </c>
      <c r="F375" s="3" t="s">
        <v>56</v>
      </c>
      <c r="G375" s="3" t="s">
        <v>15</v>
      </c>
      <c r="H375" s="3" t="s">
        <v>22</v>
      </c>
      <c r="I375" s="4" t="n">
        <v>401</v>
      </c>
      <c r="J375" s="4" t="n">
        <v>68</v>
      </c>
      <c r="K375" s="4" t="n">
        <v>20</v>
      </c>
      <c r="L375" s="4" t="n">
        <f aca="false">IF(O375="Delivered",I375-J375+K375,0)</f>
        <v>353</v>
      </c>
      <c r="M375" s="0" t="n">
        <v>41</v>
      </c>
      <c r="N375" s="0" t="n">
        <v>4.4</v>
      </c>
      <c r="O375" s="3" t="s">
        <v>17</v>
      </c>
    </row>
    <row r="376" customFormat="false" ht="15" hidden="false" customHeight="false" outlineLevel="0" collapsed="false">
      <c r="A376" s="0" t="s">
        <v>884</v>
      </c>
      <c r="B376" s="2" t="n">
        <v>45760</v>
      </c>
      <c r="C376" s="0" t="str">
        <f aca="false">TEXT(B376,"mmm")</f>
        <v>Apr</v>
      </c>
      <c r="D376" s="0" t="str">
        <f aca="false">TEXT(B376,"ddd")</f>
        <v>Sun</v>
      </c>
      <c r="E376" s="3" t="s">
        <v>24</v>
      </c>
      <c r="F376" s="3" t="s">
        <v>56</v>
      </c>
      <c r="G376" s="3" t="s">
        <v>15</v>
      </c>
      <c r="H376" s="3" t="s">
        <v>36</v>
      </c>
      <c r="I376" s="4" t="n">
        <v>423</v>
      </c>
      <c r="J376" s="4" t="n">
        <v>47</v>
      </c>
      <c r="K376" s="4" t="n">
        <v>45</v>
      </c>
      <c r="L376" s="4" t="n">
        <f aca="false">IF(O376="Delivered",I376-J376+K376,0)</f>
        <v>421</v>
      </c>
      <c r="M376" s="0" t="n">
        <v>43</v>
      </c>
      <c r="N376" s="0" t="n">
        <v>3.9</v>
      </c>
      <c r="O376" s="3" t="s">
        <v>17</v>
      </c>
    </row>
    <row r="377" customFormat="false" ht="15" hidden="false" customHeight="false" outlineLevel="0" collapsed="false">
      <c r="A377" s="0" t="s">
        <v>1034</v>
      </c>
      <c r="B377" s="2" t="n">
        <v>45760</v>
      </c>
      <c r="C377" s="0" t="str">
        <f aca="false">TEXT(B377,"mmm")</f>
        <v>Apr</v>
      </c>
      <c r="D377" s="0" t="str">
        <f aca="false">TEXT(B377,"ddd")</f>
        <v>Sun</v>
      </c>
      <c r="E377" s="3" t="s">
        <v>24</v>
      </c>
      <c r="F377" s="3" t="s">
        <v>56</v>
      </c>
      <c r="G377" s="3" t="s">
        <v>21</v>
      </c>
      <c r="H377" s="3" t="s">
        <v>22</v>
      </c>
      <c r="I377" s="4" t="n">
        <v>289</v>
      </c>
      <c r="J377" s="4" t="n">
        <v>0</v>
      </c>
      <c r="K377" s="4" t="n">
        <v>45</v>
      </c>
      <c r="L377" s="4" t="n">
        <f aca="false">IF(O377="Delivered",I377-J377+K377,0)</f>
        <v>334</v>
      </c>
      <c r="M377" s="0" t="n">
        <v>32</v>
      </c>
      <c r="N377" s="0" t="n">
        <v>4.3</v>
      </c>
      <c r="O377" s="3" t="s">
        <v>17</v>
      </c>
    </row>
    <row r="378" customFormat="false" ht="15" hidden="false" customHeight="false" outlineLevel="0" collapsed="false">
      <c r="A378" s="0" t="s">
        <v>1236</v>
      </c>
      <c r="B378" s="2" t="n">
        <v>45760</v>
      </c>
      <c r="C378" s="0" t="str">
        <f aca="false">TEXT(B378,"mmm")</f>
        <v>Apr</v>
      </c>
      <c r="D378" s="0" t="str">
        <f aca="false">TEXT(B378,"ddd")</f>
        <v>Sun</v>
      </c>
      <c r="E378" s="3" t="s">
        <v>40</v>
      </c>
      <c r="F378" s="3" t="s">
        <v>25</v>
      </c>
      <c r="G378" s="3" t="s">
        <v>21</v>
      </c>
      <c r="H378" s="3" t="s">
        <v>36</v>
      </c>
      <c r="I378" s="4" t="n">
        <v>440</v>
      </c>
      <c r="J378" s="4" t="n">
        <v>0</v>
      </c>
      <c r="K378" s="4" t="n">
        <v>40</v>
      </c>
      <c r="L378" s="4" t="n">
        <f aca="false">IF(O378="Delivered",I378-J378+K378,0)</f>
        <v>480</v>
      </c>
      <c r="M378" s="0" t="n">
        <v>37</v>
      </c>
      <c r="N378" s="0" t="n">
        <v>4.3</v>
      </c>
      <c r="O378" s="3" t="s">
        <v>17</v>
      </c>
    </row>
    <row r="379" customFormat="false" ht="15" hidden="false" customHeight="false" outlineLevel="0" collapsed="false">
      <c r="A379" s="0" t="s">
        <v>856</v>
      </c>
      <c r="B379" s="2" t="n">
        <v>45761</v>
      </c>
      <c r="C379" s="0" t="str">
        <f aca="false">TEXT(B379,"mmm")</f>
        <v>Apr</v>
      </c>
      <c r="D379" s="0" t="str">
        <f aca="false">TEXT(B379,"ddd")</f>
        <v>Mon</v>
      </c>
      <c r="E379" s="3" t="s">
        <v>13</v>
      </c>
      <c r="F379" s="3" t="s">
        <v>78</v>
      </c>
      <c r="G379" s="3" t="s">
        <v>15</v>
      </c>
      <c r="H379" s="3" t="s">
        <v>22</v>
      </c>
      <c r="I379" s="4" t="n">
        <v>330</v>
      </c>
      <c r="J379" s="4" t="n">
        <v>37</v>
      </c>
      <c r="K379" s="4" t="n">
        <v>45</v>
      </c>
      <c r="L379" s="4" t="n">
        <f aca="false">IF(O379="Delivered",I379-J379+K379,0)</f>
        <v>338</v>
      </c>
      <c r="M379" s="0" t="n">
        <v>33</v>
      </c>
      <c r="N379" s="0" t="n">
        <v>3.3</v>
      </c>
      <c r="O379" s="3" t="s">
        <v>17</v>
      </c>
    </row>
    <row r="380" customFormat="false" ht="15" hidden="false" customHeight="false" outlineLevel="0" collapsed="false">
      <c r="A380" s="0" t="s">
        <v>1091</v>
      </c>
      <c r="B380" s="2" t="n">
        <v>45761</v>
      </c>
      <c r="C380" s="0" t="str">
        <f aca="false">TEXT(B380,"mmm")</f>
        <v>Apr</v>
      </c>
      <c r="D380" s="0" t="str">
        <f aca="false">TEXT(B380,"ddd")</f>
        <v>Mon</v>
      </c>
      <c r="E380" s="3" t="s">
        <v>27</v>
      </c>
      <c r="F380" s="3" t="s">
        <v>14</v>
      </c>
      <c r="G380" s="3" t="s">
        <v>15</v>
      </c>
      <c r="H380" s="3" t="s">
        <v>36</v>
      </c>
      <c r="I380" s="4" t="n">
        <v>338</v>
      </c>
      <c r="J380" s="4" t="n">
        <v>41</v>
      </c>
      <c r="K380" s="4" t="n">
        <v>40</v>
      </c>
      <c r="L380" s="4" t="n">
        <f aca="false">IF(O380="Delivered",I380-J380+K380,0)</f>
        <v>337</v>
      </c>
      <c r="M380" s="0" t="n">
        <v>39</v>
      </c>
      <c r="N380" s="0" t="n">
        <v>3.9</v>
      </c>
      <c r="O380" s="3" t="s">
        <v>17</v>
      </c>
    </row>
    <row r="381" customFormat="false" ht="15" hidden="false" customHeight="false" outlineLevel="0" collapsed="false">
      <c r="A381" s="0" t="s">
        <v>1100</v>
      </c>
      <c r="B381" s="2" t="n">
        <v>45761</v>
      </c>
      <c r="C381" s="0" t="str">
        <f aca="false">TEXT(B381,"mmm")</f>
        <v>Apr</v>
      </c>
      <c r="D381" s="0" t="str">
        <f aca="false">TEXT(B381,"ddd")</f>
        <v>Mon</v>
      </c>
      <c r="E381" s="3" t="s">
        <v>13</v>
      </c>
      <c r="F381" s="3" t="s">
        <v>49</v>
      </c>
      <c r="G381" s="3" t="s">
        <v>21</v>
      </c>
      <c r="H381" s="3" t="s">
        <v>22</v>
      </c>
      <c r="I381" s="4" t="n">
        <v>523</v>
      </c>
      <c r="J381" s="4" t="n">
        <v>102</v>
      </c>
      <c r="K381" s="4" t="n">
        <v>0</v>
      </c>
      <c r="L381" s="4" t="n">
        <f aca="false">IF(O381="Delivered",I381-J381+K381,0)</f>
        <v>421</v>
      </c>
      <c r="M381" s="0" t="n">
        <v>29</v>
      </c>
      <c r="N381" s="0" t="n">
        <v>4.9</v>
      </c>
      <c r="O381" s="3" t="s">
        <v>17</v>
      </c>
    </row>
    <row r="382" customFormat="false" ht="15" hidden="false" customHeight="false" outlineLevel="0" collapsed="false">
      <c r="A382" s="0" t="s">
        <v>1202</v>
      </c>
      <c r="B382" s="2" t="n">
        <v>45761</v>
      </c>
      <c r="C382" s="0" t="str">
        <f aca="false">TEXT(B382,"mmm")</f>
        <v>Apr</v>
      </c>
      <c r="D382" s="0" t="str">
        <f aca="false">TEXT(B382,"ddd")</f>
        <v>Mon</v>
      </c>
      <c r="E382" s="3" t="s">
        <v>24</v>
      </c>
      <c r="F382" s="3" t="s">
        <v>28</v>
      </c>
      <c r="G382" s="3" t="s">
        <v>21</v>
      </c>
      <c r="H382" s="3" t="s">
        <v>22</v>
      </c>
      <c r="I382" s="4" t="n">
        <v>532</v>
      </c>
      <c r="J382" s="4" t="n">
        <v>0</v>
      </c>
      <c r="K382" s="4" t="n">
        <v>0</v>
      </c>
      <c r="L382" s="4" t="n">
        <f aca="false">IF(O382="Delivered",I382-J382+K382,0)</f>
        <v>532</v>
      </c>
      <c r="M382" s="0" t="n">
        <v>33</v>
      </c>
      <c r="N382" s="0" t="n">
        <v>5</v>
      </c>
      <c r="O382" s="3" t="s">
        <v>17</v>
      </c>
    </row>
    <row r="383" customFormat="false" ht="15" hidden="false" customHeight="false" outlineLevel="0" collapsed="false">
      <c r="A383" s="0" t="s">
        <v>327</v>
      </c>
      <c r="B383" s="2" t="n">
        <v>45762</v>
      </c>
      <c r="C383" s="0" t="str">
        <f aca="false">TEXT(B383,"mmm")</f>
        <v>Apr</v>
      </c>
      <c r="D383" s="0" t="str">
        <f aca="false">TEXT(B383,"ddd")</f>
        <v>Tue</v>
      </c>
      <c r="E383" s="3" t="s">
        <v>30</v>
      </c>
      <c r="F383" s="3" t="s">
        <v>56</v>
      </c>
      <c r="G383" s="3" t="s">
        <v>21</v>
      </c>
      <c r="H383" s="3" t="s">
        <v>22</v>
      </c>
      <c r="I383" s="4" t="n">
        <v>392</v>
      </c>
      <c r="J383" s="4" t="n">
        <v>75</v>
      </c>
      <c r="K383" s="4" t="n">
        <v>45</v>
      </c>
      <c r="L383" s="4" t="n">
        <f aca="false">IF(O383="Delivered",I383-J383+K383,0)</f>
        <v>362</v>
      </c>
      <c r="M383" s="0" t="n">
        <v>37</v>
      </c>
      <c r="N383" s="0" t="n">
        <v>3.9</v>
      </c>
      <c r="O383" s="3" t="s">
        <v>17</v>
      </c>
    </row>
    <row r="384" customFormat="false" ht="15" hidden="false" customHeight="false" outlineLevel="0" collapsed="false">
      <c r="A384" s="0" t="s">
        <v>1098</v>
      </c>
      <c r="B384" s="2" t="n">
        <v>45762</v>
      </c>
      <c r="C384" s="0" t="str">
        <f aca="false">TEXT(B384,"mmm")</f>
        <v>Apr</v>
      </c>
      <c r="D384" s="0" t="str">
        <f aca="false">TEXT(B384,"ddd")</f>
        <v>Tue</v>
      </c>
      <c r="E384" s="3" t="s">
        <v>13</v>
      </c>
      <c r="F384" s="3" t="s">
        <v>78</v>
      </c>
      <c r="G384" s="3" t="s">
        <v>21</v>
      </c>
      <c r="H384" s="3" t="s">
        <v>54</v>
      </c>
      <c r="I384" s="4" t="n">
        <v>478</v>
      </c>
      <c r="J384" s="4" t="n">
        <v>0</v>
      </c>
      <c r="K384" s="4" t="n">
        <v>30</v>
      </c>
      <c r="L384" s="4" t="n">
        <f aca="false">IF(O384="Delivered",I384-J384+K384,0)</f>
        <v>508</v>
      </c>
      <c r="M384" s="0" t="n">
        <v>32</v>
      </c>
      <c r="N384" s="0" t="n">
        <v>4.9</v>
      </c>
      <c r="O384" s="3" t="s">
        <v>17</v>
      </c>
    </row>
    <row r="385" customFormat="false" ht="15" hidden="false" customHeight="false" outlineLevel="0" collapsed="false">
      <c r="A385" s="0" t="s">
        <v>359</v>
      </c>
      <c r="B385" s="2" t="n">
        <v>45763</v>
      </c>
      <c r="C385" s="0" t="str">
        <f aca="false">TEXT(B385,"mmm")</f>
        <v>Apr</v>
      </c>
      <c r="D385" s="0" t="str">
        <f aca="false">TEXT(B385,"ddd")</f>
        <v>Wed</v>
      </c>
      <c r="E385" s="3" t="s">
        <v>40</v>
      </c>
      <c r="F385" s="3" t="s">
        <v>31</v>
      </c>
      <c r="G385" s="3" t="s">
        <v>21</v>
      </c>
      <c r="H385" s="3" t="s">
        <v>22</v>
      </c>
      <c r="I385" s="4" t="n">
        <v>475</v>
      </c>
      <c r="J385" s="4" t="n">
        <v>99</v>
      </c>
      <c r="K385" s="4" t="n">
        <v>45</v>
      </c>
      <c r="L385" s="4" t="n">
        <f aca="false">IF(O385="Delivered",I385-J385+K385,0)</f>
        <v>421</v>
      </c>
      <c r="M385" s="0" t="n">
        <v>40</v>
      </c>
      <c r="N385" s="0" t="n">
        <v>4.7</v>
      </c>
      <c r="O385" s="3" t="s">
        <v>17</v>
      </c>
    </row>
    <row r="386" customFormat="false" ht="15" hidden="false" customHeight="false" outlineLevel="0" collapsed="false">
      <c r="A386" s="0" t="s">
        <v>434</v>
      </c>
      <c r="B386" s="2" t="n">
        <v>45764</v>
      </c>
      <c r="C386" s="0" t="str">
        <f aca="false">TEXT(B386,"mmm")</f>
        <v>Apr</v>
      </c>
      <c r="D386" s="0" t="str">
        <f aca="false">TEXT(B386,"ddd")</f>
        <v>Thu</v>
      </c>
      <c r="E386" s="3" t="s">
        <v>13</v>
      </c>
      <c r="F386" s="3" t="s">
        <v>20</v>
      </c>
      <c r="G386" s="3" t="s">
        <v>21</v>
      </c>
      <c r="H386" s="3" t="s">
        <v>36</v>
      </c>
      <c r="I386" s="4" t="n">
        <v>467</v>
      </c>
      <c r="J386" s="4" t="n">
        <v>0</v>
      </c>
      <c r="K386" s="4" t="n">
        <v>20</v>
      </c>
      <c r="L386" s="4" t="n">
        <f aca="false">IF(O386="Delivered",I386-J386+K386,0)</f>
        <v>487</v>
      </c>
      <c r="M386" s="0" t="n">
        <v>45</v>
      </c>
      <c r="N386" s="0" t="n">
        <v>3.2</v>
      </c>
      <c r="O386" s="3" t="s">
        <v>17</v>
      </c>
    </row>
    <row r="387" customFormat="false" ht="15" hidden="false" customHeight="false" outlineLevel="0" collapsed="false">
      <c r="A387" s="0" t="s">
        <v>1051</v>
      </c>
      <c r="B387" s="2" t="n">
        <v>45764</v>
      </c>
      <c r="C387" s="0" t="str">
        <f aca="false">TEXT(B387,"mmm")</f>
        <v>Apr</v>
      </c>
      <c r="D387" s="0" t="str">
        <f aca="false">TEXT(B387,"ddd")</f>
        <v>Thu</v>
      </c>
      <c r="E387" s="3" t="s">
        <v>24</v>
      </c>
      <c r="F387" s="3" t="s">
        <v>20</v>
      </c>
      <c r="G387" s="3" t="s">
        <v>15</v>
      </c>
      <c r="H387" s="3" t="s">
        <v>54</v>
      </c>
      <c r="I387" s="4" t="n">
        <v>737</v>
      </c>
      <c r="J387" s="4" t="n">
        <v>87</v>
      </c>
      <c r="K387" s="4" t="n">
        <v>0</v>
      </c>
      <c r="L387" s="4" t="n">
        <f aca="false">IF(O387="Delivered",I387-J387+K387,0)</f>
        <v>650</v>
      </c>
      <c r="M387" s="0" t="n">
        <v>44</v>
      </c>
      <c r="N387" s="0" t="n">
        <v>3.9</v>
      </c>
      <c r="O387" s="3" t="s">
        <v>17</v>
      </c>
    </row>
    <row r="388" customFormat="false" ht="15" hidden="false" customHeight="false" outlineLevel="0" collapsed="false">
      <c r="A388" s="0" t="s">
        <v>1069</v>
      </c>
      <c r="B388" s="2" t="n">
        <v>45764</v>
      </c>
      <c r="C388" s="0" t="str">
        <f aca="false">TEXT(B388,"mmm")</f>
        <v>Apr</v>
      </c>
      <c r="D388" s="0" t="str">
        <f aca="false">TEXT(B388,"ddd")</f>
        <v>Thu</v>
      </c>
      <c r="E388" s="3" t="s">
        <v>13</v>
      </c>
      <c r="F388" s="3" t="s">
        <v>20</v>
      </c>
      <c r="G388" s="3" t="s">
        <v>21</v>
      </c>
      <c r="H388" s="3" t="s">
        <v>22</v>
      </c>
      <c r="I388" s="4" t="n">
        <v>707</v>
      </c>
      <c r="J388" s="4" t="n">
        <v>0</v>
      </c>
      <c r="K388" s="4" t="n">
        <v>0</v>
      </c>
      <c r="L388" s="4" t="n">
        <f aca="false">IF(O388="Delivered",I388-J388+K388,0)</f>
        <v>707</v>
      </c>
      <c r="M388" s="0" t="n">
        <v>21</v>
      </c>
      <c r="N388" s="0" t="n">
        <v>4.8</v>
      </c>
      <c r="O388" s="3" t="s">
        <v>17</v>
      </c>
    </row>
    <row r="389" customFormat="false" ht="15" hidden="false" customHeight="false" outlineLevel="0" collapsed="false">
      <c r="A389" s="0" t="s">
        <v>1120</v>
      </c>
      <c r="B389" s="2" t="n">
        <v>45764</v>
      </c>
      <c r="C389" s="0" t="str">
        <f aca="false">TEXT(B389,"mmm")</f>
        <v>Apr</v>
      </c>
      <c r="D389" s="0" t="str">
        <f aca="false">TEXT(B389,"ddd")</f>
        <v>Thu</v>
      </c>
      <c r="E389" s="3" t="s">
        <v>27</v>
      </c>
      <c r="F389" s="3" t="s">
        <v>78</v>
      </c>
      <c r="G389" s="3" t="s">
        <v>21</v>
      </c>
      <c r="H389" s="3" t="s">
        <v>36</v>
      </c>
      <c r="I389" s="4" t="n">
        <v>274</v>
      </c>
      <c r="J389" s="4" t="n">
        <v>57</v>
      </c>
      <c r="K389" s="4" t="n">
        <v>45</v>
      </c>
      <c r="L389" s="4" t="n">
        <f aca="false">IF(O389="Delivered",I389-J389+K389,0)</f>
        <v>262</v>
      </c>
      <c r="M389" s="0" t="n">
        <v>44</v>
      </c>
      <c r="N389" s="0" t="n">
        <v>4.2</v>
      </c>
      <c r="O389" s="3" t="s">
        <v>17</v>
      </c>
    </row>
    <row r="390" customFormat="false" ht="15" hidden="false" customHeight="false" outlineLevel="0" collapsed="false">
      <c r="A390" s="0" t="s">
        <v>237</v>
      </c>
      <c r="B390" s="2" t="n">
        <v>45765</v>
      </c>
      <c r="C390" s="0" t="str">
        <f aca="false">TEXT(B390,"mmm")</f>
        <v>Apr</v>
      </c>
      <c r="D390" s="0" t="str">
        <f aca="false">TEXT(B390,"ddd")</f>
        <v>Fri</v>
      </c>
      <c r="E390" s="3" t="s">
        <v>13</v>
      </c>
      <c r="F390" s="3" t="s">
        <v>28</v>
      </c>
      <c r="G390" s="3" t="s">
        <v>15</v>
      </c>
      <c r="H390" s="3" t="s">
        <v>1690</v>
      </c>
      <c r="I390" s="4" t="n">
        <v>386</v>
      </c>
      <c r="J390" s="4" t="n">
        <v>76</v>
      </c>
      <c r="K390" s="4" t="n">
        <v>30</v>
      </c>
      <c r="L390" s="4" t="n">
        <f aca="false">IF(O390="Delivered",I390-J390+K390,0)</f>
        <v>340</v>
      </c>
      <c r="M390" s="0" t="n">
        <v>25</v>
      </c>
      <c r="N390" s="0" t="n">
        <v>4.5</v>
      </c>
      <c r="O390" s="3" t="s">
        <v>17</v>
      </c>
    </row>
    <row r="391" customFormat="false" ht="15" hidden="false" customHeight="false" outlineLevel="0" collapsed="false">
      <c r="A391" s="0" t="s">
        <v>914</v>
      </c>
      <c r="B391" s="2" t="n">
        <v>45765</v>
      </c>
      <c r="C391" s="0" t="str">
        <f aca="false">TEXT(B391,"mmm")</f>
        <v>Apr</v>
      </c>
      <c r="D391" s="0" t="str">
        <f aca="false">TEXT(B391,"ddd")</f>
        <v>Fri</v>
      </c>
      <c r="E391" s="3" t="s">
        <v>27</v>
      </c>
      <c r="F391" s="3" t="s">
        <v>31</v>
      </c>
      <c r="G391" s="3" t="s">
        <v>21</v>
      </c>
      <c r="H391" s="3" t="s">
        <v>22</v>
      </c>
      <c r="I391" s="4" t="n">
        <v>315</v>
      </c>
      <c r="J391" s="4" t="n">
        <v>0</v>
      </c>
      <c r="K391" s="4" t="n">
        <v>30</v>
      </c>
      <c r="L391" s="4" t="n">
        <f aca="false">IF(O391="Delivered",I391-J391+K391,0)</f>
        <v>345</v>
      </c>
      <c r="M391" s="0" t="n">
        <v>48</v>
      </c>
      <c r="N391" s="0" t="n">
        <v>4.1</v>
      </c>
      <c r="O391" s="3" t="s">
        <v>17</v>
      </c>
    </row>
    <row r="392" customFormat="false" ht="15" hidden="false" customHeight="false" outlineLevel="0" collapsed="false">
      <c r="A392" s="0" t="s">
        <v>966</v>
      </c>
      <c r="B392" s="2" t="n">
        <v>45765</v>
      </c>
      <c r="C392" s="0" t="str">
        <f aca="false">TEXT(B392,"mmm")</f>
        <v>Apr</v>
      </c>
      <c r="D392" s="0" t="str">
        <f aca="false">TEXT(B392,"ddd")</f>
        <v>Fri</v>
      </c>
      <c r="E392" s="3" t="s">
        <v>27</v>
      </c>
      <c r="F392" s="3" t="s">
        <v>20</v>
      </c>
      <c r="G392" s="3" t="s">
        <v>15</v>
      </c>
      <c r="H392" s="3" t="s">
        <v>36</v>
      </c>
      <c r="I392" s="4" t="n">
        <v>665</v>
      </c>
      <c r="J392" s="4" t="n">
        <v>106</v>
      </c>
      <c r="K392" s="4" t="n">
        <v>0</v>
      </c>
      <c r="L392" s="4" t="n">
        <f aca="false">IF(O392="Delivered",I392-J392+K392,0)</f>
        <v>559</v>
      </c>
      <c r="M392" s="0" t="n">
        <v>39</v>
      </c>
      <c r="N392" s="0" t="n">
        <v>3.8</v>
      </c>
      <c r="O392" s="3" t="s">
        <v>17</v>
      </c>
    </row>
    <row r="393" customFormat="false" ht="15" hidden="false" customHeight="false" outlineLevel="0" collapsed="false">
      <c r="A393" s="0" t="s">
        <v>1217</v>
      </c>
      <c r="B393" s="2" t="n">
        <v>45765</v>
      </c>
      <c r="C393" s="0" t="str">
        <f aca="false">TEXT(B393,"mmm")</f>
        <v>Apr</v>
      </c>
      <c r="D393" s="0" t="str">
        <f aca="false">TEXT(B393,"ddd")</f>
        <v>Fri</v>
      </c>
      <c r="E393" s="3" t="s">
        <v>13</v>
      </c>
      <c r="F393" s="3" t="s">
        <v>31</v>
      </c>
      <c r="G393" s="3" t="s">
        <v>15</v>
      </c>
      <c r="H393" s="3" t="s">
        <v>22</v>
      </c>
      <c r="I393" s="4" t="n">
        <v>364</v>
      </c>
      <c r="J393" s="4" t="n">
        <v>47</v>
      </c>
      <c r="K393" s="4" t="n">
        <v>20</v>
      </c>
      <c r="L393" s="4" t="n">
        <f aca="false">IF(O393="Delivered",I393-J393+K393,0)</f>
        <v>337</v>
      </c>
      <c r="M393" s="0" t="n">
        <v>32</v>
      </c>
      <c r="N393" s="0" t="n">
        <v>4.9</v>
      </c>
      <c r="O393" s="3" t="s">
        <v>17</v>
      </c>
    </row>
    <row r="394" customFormat="false" ht="15" hidden="false" customHeight="false" outlineLevel="0" collapsed="false">
      <c r="A394" s="0" t="s">
        <v>1249</v>
      </c>
      <c r="B394" s="2" t="n">
        <v>45766</v>
      </c>
      <c r="C394" s="0" t="str">
        <f aca="false">TEXT(B394,"mmm")</f>
        <v>Apr</v>
      </c>
      <c r="D394" s="0" t="str">
        <f aca="false">TEXT(B394,"ddd")</f>
        <v>Sat</v>
      </c>
      <c r="E394" s="3" t="s">
        <v>40</v>
      </c>
      <c r="F394" s="3" t="s">
        <v>31</v>
      </c>
      <c r="G394" s="3" t="s">
        <v>15</v>
      </c>
      <c r="H394" s="3" t="s">
        <v>36</v>
      </c>
      <c r="I394" s="4" t="n">
        <v>431</v>
      </c>
      <c r="J394" s="4" t="n">
        <v>0</v>
      </c>
      <c r="K394" s="4" t="n">
        <v>30</v>
      </c>
      <c r="L394" s="4" t="n">
        <f aca="false">IF(O394="Delivered",I394-J394+K394,0)</f>
        <v>461</v>
      </c>
      <c r="M394" s="0" t="n">
        <v>22</v>
      </c>
      <c r="N394" s="0" t="n">
        <v>5</v>
      </c>
      <c r="O394" s="3" t="s">
        <v>17</v>
      </c>
    </row>
    <row r="395" customFormat="false" ht="15" hidden="false" customHeight="false" outlineLevel="0" collapsed="false">
      <c r="A395" s="0" t="s">
        <v>1332</v>
      </c>
      <c r="B395" s="2" t="n">
        <v>45766</v>
      </c>
      <c r="C395" s="0" t="str">
        <f aca="false">TEXT(B395,"mmm")</f>
        <v>Apr</v>
      </c>
      <c r="D395" s="0" t="str">
        <f aca="false">TEXT(B395,"ddd")</f>
        <v>Sat</v>
      </c>
      <c r="E395" s="3" t="s">
        <v>24</v>
      </c>
      <c r="F395" s="3" t="s">
        <v>78</v>
      </c>
      <c r="G395" s="3" t="s">
        <v>21</v>
      </c>
      <c r="H395" s="3" t="s">
        <v>36</v>
      </c>
      <c r="I395" s="4" t="n">
        <v>358</v>
      </c>
      <c r="J395" s="4" t="n">
        <v>0</v>
      </c>
      <c r="K395" s="4" t="n">
        <v>45</v>
      </c>
      <c r="L395" s="4" t="n">
        <f aca="false">IF(O395="Delivered",I395-J395+K395,0)</f>
        <v>0</v>
      </c>
      <c r="O395" s="3" t="s">
        <v>68</v>
      </c>
    </row>
    <row r="396" customFormat="false" ht="15" hidden="false" customHeight="false" outlineLevel="0" collapsed="false">
      <c r="A396" s="0" t="s">
        <v>1472</v>
      </c>
      <c r="B396" s="2" t="n">
        <v>45766</v>
      </c>
      <c r="C396" s="0" t="str">
        <f aca="false">TEXT(B396,"mmm")</f>
        <v>Apr</v>
      </c>
      <c r="D396" s="0" t="str">
        <f aca="false">TEXT(B396,"ddd")</f>
        <v>Sat</v>
      </c>
      <c r="E396" s="3" t="s">
        <v>27</v>
      </c>
      <c r="F396" s="3" t="s">
        <v>25</v>
      </c>
      <c r="G396" s="3" t="s">
        <v>21</v>
      </c>
      <c r="H396" s="3" t="s">
        <v>16</v>
      </c>
      <c r="I396" s="4" t="n">
        <v>345</v>
      </c>
      <c r="J396" s="4" t="n">
        <v>0</v>
      </c>
      <c r="K396" s="4" t="n">
        <v>30</v>
      </c>
      <c r="L396" s="4" t="n">
        <f aca="false">IF(O396="Delivered",I396-J396+K396,0)</f>
        <v>375</v>
      </c>
      <c r="M396" s="0" t="n">
        <v>36</v>
      </c>
      <c r="N396" s="0" t="n">
        <v>4.3</v>
      </c>
      <c r="O396" s="3" t="s">
        <v>17</v>
      </c>
    </row>
    <row r="397" customFormat="false" ht="15" hidden="false" customHeight="false" outlineLevel="0" collapsed="false">
      <c r="A397" s="0" t="s">
        <v>882</v>
      </c>
      <c r="B397" s="2" t="n">
        <v>45767</v>
      </c>
      <c r="C397" s="0" t="str">
        <f aca="false">TEXT(B397,"mmm")</f>
        <v>Apr</v>
      </c>
      <c r="D397" s="0" t="str">
        <f aca="false">TEXT(B397,"ddd")</f>
        <v>Sun</v>
      </c>
      <c r="E397" s="3" t="s">
        <v>27</v>
      </c>
      <c r="F397" s="3" t="s">
        <v>31</v>
      </c>
      <c r="G397" s="3" t="s">
        <v>21</v>
      </c>
      <c r="H397" s="3" t="s">
        <v>22</v>
      </c>
      <c r="I397" s="4" t="n">
        <v>430</v>
      </c>
      <c r="J397" s="4" t="n">
        <v>0</v>
      </c>
      <c r="K397" s="4" t="n">
        <v>45</v>
      </c>
      <c r="L397" s="4" t="n">
        <f aca="false">IF(O397="Delivered",I397-J397+K397,0)</f>
        <v>475</v>
      </c>
      <c r="M397" s="0" t="n">
        <v>45</v>
      </c>
      <c r="N397" s="0" t="n">
        <v>4.3</v>
      </c>
      <c r="O397" s="3" t="s">
        <v>17</v>
      </c>
    </row>
    <row r="398" customFormat="false" ht="15" hidden="false" customHeight="false" outlineLevel="0" collapsed="false">
      <c r="A398" s="0" t="s">
        <v>1044</v>
      </c>
      <c r="B398" s="2" t="n">
        <v>45767</v>
      </c>
      <c r="C398" s="0" t="str">
        <f aca="false">TEXT(B398,"mmm")</f>
        <v>Apr</v>
      </c>
      <c r="D398" s="0" t="str">
        <f aca="false">TEXT(B398,"ddd")</f>
        <v>Sun</v>
      </c>
      <c r="E398" s="3" t="s">
        <v>30</v>
      </c>
      <c r="F398" s="3" t="s">
        <v>14</v>
      </c>
      <c r="G398" s="3" t="s">
        <v>15</v>
      </c>
      <c r="H398" s="3" t="s">
        <v>16</v>
      </c>
      <c r="I398" s="4" t="n">
        <v>200</v>
      </c>
      <c r="J398" s="4" t="n">
        <v>47</v>
      </c>
      <c r="K398" s="4" t="n">
        <v>45</v>
      </c>
      <c r="L398" s="4" t="n">
        <f aca="false">IF(O398="Delivered",I398-J398+K398,0)</f>
        <v>198</v>
      </c>
      <c r="M398" s="0" t="n">
        <v>24</v>
      </c>
      <c r="N398" s="0" t="n">
        <v>5</v>
      </c>
      <c r="O398" s="3" t="s">
        <v>17</v>
      </c>
    </row>
    <row r="399" customFormat="false" ht="15" hidden="false" customHeight="false" outlineLevel="0" collapsed="false">
      <c r="A399" s="0" t="s">
        <v>1372</v>
      </c>
      <c r="B399" s="2" t="n">
        <v>45767</v>
      </c>
      <c r="C399" s="0" t="str">
        <f aca="false">TEXT(B399,"mmm")</f>
        <v>Apr</v>
      </c>
      <c r="D399" s="0" t="str">
        <f aca="false">TEXT(B399,"ddd")</f>
        <v>Sun</v>
      </c>
      <c r="E399" s="3" t="s">
        <v>40</v>
      </c>
      <c r="F399" s="3" t="s">
        <v>56</v>
      </c>
      <c r="G399" s="3" t="s">
        <v>15</v>
      </c>
      <c r="H399" s="3" t="s">
        <v>22</v>
      </c>
      <c r="I399" s="4" t="n">
        <v>387</v>
      </c>
      <c r="J399" s="4" t="n">
        <v>85</v>
      </c>
      <c r="K399" s="4" t="n">
        <v>20</v>
      </c>
      <c r="L399" s="4" t="n">
        <f aca="false">IF(O399="Delivered",I399-J399+K399,0)</f>
        <v>322</v>
      </c>
      <c r="M399" s="0" t="n">
        <v>28</v>
      </c>
      <c r="N399" s="0" t="n">
        <v>4</v>
      </c>
      <c r="O399" s="3" t="s">
        <v>17</v>
      </c>
    </row>
    <row r="400" customFormat="false" ht="15" hidden="false" customHeight="false" outlineLevel="0" collapsed="false">
      <c r="A400" s="0" t="s">
        <v>256</v>
      </c>
      <c r="B400" s="2" t="n">
        <v>45768</v>
      </c>
      <c r="C400" s="0" t="str">
        <f aca="false">TEXT(B400,"mmm")</f>
        <v>Apr</v>
      </c>
      <c r="D400" s="0" t="str">
        <f aca="false">TEXT(B400,"ddd")</f>
        <v>Mon</v>
      </c>
      <c r="E400" s="3" t="s">
        <v>24</v>
      </c>
      <c r="F400" s="3" t="s">
        <v>25</v>
      </c>
      <c r="G400" s="3" t="s">
        <v>21</v>
      </c>
      <c r="H400" s="3" t="s">
        <v>34</v>
      </c>
      <c r="I400" s="4" t="n">
        <v>374</v>
      </c>
      <c r="J400" s="4" t="n">
        <v>0</v>
      </c>
      <c r="K400" s="4" t="n">
        <v>20</v>
      </c>
      <c r="L400" s="4" t="n">
        <f aca="false">IF(O400="Delivered",I400-J400+K400,0)</f>
        <v>394</v>
      </c>
      <c r="M400" s="0" t="n">
        <v>21</v>
      </c>
      <c r="N400" s="0" t="n">
        <v>4.1</v>
      </c>
      <c r="O400" s="3" t="s">
        <v>17</v>
      </c>
    </row>
    <row r="401" customFormat="false" ht="15" hidden="false" customHeight="false" outlineLevel="0" collapsed="false">
      <c r="A401" s="0" t="s">
        <v>155</v>
      </c>
      <c r="B401" s="2" t="n">
        <v>45769</v>
      </c>
      <c r="C401" s="0" t="str">
        <f aca="false">TEXT(B401,"mmm")</f>
        <v>Apr</v>
      </c>
      <c r="D401" s="0" t="str">
        <f aca="false">TEXT(B401,"ddd")</f>
        <v>Tue</v>
      </c>
      <c r="E401" s="3" t="s">
        <v>13</v>
      </c>
      <c r="F401" s="3" t="s">
        <v>78</v>
      </c>
      <c r="G401" s="3" t="s">
        <v>21</v>
      </c>
      <c r="H401" s="3" t="s">
        <v>36</v>
      </c>
      <c r="I401" s="4" t="n">
        <v>245</v>
      </c>
      <c r="J401" s="4" t="n">
        <v>0</v>
      </c>
      <c r="K401" s="4" t="n">
        <v>20</v>
      </c>
      <c r="L401" s="4" t="n">
        <f aca="false">IF(O401="Delivered",I401-J401+K401,0)</f>
        <v>265</v>
      </c>
      <c r="M401" s="0" t="n">
        <v>25</v>
      </c>
      <c r="N401" s="0" t="n">
        <v>3.9</v>
      </c>
      <c r="O401" s="3" t="s">
        <v>17</v>
      </c>
    </row>
    <row r="402" customFormat="false" ht="15" hidden="false" customHeight="false" outlineLevel="0" collapsed="false">
      <c r="A402" s="0" t="s">
        <v>387</v>
      </c>
      <c r="B402" s="2" t="n">
        <v>45769</v>
      </c>
      <c r="C402" s="0" t="str">
        <f aca="false">TEXT(B402,"mmm")</f>
        <v>Apr</v>
      </c>
      <c r="D402" s="0" t="str">
        <f aca="false">TEXT(B402,"ddd")</f>
        <v>Tue</v>
      </c>
      <c r="E402" s="3" t="s">
        <v>27</v>
      </c>
      <c r="F402" s="3" t="s">
        <v>20</v>
      </c>
      <c r="G402" s="3" t="s">
        <v>21</v>
      </c>
      <c r="H402" s="3" t="s">
        <v>22</v>
      </c>
      <c r="I402" s="4" t="n">
        <v>754</v>
      </c>
      <c r="J402" s="4" t="n">
        <v>0</v>
      </c>
      <c r="K402" s="4" t="n">
        <v>0</v>
      </c>
      <c r="L402" s="4" t="n">
        <f aca="false">IF(O402="Delivered",I402-J402+K402,0)</f>
        <v>754</v>
      </c>
      <c r="M402" s="0" t="n">
        <v>44</v>
      </c>
      <c r="N402" s="0" t="n">
        <v>3.9</v>
      </c>
      <c r="O402" s="3" t="s">
        <v>17</v>
      </c>
    </row>
    <row r="403" customFormat="false" ht="15" hidden="false" customHeight="false" outlineLevel="0" collapsed="false">
      <c r="A403" s="0" t="s">
        <v>1086</v>
      </c>
      <c r="B403" s="2" t="n">
        <v>45769</v>
      </c>
      <c r="C403" s="0" t="str">
        <f aca="false">TEXT(B403,"mmm")</f>
        <v>Apr</v>
      </c>
      <c r="D403" s="0" t="str">
        <f aca="false">TEXT(B403,"ddd")</f>
        <v>Tue</v>
      </c>
      <c r="E403" s="3" t="s">
        <v>19</v>
      </c>
      <c r="F403" s="3" t="s">
        <v>31</v>
      </c>
      <c r="G403" s="3" t="s">
        <v>15</v>
      </c>
      <c r="H403" s="3" t="s">
        <v>36</v>
      </c>
      <c r="I403" s="4" t="n">
        <v>410</v>
      </c>
      <c r="J403" s="4" t="n">
        <v>0</v>
      </c>
      <c r="K403" s="4" t="n">
        <v>40</v>
      </c>
      <c r="L403" s="4" t="n">
        <f aca="false">IF(O403="Delivered",I403-J403+K403,0)</f>
        <v>450</v>
      </c>
      <c r="M403" s="0" t="n">
        <v>19</v>
      </c>
      <c r="N403" s="0" t="n">
        <v>5</v>
      </c>
      <c r="O403" s="3" t="s">
        <v>17</v>
      </c>
    </row>
    <row r="404" customFormat="false" ht="15" hidden="false" customHeight="false" outlineLevel="0" collapsed="false">
      <c r="A404" s="0" t="s">
        <v>1413</v>
      </c>
      <c r="B404" s="2" t="n">
        <v>45769</v>
      </c>
      <c r="C404" s="0" t="str">
        <f aca="false">TEXT(B404,"mmm")</f>
        <v>Apr</v>
      </c>
      <c r="D404" s="0" t="str">
        <f aca="false">TEXT(B404,"ddd")</f>
        <v>Tue</v>
      </c>
      <c r="E404" s="3" t="s">
        <v>30</v>
      </c>
      <c r="F404" s="3" t="s">
        <v>25</v>
      </c>
      <c r="G404" s="3" t="s">
        <v>15</v>
      </c>
      <c r="H404" s="3" t="s">
        <v>54</v>
      </c>
      <c r="I404" s="4" t="n">
        <v>604</v>
      </c>
      <c r="J404" s="4" t="n">
        <v>0</v>
      </c>
      <c r="K404" s="4" t="n">
        <v>0</v>
      </c>
      <c r="L404" s="4" t="n">
        <f aca="false">IF(O404="Delivered",I404-J404+K404,0)</f>
        <v>604</v>
      </c>
      <c r="M404" s="0" t="n">
        <v>16</v>
      </c>
      <c r="N404" s="0" t="n">
        <v>4.1</v>
      </c>
      <c r="O404" s="3" t="s">
        <v>17</v>
      </c>
    </row>
    <row r="405" customFormat="false" ht="15" hidden="false" customHeight="false" outlineLevel="0" collapsed="false">
      <c r="A405" s="0" t="s">
        <v>205</v>
      </c>
      <c r="B405" s="2" t="n">
        <v>45770</v>
      </c>
      <c r="C405" s="0" t="str">
        <f aca="false">TEXT(B405,"mmm")</f>
        <v>Apr</v>
      </c>
      <c r="D405" s="0" t="str">
        <f aca="false">TEXT(B405,"ddd")</f>
        <v>Wed</v>
      </c>
      <c r="E405" s="3" t="s">
        <v>27</v>
      </c>
      <c r="F405" s="3" t="s">
        <v>20</v>
      </c>
      <c r="G405" s="3" t="s">
        <v>21</v>
      </c>
      <c r="H405" s="3" t="s">
        <v>34</v>
      </c>
      <c r="I405" s="4" t="n">
        <v>784</v>
      </c>
      <c r="J405" s="4" t="n">
        <v>0</v>
      </c>
      <c r="K405" s="4" t="n">
        <v>0</v>
      </c>
      <c r="L405" s="4" t="n">
        <f aca="false">IF(O405="Delivered",I405-J405+K405,0)</f>
        <v>784</v>
      </c>
      <c r="M405" s="0" t="n">
        <v>29</v>
      </c>
      <c r="N405" s="0" t="n">
        <v>4.8</v>
      </c>
      <c r="O405" s="3" t="s">
        <v>17</v>
      </c>
    </row>
    <row r="406" customFormat="false" ht="15" hidden="false" customHeight="false" outlineLevel="0" collapsed="false">
      <c r="A406" s="0" t="s">
        <v>461</v>
      </c>
      <c r="B406" s="2" t="n">
        <v>45771</v>
      </c>
      <c r="C406" s="0" t="str">
        <f aca="false">TEXT(B406,"mmm")</f>
        <v>Apr</v>
      </c>
      <c r="D406" s="0" t="str">
        <f aca="false">TEXT(B406,"ddd")</f>
        <v>Thu</v>
      </c>
      <c r="E406" s="3" t="s">
        <v>27</v>
      </c>
      <c r="F406" s="3" t="s">
        <v>31</v>
      </c>
      <c r="G406" s="3" t="s">
        <v>15</v>
      </c>
      <c r="H406" s="3" t="s">
        <v>22</v>
      </c>
      <c r="I406" s="4" t="n">
        <v>430</v>
      </c>
      <c r="J406" s="4" t="n">
        <v>65</v>
      </c>
      <c r="K406" s="4" t="n">
        <v>30</v>
      </c>
      <c r="L406" s="4" t="n">
        <f aca="false">IF(O406="Delivered",I406-J406+K406,0)</f>
        <v>395</v>
      </c>
      <c r="M406" s="0" t="n">
        <v>57</v>
      </c>
      <c r="N406" s="0" t="n">
        <v>3.5</v>
      </c>
      <c r="O406" s="3" t="s">
        <v>17</v>
      </c>
    </row>
    <row r="407" customFormat="false" ht="15" hidden="false" customHeight="false" outlineLevel="0" collapsed="false">
      <c r="A407" s="0" t="s">
        <v>540</v>
      </c>
      <c r="B407" s="2" t="n">
        <v>45771</v>
      </c>
      <c r="C407" s="0" t="str">
        <f aca="false">TEXT(B407,"mmm")</f>
        <v>Apr</v>
      </c>
      <c r="D407" s="0" t="str">
        <f aca="false">TEXT(B407,"ddd")</f>
        <v>Thu</v>
      </c>
      <c r="E407" s="3" t="s">
        <v>30</v>
      </c>
      <c r="F407" s="3" t="s">
        <v>14</v>
      </c>
      <c r="G407" s="3" t="s">
        <v>21</v>
      </c>
      <c r="H407" s="3" t="s">
        <v>22</v>
      </c>
      <c r="I407" s="4" t="n">
        <v>344</v>
      </c>
      <c r="J407" s="4" t="n">
        <v>50</v>
      </c>
      <c r="K407" s="4" t="n">
        <v>20</v>
      </c>
      <c r="L407" s="4" t="n">
        <f aca="false">IF(O407="Delivered",I407-J407+K407,0)</f>
        <v>314</v>
      </c>
      <c r="M407" s="0" t="n">
        <v>37</v>
      </c>
      <c r="N407" s="0" t="n">
        <v>3.7</v>
      </c>
      <c r="O407" s="3" t="s">
        <v>17</v>
      </c>
    </row>
    <row r="408" customFormat="false" ht="15" hidden="false" customHeight="false" outlineLevel="0" collapsed="false">
      <c r="A408" s="0" t="s">
        <v>1275</v>
      </c>
      <c r="B408" s="2" t="n">
        <v>45771</v>
      </c>
      <c r="C408" s="0" t="str">
        <f aca="false">TEXT(B408,"mmm")</f>
        <v>Apr</v>
      </c>
      <c r="D408" s="0" t="str">
        <f aca="false">TEXT(B408,"ddd")</f>
        <v>Thu</v>
      </c>
      <c r="E408" s="3" t="s">
        <v>30</v>
      </c>
      <c r="F408" s="3" t="s">
        <v>25</v>
      </c>
      <c r="G408" s="3" t="s">
        <v>21</v>
      </c>
      <c r="H408" s="3" t="s">
        <v>22</v>
      </c>
      <c r="I408" s="4" t="n">
        <v>447</v>
      </c>
      <c r="J408" s="4" t="n">
        <v>0</v>
      </c>
      <c r="K408" s="4" t="n">
        <v>40</v>
      </c>
      <c r="L408" s="4" t="n">
        <f aca="false">IF(O408="Delivered",I408-J408+K408,0)</f>
        <v>487</v>
      </c>
      <c r="M408" s="0" t="n">
        <v>30</v>
      </c>
      <c r="N408" s="0" t="n">
        <v>4.3</v>
      </c>
      <c r="O408" s="3" t="s">
        <v>17</v>
      </c>
    </row>
    <row r="409" customFormat="false" ht="15" hidden="false" customHeight="false" outlineLevel="0" collapsed="false">
      <c r="A409" s="0" t="s">
        <v>1379</v>
      </c>
      <c r="B409" s="2" t="n">
        <v>45771</v>
      </c>
      <c r="C409" s="0" t="str">
        <f aca="false">TEXT(B409,"mmm")</f>
        <v>Apr</v>
      </c>
      <c r="D409" s="0" t="str">
        <f aca="false">TEXT(B409,"ddd")</f>
        <v>Thu</v>
      </c>
      <c r="E409" s="3" t="s">
        <v>45</v>
      </c>
      <c r="F409" s="3" t="s">
        <v>20</v>
      </c>
      <c r="G409" s="3" t="s">
        <v>15</v>
      </c>
      <c r="H409" s="3" t="s">
        <v>36</v>
      </c>
      <c r="I409" s="4" t="n">
        <v>514</v>
      </c>
      <c r="J409" s="4" t="n">
        <v>116</v>
      </c>
      <c r="K409" s="4" t="n">
        <v>0</v>
      </c>
      <c r="L409" s="4" t="n">
        <f aca="false">IF(O409="Delivered",I409-J409+K409,0)</f>
        <v>398</v>
      </c>
      <c r="M409" s="0" t="n">
        <v>34</v>
      </c>
      <c r="N409" s="0" t="n">
        <v>3.6</v>
      </c>
      <c r="O409" s="3" t="s">
        <v>17</v>
      </c>
    </row>
    <row r="410" customFormat="false" ht="15" hidden="false" customHeight="false" outlineLevel="0" collapsed="false">
      <c r="A410" s="0" t="s">
        <v>1500</v>
      </c>
      <c r="B410" s="2" t="n">
        <v>45771</v>
      </c>
      <c r="C410" s="0" t="str">
        <f aca="false">TEXT(B410,"mmm")</f>
        <v>Apr</v>
      </c>
      <c r="D410" s="0" t="str">
        <f aca="false">TEXT(B410,"ddd")</f>
        <v>Thu</v>
      </c>
      <c r="E410" s="3" t="s">
        <v>30</v>
      </c>
      <c r="F410" s="3" t="s">
        <v>14</v>
      </c>
      <c r="G410" s="3" t="s">
        <v>21</v>
      </c>
      <c r="H410" s="3" t="s">
        <v>22</v>
      </c>
      <c r="I410" s="4" t="n">
        <v>381</v>
      </c>
      <c r="J410" s="4" t="n">
        <v>54</v>
      </c>
      <c r="K410" s="4" t="n">
        <v>40</v>
      </c>
      <c r="L410" s="4" t="n">
        <f aca="false">IF(O410="Delivered",I410-J410+K410,0)</f>
        <v>367</v>
      </c>
      <c r="M410" s="0" t="n">
        <v>31</v>
      </c>
      <c r="N410" s="0" t="n">
        <v>4.2</v>
      </c>
      <c r="O410" s="3" t="s">
        <v>17</v>
      </c>
    </row>
    <row r="411" customFormat="false" ht="15" hidden="false" customHeight="false" outlineLevel="0" collapsed="false">
      <c r="A411" s="0" t="s">
        <v>160</v>
      </c>
      <c r="B411" s="2" t="n">
        <v>45772</v>
      </c>
      <c r="C411" s="0" t="str">
        <f aca="false">TEXT(B411,"mmm")</f>
        <v>Apr</v>
      </c>
      <c r="D411" s="0" t="str">
        <f aca="false">TEXT(B411,"ddd")</f>
        <v>Fri</v>
      </c>
      <c r="E411" s="3" t="s">
        <v>24</v>
      </c>
      <c r="F411" s="3" t="s">
        <v>20</v>
      </c>
      <c r="G411" s="3" t="s">
        <v>15</v>
      </c>
      <c r="H411" s="3" t="s">
        <v>22</v>
      </c>
      <c r="I411" s="4" t="n">
        <v>791</v>
      </c>
      <c r="J411" s="4" t="n">
        <v>0</v>
      </c>
      <c r="K411" s="4" t="n">
        <v>0</v>
      </c>
      <c r="L411" s="4" t="n">
        <f aca="false">IF(O411="Delivered",I411-J411+K411,0)</f>
        <v>791</v>
      </c>
      <c r="M411" s="0" t="n">
        <v>43</v>
      </c>
      <c r="N411" s="0" t="n">
        <v>4.2</v>
      </c>
      <c r="O411" s="3" t="s">
        <v>17</v>
      </c>
    </row>
    <row r="412" customFormat="false" ht="15" hidden="false" customHeight="false" outlineLevel="0" collapsed="false">
      <c r="A412" s="0" t="s">
        <v>954</v>
      </c>
      <c r="B412" s="2" t="n">
        <v>45772</v>
      </c>
      <c r="C412" s="0" t="str">
        <f aca="false">TEXT(B412,"mmm")</f>
        <v>Apr</v>
      </c>
      <c r="D412" s="0" t="str">
        <f aca="false">TEXT(B412,"ddd")</f>
        <v>Fri</v>
      </c>
      <c r="E412" s="3" t="s">
        <v>51</v>
      </c>
      <c r="F412" s="3" t="s">
        <v>14</v>
      </c>
      <c r="G412" s="3" t="s">
        <v>15</v>
      </c>
      <c r="H412" s="3" t="s">
        <v>54</v>
      </c>
      <c r="I412" s="4" t="n">
        <v>243</v>
      </c>
      <c r="J412" s="4" t="n">
        <v>0</v>
      </c>
      <c r="K412" s="4" t="n">
        <v>20</v>
      </c>
      <c r="L412" s="4" t="n">
        <f aca="false">IF(O412="Delivered",I412-J412+K412,0)</f>
        <v>263</v>
      </c>
      <c r="M412" s="0" t="n">
        <v>36</v>
      </c>
      <c r="N412" s="0" t="n">
        <v>4.1</v>
      </c>
      <c r="O412" s="3" t="s">
        <v>17</v>
      </c>
    </row>
    <row r="413" customFormat="false" ht="15" hidden="false" customHeight="false" outlineLevel="0" collapsed="false">
      <c r="A413" s="0" t="s">
        <v>783</v>
      </c>
      <c r="B413" s="2" t="n">
        <v>45773</v>
      </c>
      <c r="C413" s="0" t="str">
        <f aca="false">TEXT(B413,"mmm")</f>
        <v>Apr</v>
      </c>
      <c r="D413" s="0" t="str">
        <f aca="false">TEXT(B413,"ddd")</f>
        <v>Sat</v>
      </c>
      <c r="E413" s="3" t="s">
        <v>27</v>
      </c>
      <c r="F413" s="3" t="s">
        <v>25</v>
      </c>
      <c r="G413" s="3" t="s">
        <v>21</v>
      </c>
      <c r="H413" s="3" t="s">
        <v>22</v>
      </c>
      <c r="I413" s="4" t="n">
        <v>365</v>
      </c>
      <c r="J413" s="4" t="n">
        <v>0</v>
      </c>
      <c r="K413" s="4" t="n">
        <v>45</v>
      </c>
      <c r="L413" s="4" t="n">
        <f aca="false">IF(O413="Delivered",I413-J413+K413,0)</f>
        <v>410</v>
      </c>
      <c r="M413" s="0" t="n">
        <v>53</v>
      </c>
      <c r="O413" s="3" t="s">
        <v>17</v>
      </c>
    </row>
    <row r="414" customFormat="false" ht="15" hidden="false" customHeight="false" outlineLevel="0" collapsed="false">
      <c r="A414" s="0" t="s">
        <v>1205</v>
      </c>
      <c r="B414" s="2" t="n">
        <v>45773</v>
      </c>
      <c r="C414" s="0" t="str">
        <f aca="false">TEXT(B414,"mmm")</f>
        <v>Apr</v>
      </c>
      <c r="D414" s="0" t="str">
        <f aca="false">TEXT(B414,"ddd")</f>
        <v>Sat</v>
      </c>
      <c r="E414" s="3" t="s">
        <v>13</v>
      </c>
      <c r="F414" s="3" t="s">
        <v>20</v>
      </c>
      <c r="G414" s="3" t="s">
        <v>21</v>
      </c>
      <c r="H414" s="3" t="s">
        <v>22</v>
      </c>
      <c r="I414" s="4" t="n">
        <v>496</v>
      </c>
      <c r="J414" s="4" t="n">
        <v>0</v>
      </c>
      <c r="K414" s="4" t="n">
        <v>40</v>
      </c>
      <c r="L414" s="4" t="n">
        <f aca="false">IF(O414="Delivered",I414-J414+K414,0)</f>
        <v>0</v>
      </c>
      <c r="O414" s="3" t="s">
        <v>68</v>
      </c>
    </row>
    <row r="415" customFormat="false" ht="15" hidden="false" customHeight="false" outlineLevel="0" collapsed="false">
      <c r="A415" s="0" t="s">
        <v>576</v>
      </c>
      <c r="B415" s="2" t="n">
        <v>45774</v>
      </c>
      <c r="C415" s="0" t="str">
        <f aca="false">TEXT(B415,"mmm")</f>
        <v>Apr</v>
      </c>
      <c r="D415" s="0" t="str">
        <f aca="false">TEXT(B415,"ddd")</f>
        <v>Sun</v>
      </c>
      <c r="E415" s="3" t="s">
        <v>40</v>
      </c>
      <c r="F415" s="3" t="s">
        <v>20</v>
      </c>
      <c r="G415" s="3" t="s">
        <v>21</v>
      </c>
      <c r="H415" s="3" t="s">
        <v>22</v>
      </c>
      <c r="I415" s="4" t="n">
        <v>824</v>
      </c>
      <c r="J415" s="4" t="n">
        <v>0</v>
      </c>
      <c r="K415" s="4" t="n">
        <v>0</v>
      </c>
      <c r="L415" s="4" t="n">
        <f aca="false">IF(O415="Delivered",I415-J415+K415,0)</f>
        <v>824</v>
      </c>
      <c r="M415" s="0" t="n">
        <v>31</v>
      </c>
      <c r="N415" s="0" t="n">
        <v>4.3</v>
      </c>
      <c r="O415" s="3" t="s">
        <v>17</v>
      </c>
    </row>
    <row r="416" customFormat="false" ht="15" hidden="false" customHeight="false" outlineLevel="0" collapsed="false">
      <c r="A416" s="0" t="s">
        <v>717</v>
      </c>
      <c r="B416" s="2" t="n">
        <v>45774</v>
      </c>
      <c r="C416" s="0" t="str">
        <f aca="false">TEXT(B416,"mmm")</f>
        <v>Apr</v>
      </c>
      <c r="D416" s="0" t="str">
        <f aca="false">TEXT(B416,"ddd")</f>
        <v>Sun</v>
      </c>
      <c r="E416" s="3" t="s">
        <v>24</v>
      </c>
      <c r="F416" s="3" t="s">
        <v>78</v>
      </c>
      <c r="G416" s="3" t="s">
        <v>21</v>
      </c>
      <c r="H416" s="3" t="s">
        <v>1690</v>
      </c>
      <c r="I416" s="4" t="n">
        <v>383</v>
      </c>
      <c r="J416" s="4" t="n">
        <v>0</v>
      </c>
      <c r="K416" s="4" t="n">
        <v>40</v>
      </c>
      <c r="L416" s="4" t="n">
        <f aca="false">IF(O416="Delivered",I416-J416+K416,0)</f>
        <v>423</v>
      </c>
      <c r="M416" s="0" t="n">
        <v>52</v>
      </c>
      <c r="N416" s="0" t="n">
        <v>4.5</v>
      </c>
      <c r="O416" s="3" t="s">
        <v>17</v>
      </c>
    </row>
    <row r="417" customFormat="false" ht="15" hidden="false" customHeight="false" outlineLevel="0" collapsed="false">
      <c r="A417" s="0" t="s">
        <v>1039</v>
      </c>
      <c r="B417" s="2" t="n">
        <v>45774</v>
      </c>
      <c r="C417" s="0" t="str">
        <f aca="false">TEXT(B417,"mmm")</f>
        <v>Apr</v>
      </c>
      <c r="D417" s="0" t="str">
        <f aca="false">TEXT(B417,"ddd")</f>
        <v>Sun</v>
      </c>
      <c r="E417" s="3" t="s">
        <v>24</v>
      </c>
      <c r="F417" s="3" t="s">
        <v>25</v>
      </c>
      <c r="G417" s="3" t="s">
        <v>15</v>
      </c>
      <c r="H417" s="3" t="s">
        <v>54</v>
      </c>
      <c r="I417" s="4" t="n">
        <v>488</v>
      </c>
      <c r="J417" s="4" t="n">
        <v>79</v>
      </c>
      <c r="K417" s="4" t="n">
        <v>30</v>
      </c>
      <c r="L417" s="4" t="n">
        <f aca="false">IF(O417="Delivered",I417-J417+K417,0)</f>
        <v>439</v>
      </c>
      <c r="M417" s="0" t="n">
        <v>29</v>
      </c>
      <c r="N417" s="0" t="n">
        <v>4.2</v>
      </c>
      <c r="O417" s="3" t="s">
        <v>17</v>
      </c>
    </row>
    <row r="418" customFormat="false" ht="15" hidden="false" customHeight="false" outlineLevel="0" collapsed="false">
      <c r="A418" s="0" t="s">
        <v>126</v>
      </c>
      <c r="B418" s="2" t="n">
        <v>45775</v>
      </c>
      <c r="C418" s="0" t="str">
        <f aca="false">TEXT(B418,"mmm")</f>
        <v>Apr</v>
      </c>
      <c r="D418" s="0" t="str">
        <f aca="false">TEXT(B418,"ddd")</f>
        <v>Mon</v>
      </c>
      <c r="E418" s="3" t="s">
        <v>24</v>
      </c>
      <c r="F418" s="3" t="s">
        <v>49</v>
      </c>
      <c r="G418" s="3" t="s">
        <v>15</v>
      </c>
      <c r="H418" s="3" t="s">
        <v>16</v>
      </c>
      <c r="I418" s="4" t="n">
        <v>535</v>
      </c>
      <c r="J418" s="4" t="n">
        <v>81</v>
      </c>
      <c r="K418" s="4" t="n">
        <v>0</v>
      </c>
      <c r="L418" s="4" t="n">
        <f aca="false">IF(O418="Delivered",I418-J418+K418,0)</f>
        <v>454</v>
      </c>
      <c r="M418" s="0" t="n">
        <v>29</v>
      </c>
      <c r="N418" s="0" t="n">
        <v>4.2</v>
      </c>
      <c r="O418" s="3" t="s">
        <v>17</v>
      </c>
    </row>
    <row r="419" customFormat="false" ht="15" hidden="false" customHeight="false" outlineLevel="0" collapsed="false">
      <c r="A419" s="0" t="s">
        <v>218</v>
      </c>
      <c r="B419" s="2" t="n">
        <v>45775</v>
      </c>
      <c r="C419" s="0" t="str">
        <f aca="false">TEXT(B419,"mmm")</f>
        <v>Apr</v>
      </c>
      <c r="D419" s="0" t="str">
        <f aca="false">TEXT(B419,"ddd")</f>
        <v>Mon</v>
      </c>
      <c r="E419" s="3" t="s">
        <v>24</v>
      </c>
      <c r="F419" s="3" t="s">
        <v>31</v>
      </c>
      <c r="G419" s="3" t="s">
        <v>21</v>
      </c>
      <c r="H419" s="3" t="s">
        <v>16</v>
      </c>
      <c r="I419" s="4" t="n">
        <v>593</v>
      </c>
      <c r="J419" s="4" t="n">
        <v>0</v>
      </c>
      <c r="K419" s="4" t="n">
        <v>0</v>
      </c>
      <c r="L419" s="4" t="n">
        <f aca="false">IF(O419="Delivered",I419-J419+K419,0)</f>
        <v>593</v>
      </c>
      <c r="M419" s="0" t="n">
        <v>28</v>
      </c>
      <c r="N419" s="0" t="n">
        <v>3.7</v>
      </c>
      <c r="O419" s="3" t="s">
        <v>17</v>
      </c>
    </row>
    <row r="420" customFormat="false" ht="15" hidden="false" customHeight="false" outlineLevel="0" collapsed="false">
      <c r="A420" s="0" t="s">
        <v>622</v>
      </c>
      <c r="B420" s="2" t="n">
        <v>45775</v>
      </c>
      <c r="C420" s="0" t="str">
        <f aca="false">TEXT(B420,"mmm")</f>
        <v>Apr</v>
      </c>
      <c r="D420" s="0" t="str">
        <f aca="false">TEXT(B420,"ddd")</f>
        <v>Mon</v>
      </c>
      <c r="E420" s="3" t="s">
        <v>27</v>
      </c>
      <c r="F420" s="3" t="s">
        <v>78</v>
      </c>
      <c r="G420" s="3" t="s">
        <v>21</v>
      </c>
      <c r="H420" s="3" t="s">
        <v>36</v>
      </c>
      <c r="I420" s="4" t="n">
        <v>298</v>
      </c>
      <c r="J420" s="4" t="n">
        <v>36</v>
      </c>
      <c r="K420" s="4" t="n">
        <v>40</v>
      </c>
      <c r="L420" s="4" t="n">
        <f aca="false">IF(O420="Delivered",I420-J420+K420,0)</f>
        <v>302</v>
      </c>
      <c r="M420" s="0" t="n">
        <v>41</v>
      </c>
      <c r="N420" s="0" t="n">
        <v>4.9</v>
      </c>
      <c r="O420" s="3" t="s">
        <v>17</v>
      </c>
    </row>
    <row r="421" customFormat="false" ht="15" hidden="false" customHeight="false" outlineLevel="0" collapsed="false">
      <c r="A421" s="0" t="s">
        <v>1149</v>
      </c>
      <c r="B421" s="2" t="n">
        <v>45775</v>
      </c>
      <c r="C421" s="0" t="str">
        <f aca="false">TEXT(B421,"mmm")</f>
        <v>Apr</v>
      </c>
      <c r="D421" s="0" t="str">
        <f aca="false">TEXT(B421,"ddd")</f>
        <v>Mon</v>
      </c>
      <c r="E421" s="3" t="s">
        <v>27</v>
      </c>
      <c r="F421" s="3" t="s">
        <v>31</v>
      </c>
      <c r="G421" s="3" t="s">
        <v>15</v>
      </c>
      <c r="H421" s="3" t="s">
        <v>36</v>
      </c>
      <c r="I421" s="4" t="n">
        <v>616</v>
      </c>
      <c r="J421" s="4" t="n">
        <v>100</v>
      </c>
      <c r="K421" s="4" t="n">
        <v>0</v>
      </c>
      <c r="L421" s="4" t="n">
        <f aca="false">IF(O421="Delivered",I421-J421+K421,0)</f>
        <v>516</v>
      </c>
      <c r="M421" s="0" t="n">
        <v>46</v>
      </c>
      <c r="N421" s="0" t="n">
        <v>5</v>
      </c>
      <c r="O421" s="3" t="s">
        <v>17</v>
      </c>
    </row>
    <row r="422" customFormat="false" ht="15" hidden="false" customHeight="false" outlineLevel="0" collapsed="false">
      <c r="A422" s="0" t="s">
        <v>500</v>
      </c>
      <c r="B422" s="2" t="n">
        <v>45776</v>
      </c>
      <c r="C422" s="0" t="str">
        <f aca="false">TEXT(B422,"mmm")</f>
        <v>Apr</v>
      </c>
      <c r="D422" s="0" t="str">
        <f aca="false">TEXT(B422,"ddd")</f>
        <v>Tue</v>
      </c>
      <c r="E422" s="3" t="s">
        <v>27</v>
      </c>
      <c r="F422" s="3" t="s">
        <v>56</v>
      </c>
      <c r="G422" s="3" t="s">
        <v>21</v>
      </c>
      <c r="H422" s="3" t="s">
        <v>54</v>
      </c>
      <c r="I422" s="4" t="n">
        <v>385</v>
      </c>
      <c r="J422" s="4" t="n">
        <v>0</v>
      </c>
      <c r="K422" s="4" t="n">
        <v>45</v>
      </c>
      <c r="L422" s="4" t="n">
        <f aca="false">IF(O422="Delivered",I422-J422+K422,0)</f>
        <v>430</v>
      </c>
      <c r="M422" s="0" t="n">
        <v>38</v>
      </c>
      <c r="N422" s="0" t="n">
        <v>4.4</v>
      </c>
      <c r="O422" s="3" t="s">
        <v>17</v>
      </c>
    </row>
    <row r="423" customFormat="false" ht="15" hidden="false" customHeight="false" outlineLevel="0" collapsed="false">
      <c r="A423" s="0" t="s">
        <v>833</v>
      </c>
      <c r="B423" s="2" t="n">
        <v>45776</v>
      </c>
      <c r="C423" s="0" t="str">
        <f aca="false">TEXT(B423,"mmm")</f>
        <v>Apr</v>
      </c>
      <c r="D423" s="0" t="str">
        <f aca="false">TEXT(B423,"ddd")</f>
        <v>Tue</v>
      </c>
      <c r="E423" s="3" t="s">
        <v>24</v>
      </c>
      <c r="F423" s="3" t="s">
        <v>31</v>
      </c>
      <c r="G423" s="3" t="s">
        <v>15</v>
      </c>
      <c r="H423" s="3" t="s">
        <v>16</v>
      </c>
      <c r="I423" s="4" t="n">
        <v>627</v>
      </c>
      <c r="J423" s="4" t="n">
        <v>142</v>
      </c>
      <c r="K423" s="4" t="n">
        <v>0</v>
      </c>
      <c r="L423" s="4" t="n">
        <f aca="false">IF(O423="Delivered",I423-J423+K423,0)</f>
        <v>485</v>
      </c>
      <c r="M423" s="0" t="n">
        <v>37</v>
      </c>
      <c r="N423" s="0" t="n">
        <v>3.5</v>
      </c>
      <c r="O423" s="3" t="s">
        <v>17</v>
      </c>
    </row>
    <row r="424" customFormat="false" ht="15" hidden="false" customHeight="false" outlineLevel="0" collapsed="false">
      <c r="A424" s="0" t="s">
        <v>1207</v>
      </c>
      <c r="B424" s="2" t="n">
        <v>45776</v>
      </c>
      <c r="C424" s="0" t="str">
        <f aca="false">TEXT(B424,"mmm")</f>
        <v>Apr</v>
      </c>
      <c r="D424" s="0" t="str">
        <f aca="false">TEXT(B424,"ddd")</f>
        <v>Tue</v>
      </c>
      <c r="E424" s="3" t="s">
        <v>24</v>
      </c>
      <c r="F424" s="3" t="s">
        <v>14</v>
      </c>
      <c r="G424" s="3" t="s">
        <v>21</v>
      </c>
      <c r="H424" s="3" t="s">
        <v>22</v>
      </c>
      <c r="I424" s="4" t="n">
        <v>363</v>
      </c>
      <c r="J424" s="4" t="n">
        <v>0</v>
      </c>
      <c r="K424" s="4" t="n">
        <v>45</v>
      </c>
      <c r="L424" s="4" t="n">
        <f aca="false">IF(O424="Delivered",I424-J424+K424,0)</f>
        <v>408</v>
      </c>
      <c r="M424" s="0" t="n">
        <v>30</v>
      </c>
      <c r="N424" s="0" t="n">
        <v>4.2</v>
      </c>
      <c r="O424" s="3" t="s">
        <v>17</v>
      </c>
    </row>
    <row r="425" customFormat="false" ht="15" hidden="false" customHeight="false" outlineLevel="0" collapsed="false">
      <c r="A425" s="0" t="s">
        <v>296</v>
      </c>
      <c r="B425" s="2" t="n">
        <v>45777</v>
      </c>
      <c r="C425" s="0" t="str">
        <f aca="false">TEXT(B425,"mmm")</f>
        <v>Apr</v>
      </c>
      <c r="D425" s="0" t="str">
        <f aca="false">TEXT(B425,"ddd")</f>
        <v>Wed</v>
      </c>
      <c r="E425" s="3" t="s">
        <v>27</v>
      </c>
      <c r="F425" s="3" t="s">
        <v>31</v>
      </c>
      <c r="G425" s="3" t="s">
        <v>15</v>
      </c>
      <c r="H425" s="3" t="s">
        <v>16</v>
      </c>
      <c r="I425" s="4" t="n">
        <v>376</v>
      </c>
      <c r="J425" s="4" t="n">
        <v>0</v>
      </c>
      <c r="K425" s="4" t="n">
        <v>45</v>
      </c>
      <c r="L425" s="4" t="n">
        <f aca="false">IF(O425="Delivered",I425-J425+K425,0)</f>
        <v>0</v>
      </c>
      <c r="O425" s="3" t="s">
        <v>68</v>
      </c>
    </row>
    <row r="426" customFormat="false" ht="15" hidden="false" customHeight="false" outlineLevel="0" collapsed="false">
      <c r="A426" s="0" t="s">
        <v>340</v>
      </c>
      <c r="B426" s="2" t="n">
        <v>45777</v>
      </c>
      <c r="C426" s="0" t="str">
        <f aca="false">TEXT(B426,"mmm")</f>
        <v>Apr</v>
      </c>
      <c r="D426" s="0" t="str">
        <f aca="false">TEXT(B426,"ddd")</f>
        <v>Wed</v>
      </c>
      <c r="E426" s="3" t="s">
        <v>19</v>
      </c>
      <c r="F426" s="3" t="s">
        <v>31</v>
      </c>
      <c r="G426" s="3" t="s">
        <v>21</v>
      </c>
      <c r="H426" s="3" t="s">
        <v>22</v>
      </c>
      <c r="I426" s="4" t="n">
        <v>390</v>
      </c>
      <c r="J426" s="4" t="n">
        <v>0</v>
      </c>
      <c r="K426" s="4" t="n">
        <v>30</v>
      </c>
      <c r="L426" s="4" t="n">
        <f aca="false">IF(O426="Delivered",I426-J426+K426,0)</f>
        <v>420</v>
      </c>
      <c r="M426" s="0" t="n">
        <v>29</v>
      </c>
      <c r="N426" s="0" t="n">
        <v>5</v>
      </c>
      <c r="O426" s="3" t="s">
        <v>17</v>
      </c>
    </row>
    <row r="427" customFormat="false" ht="15" hidden="false" customHeight="false" outlineLevel="0" collapsed="false">
      <c r="A427" s="0" t="s">
        <v>818</v>
      </c>
      <c r="B427" s="2" t="n">
        <v>45777</v>
      </c>
      <c r="C427" s="0" t="str">
        <f aca="false">TEXT(B427,"mmm")</f>
        <v>Apr</v>
      </c>
      <c r="D427" s="0" t="str">
        <f aca="false">TEXT(B427,"ddd")</f>
        <v>Wed</v>
      </c>
      <c r="E427" s="3" t="s">
        <v>40</v>
      </c>
      <c r="F427" s="3" t="s">
        <v>31</v>
      </c>
      <c r="G427" s="3" t="s">
        <v>21</v>
      </c>
      <c r="H427" s="3" t="s">
        <v>16</v>
      </c>
      <c r="I427" s="4" t="n">
        <v>487</v>
      </c>
      <c r="J427" s="4" t="n">
        <v>0</v>
      </c>
      <c r="K427" s="4" t="n">
        <v>30</v>
      </c>
      <c r="L427" s="4" t="n">
        <f aca="false">IF(O427="Delivered",I427-J427+K427,0)</f>
        <v>517</v>
      </c>
      <c r="M427" s="0" t="n">
        <v>35</v>
      </c>
      <c r="N427" s="0" t="n">
        <v>5</v>
      </c>
      <c r="O427" s="3" t="s">
        <v>17</v>
      </c>
    </row>
    <row r="428" customFormat="false" ht="15" hidden="false" customHeight="false" outlineLevel="0" collapsed="false">
      <c r="A428" s="0" t="s">
        <v>1527</v>
      </c>
      <c r="B428" s="2" t="n">
        <v>45777</v>
      </c>
      <c r="C428" s="0" t="str">
        <f aca="false">TEXT(B428,"mmm")</f>
        <v>Apr</v>
      </c>
      <c r="D428" s="0" t="str">
        <f aca="false">TEXT(B428,"ddd")</f>
        <v>Wed</v>
      </c>
      <c r="E428" s="3" t="s">
        <v>30</v>
      </c>
      <c r="F428" s="3" t="s">
        <v>20</v>
      </c>
      <c r="G428" s="3" t="s">
        <v>15</v>
      </c>
      <c r="H428" s="3" t="s">
        <v>54</v>
      </c>
      <c r="I428" s="4" t="n">
        <v>682</v>
      </c>
      <c r="J428" s="4" t="n">
        <v>0</v>
      </c>
      <c r="K428" s="4" t="n">
        <v>0</v>
      </c>
      <c r="L428" s="4" t="n">
        <f aca="false">IF(O428="Delivered",I428-J428+K428,0)</f>
        <v>682</v>
      </c>
      <c r="M428" s="0" t="n">
        <v>40</v>
      </c>
      <c r="N428" s="0" t="n">
        <v>4.1</v>
      </c>
      <c r="O428" s="3" t="s">
        <v>17</v>
      </c>
    </row>
    <row r="429" customFormat="false" ht="15" hidden="false" customHeight="false" outlineLevel="0" collapsed="false">
      <c r="A429" s="0" t="s">
        <v>1584</v>
      </c>
      <c r="B429" s="2" t="n">
        <v>45777</v>
      </c>
      <c r="C429" s="0" t="str">
        <f aca="false">TEXT(B429,"mmm")</f>
        <v>Apr</v>
      </c>
      <c r="D429" s="0" t="str">
        <f aca="false">TEXT(B429,"ddd")</f>
        <v>Wed</v>
      </c>
      <c r="E429" s="3" t="s">
        <v>13</v>
      </c>
      <c r="F429" s="3" t="s">
        <v>20</v>
      </c>
      <c r="G429" s="3" t="s">
        <v>21</v>
      </c>
      <c r="H429" s="3" t="s">
        <v>22</v>
      </c>
      <c r="I429" s="4" t="n">
        <v>787</v>
      </c>
      <c r="J429" s="4" t="n">
        <v>134</v>
      </c>
      <c r="K429" s="4" t="n">
        <v>0</v>
      </c>
      <c r="L429" s="4" t="n">
        <f aca="false">IF(O429="Delivered",I429-J429+K429,0)</f>
        <v>653</v>
      </c>
      <c r="M429" s="0" t="n">
        <v>27</v>
      </c>
      <c r="N429" s="0" t="n">
        <v>4.4</v>
      </c>
      <c r="O429" s="3" t="s">
        <v>17</v>
      </c>
    </row>
    <row r="430" customFormat="false" ht="15" hidden="false" customHeight="false" outlineLevel="0" collapsed="false">
      <c r="A430" s="0" t="s">
        <v>92</v>
      </c>
      <c r="B430" s="2" t="n">
        <v>45778</v>
      </c>
      <c r="C430" s="0" t="str">
        <f aca="false">TEXT(B430,"mmm")</f>
        <v>May</v>
      </c>
      <c r="D430" s="0" t="str">
        <f aca="false">TEXT(B430,"ddd")</f>
        <v>Thu</v>
      </c>
      <c r="E430" s="3" t="s">
        <v>13</v>
      </c>
      <c r="F430" s="3" t="s">
        <v>20</v>
      </c>
      <c r="G430" s="3" t="s">
        <v>15</v>
      </c>
      <c r="H430" s="3" t="s">
        <v>22</v>
      </c>
      <c r="I430" s="4" t="n">
        <v>814</v>
      </c>
      <c r="J430" s="4" t="n">
        <v>188</v>
      </c>
      <c r="K430" s="4" t="n">
        <v>0</v>
      </c>
      <c r="L430" s="4" t="n">
        <f aca="false">IF(O430="Delivered",I430-J430+K430,0)</f>
        <v>626</v>
      </c>
      <c r="M430" s="0" t="n">
        <v>40</v>
      </c>
      <c r="N430" s="0" t="n">
        <v>3.4</v>
      </c>
      <c r="O430" s="3" t="s">
        <v>17</v>
      </c>
    </row>
    <row r="431" customFormat="false" ht="15" hidden="false" customHeight="false" outlineLevel="0" collapsed="false">
      <c r="A431" s="0" t="s">
        <v>412</v>
      </c>
      <c r="B431" s="2" t="n">
        <v>45778</v>
      </c>
      <c r="C431" s="0" t="str">
        <f aca="false">TEXT(B431,"mmm")</f>
        <v>May</v>
      </c>
      <c r="D431" s="0" t="str">
        <f aca="false">TEXT(B431,"ddd")</f>
        <v>Thu</v>
      </c>
      <c r="E431" s="3" t="s">
        <v>27</v>
      </c>
      <c r="F431" s="3" t="s">
        <v>25</v>
      </c>
      <c r="G431" s="3" t="s">
        <v>21</v>
      </c>
      <c r="H431" s="3" t="s">
        <v>22</v>
      </c>
      <c r="I431" s="4" t="n">
        <v>402</v>
      </c>
      <c r="J431" s="4" t="n">
        <v>0</v>
      </c>
      <c r="K431" s="4" t="n">
        <v>20</v>
      </c>
      <c r="L431" s="4" t="n">
        <f aca="false">IF(O431="Delivered",I431-J431+K431,0)</f>
        <v>422</v>
      </c>
      <c r="M431" s="0" t="n">
        <v>47</v>
      </c>
      <c r="N431" s="0" t="n">
        <v>4.9</v>
      </c>
      <c r="O431" s="3" t="s">
        <v>17</v>
      </c>
    </row>
    <row r="432" customFormat="false" ht="15" hidden="false" customHeight="false" outlineLevel="0" collapsed="false">
      <c r="A432" s="0" t="s">
        <v>736</v>
      </c>
      <c r="B432" s="2" t="n">
        <v>45778</v>
      </c>
      <c r="C432" s="0" t="str">
        <f aca="false">TEXT(B432,"mmm")</f>
        <v>May</v>
      </c>
      <c r="D432" s="0" t="str">
        <f aca="false">TEXT(B432,"ddd")</f>
        <v>Thu</v>
      </c>
      <c r="E432" s="3" t="s">
        <v>40</v>
      </c>
      <c r="F432" s="3" t="s">
        <v>20</v>
      </c>
      <c r="G432" s="3" t="s">
        <v>15</v>
      </c>
      <c r="H432" s="3" t="s">
        <v>54</v>
      </c>
      <c r="I432" s="4" t="n">
        <v>733</v>
      </c>
      <c r="J432" s="4" t="n">
        <v>114</v>
      </c>
      <c r="K432" s="4" t="n">
        <v>0</v>
      </c>
      <c r="L432" s="4" t="n">
        <f aca="false">IF(O432="Delivered",I432-J432+K432,0)</f>
        <v>619</v>
      </c>
      <c r="M432" s="0" t="n">
        <v>42</v>
      </c>
      <c r="N432" s="0" t="n">
        <v>3.9</v>
      </c>
      <c r="O432" s="3" t="s">
        <v>17</v>
      </c>
    </row>
    <row r="433" customFormat="false" ht="15" hidden="false" customHeight="false" outlineLevel="0" collapsed="false">
      <c r="A433" s="0" t="s">
        <v>235</v>
      </c>
      <c r="B433" s="2" t="n">
        <v>45779</v>
      </c>
      <c r="C433" s="0" t="str">
        <f aca="false">TEXT(B433,"mmm")</f>
        <v>May</v>
      </c>
      <c r="D433" s="0" t="str">
        <f aca="false">TEXT(B433,"ddd")</f>
        <v>Fri</v>
      </c>
      <c r="E433" s="3" t="s">
        <v>24</v>
      </c>
      <c r="F433" s="3" t="s">
        <v>78</v>
      </c>
      <c r="G433" s="3" t="s">
        <v>15</v>
      </c>
      <c r="H433" s="3" t="s">
        <v>54</v>
      </c>
      <c r="I433" s="4" t="n">
        <v>427</v>
      </c>
      <c r="J433" s="4" t="n">
        <v>89</v>
      </c>
      <c r="K433" s="4" t="n">
        <v>40</v>
      </c>
      <c r="L433" s="4" t="n">
        <f aca="false">IF(O433="Delivered",I433-J433+K433,0)</f>
        <v>378</v>
      </c>
      <c r="M433" s="0" t="n">
        <v>43</v>
      </c>
      <c r="N433" s="0" t="n">
        <v>3.9</v>
      </c>
      <c r="O433" s="3" t="s">
        <v>17</v>
      </c>
    </row>
    <row r="434" customFormat="false" ht="15" hidden="false" customHeight="false" outlineLevel="0" collapsed="false">
      <c r="A434" s="0" t="s">
        <v>1248</v>
      </c>
      <c r="B434" s="2" t="n">
        <v>45779</v>
      </c>
      <c r="C434" s="0" t="str">
        <f aca="false">TEXT(B434,"mmm")</f>
        <v>May</v>
      </c>
      <c r="D434" s="0" t="str">
        <f aca="false">TEXT(B434,"ddd")</f>
        <v>Fri</v>
      </c>
      <c r="E434" s="3" t="s">
        <v>13</v>
      </c>
      <c r="F434" s="3" t="s">
        <v>14</v>
      </c>
      <c r="G434" s="3" t="s">
        <v>21</v>
      </c>
      <c r="H434" s="3" t="s">
        <v>36</v>
      </c>
      <c r="I434" s="4" t="n">
        <v>354</v>
      </c>
      <c r="J434" s="4" t="n">
        <v>41</v>
      </c>
      <c r="K434" s="4" t="n">
        <v>45</v>
      </c>
      <c r="L434" s="4" t="n">
        <f aca="false">IF(O434="Delivered",I434-J434+K434,0)</f>
        <v>358</v>
      </c>
      <c r="M434" s="0" t="n">
        <v>23</v>
      </c>
      <c r="N434" s="0" t="n">
        <v>4.3</v>
      </c>
      <c r="O434" s="3" t="s">
        <v>17</v>
      </c>
    </row>
    <row r="435" customFormat="false" ht="15" hidden="false" customHeight="false" outlineLevel="0" collapsed="false">
      <c r="A435" s="0" t="s">
        <v>1362</v>
      </c>
      <c r="B435" s="2" t="n">
        <v>45779</v>
      </c>
      <c r="C435" s="0" t="str">
        <f aca="false">TEXT(B435,"mmm")</f>
        <v>May</v>
      </c>
      <c r="D435" s="0" t="str">
        <f aca="false">TEXT(B435,"ddd")</f>
        <v>Fri</v>
      </c>
      <c r="E435" s="3" t="s">
        <v>24</v>
      </c>
      <c r="F435" s="3" t="s">
        <v>31</v>
      </c>
      <c r="G435" s="3" t="s">
        <v>21</v>
      </c>
      <c r="H435" s="3" t="s">
        <v>36</v>
      </c>
      <c r="I435" s="4" t="n">
        <v>588</v>
      </c>
      <c r="J435" s="4" t="n">
        <v>0</v>
      </c>
      <c r="K435" s="4" t="n">
        <v>0</v>
      </c>
      <c r="L435" s="4" t="n">
        <f aca="false">IF(O435="Delivered",I435-J435+K435,0)</f>
        <v>588</v>
      </c>
      <c r="M435" s="0" t="n">
        <v>55</v>
      </c>
      <c r="N435" s="0" t="n">
        <v>3.8</v>
      </c>
      <c r="O435" s="3" t="s">
        <v>17</v>
      </c>
    </row>
    <row r="436" customFormat="false" ht="15" hidden="false" customHeight="false" outlineLevel="0" collapsed="false">
      <c r="A436" s="0" t="s">
        <v>128</v>
      </c>
      <c r="B436" s="2" t="n">
        <v>45780</v>
      </c>
      <c r="C436" s="0" t="str">
        <f aca="false">TEXT(B436,"mmm")</f>
        <v>May</v>
      </c>
      <c r="D436" s="0" t="str">
        <f aca="false">TEXT(B436,"ddd")</f>
        <v>Sat</v>
      </c>
      <c r="E436" s="3" t="s">
        <v>30</v>
      </c>
      <c r="F436" s="3" t="s">
        <v>25</v>
      </c>
      <c r="G436" s="3" t="s">
        <v>21</v>
      </c>
      <c r="H436" s="3" t="s">
        <v>34</v>
      </c>
      <c r="I436" s="4" t="n">
        <v>501</v>
      </c>
      <c r="J436" s="4" t="n">
        <v>0</v>
      </c>
      <c r="K436" s="4" t="n">
        <v>0</v>
      </c>
      <c r="L436" s="4" t="n">
        <f aca="false">IF(O436="Delivered",I436-J436+K436,0)</f>
        <v>501</v>
      </c>
      <c r="M436" s="0" t="n">
        <v>36</v>
      </c>
      <c r="N436" s="0" t="n">
        <v>4.5</v>
      </c>
      <c r="O436" s="3" t="s">
        <v>17</v>
      </c>
    </row>
    <row r="437" customFormat="false" ht="15" hidden="false" customHeight="false" outlineLevel="0" collapsed="false">
      <c r="A437" s="0" t="s">
        <v>668</v>
      </c>
      <c r="B437" s="2" t="n">
        <v>45780</v>
      </c>
      <c r="C437" s="0" t="str">
        <f aca="false">TEXT(B437,"mmm")</f>
        <v>May</v>
      </c>
      <c r="D437" s="0" t="str">
        <f aca="false">TEXT(B437,"ddd")</f>
        <v>Sat</v>
      </c>
      <c r="E437" s="3" t="s">
        <v>19</v>
      </c>
      <c r="F437" s="3" t="s">
        <v>56</v>
      </c>
      <c r="G437" s="3" t="s">
        <v>21</v>
      </c>
      <c r="H437" s="3" t="s">
        <v>36</v>
      </c>
      <c r="I437" s="4" t="n">
        <v>258</v>
      </c>
      <c r="J437" s="4" t="n">
        <v>0</v>
      </c>
      <c r="K437" s="4" t="n">
        <v>20</v>
      </c>
      <c r="L437" s="4" t="n">
        <f aca="false">IF(O437="Delivered",I437-J437+K437,0)</f>
        <v>278</v>
      </c>
      <c r="M437" s="0" t="n">
        <v>19</v>
      </c>
      <c r="N437" s="0" t="n">
        <v>4.5</v>
      </c>
      <c r="O437" s="3" t="s">
        <v>17</v>
      </c>
    </row>
    <row r="438" customFormat="false" ht="15" hidden="false" customHeight="false" outlineLevel="0" collapsed="false">
      <c r="A438" s="0" t="s">
        <v>958</v>
      </c>
      <c r="B438" s="2" t="n">
        <v>45780</v>
      </c>
      <c r="C438" s="0" t="str">
        <f aca="false">TEXT(B438,"mmm")</f>
        <v>May</v>
      </c>
      <c r="D438" s="0" t="str">
        <f aca="false">TEXT(B438,"ddd")</f>
        <v>Sat</v>
      </c>
      <c r="E438" s="3" t="s">
        <v>27</v>
      </c>
      <c r="F438" s="3" t="s">
        <v>20</v>
      </c>
      <c r="G438" s="3" t="s">
        <v>21</v>
      </c>
      <c r="H438" s="3" t="s">
        <v>16</v>
      </c>
      <c r="I438" s="4" t="n">
        <v>671</v>
      </c>
      <c r="J438" s="4" t="n">
        <v>0</v>
      </c>
      <c r="K438" s="4" t="n">
        <v>0</v>
      </c>
      <c r="L438" s="4" t="n">
        <f aca="false">IF(O438="Delivered",I438-J438+K438,0)</f>
        <v>671</v>
      </c>
      <c r="M438" s="0" t="n">
        <v>58</v>
      </c>
      <c r="N438" s="0" t="n">
        <v>4</v>
      </c>
      <c r="O438" s="3" t="s">
        <v>17</v>
      </c>
    </row>
    <row r="439" customFormat="false" ht="15" hidden="false" customHeight="false" outlineLevel="0" collapsed="false">
      <c r="A439" s="0" t="s">
        <v>1052</v>
      </c>
      <c r="B439" s="2" t="n">
        <v>45780</v>
      </c>
      <c r="C439" s="0" t="str">
        <f aca="false">TEXT(B439,"mmm")</f>
        <v>May</v>
      </c>
      <c r="D439" s="0" t="str">
        <f aca="false">TEXT(B439,"ddd")</f>
        <v>Sat</v>
      </c>
      <c r="E439" s="3" t="s">
        <v>51</v>
      </c>
      <c r="F439" s="3" t="s">
        <v>14</v>
      </c>
      <c r="G439" s="3" t="s">
        <v>21</v>
      </c>
      <c r="H439" s="3" t="s">
        <v>22</v>
      </c>
      <c r="I439" s="4" t="n">
        <v>228</v>
      </c>
      <c r="J439" s="4" t="n">
        <v>0</v>
      </c>
      <c r="K439" s="4" t="n">
        <v>30</v>
      </c>
      <c r="L439" s="4" t="n">
        <f aca="false">IF(O439="Delivered",I439-J439+K439,0)</f>
        <v>258</v>
      </c>
      <c r="M439" s="0" t="n">
        <v>48</v>
      </c>
      <c r="N439" s="0" t="n">
        <v>4.1</v>
      </c>
      <c r="O439" s="3" t="s">
        <v>17</v>
      </c>
    </row>
    <row r="440" customFormat="false" ht="15" hidden="false" customHeight="false" outlineLevel="0" collapsed="false">
      <c r="A440" s="0" t="s">
        <v>400</v>
      </c>
      <c r="B440" s="2" t="n">
        <v>45781</v>
      </c>
      <c r="C440" s="0" t="str">
        <f aca="false">TEXT(B440,"mmm")</f>
        <v>May</v>
      </c>
      <c r="D440" s="0" t="str">
        <f aca="false">TEXT(B440,"ddd")</f>
        <v>Sun</v>
      </c>
      <c r="E440" s="3" t="s">
        <v>27</v>
      </c>
      <c r="F440" s="3" t="s">
        <v>31</v>
      </c>
      <c r="G440" s="3" t="s">
        <v>21</v>
      </c>
      <c r="H440" s="3" t="s">
        <v>16</v>
      </c>
      <c r="I440" s="4" t="n">
        <v>636</v>
      </c>
      <c r="J440" s="4" t="n">
        <v>106</v>
      </c>
      <c r="K440" s="4" t="n">
        <v>0</v>
      </c>
      <c r="L440" s="4" t="n">
        <f aca="false">IF(O440="Delivered",I440-J440+K440,0)</f>
        <v>530</v>
      </c>
      <c r="M440" s="0" t="n">
        <v>47</v>
      </c>
      <c r="N440" s="0" t="n">
        <v>3.6</v>
      </c>
      <c r="O440" s="3" t="s">
        <v>17</v>
      </c>
    </row>
    <row r="441" customFormat="false" ht="15" hidden="false" customHeight="false" outlineLevel="0" collapsed="false">
      <c r="A441" s="0" t="s">
        <v>490</v>
      </c>
      <c r="B441" s="2" t="n">
        <v>45781</v>
      </c>
      <c r="C441" s="0" t="str">
        <f aca="false">TEXT(B441,"mmm")</f>
        <v>May</v>
      </c>
      <c r="D441" s="0" t="str">
        <f aca="false">TEXT(B441,"ddd")</f>
        <v>Sun</v>
      </c>
      <c r="E441" s="3" t="s">
        <v>24</v>
      </c>
      <c r="F441" s="3" t="s">
        <v>31</v>
      </c>
      <c r="G441" s="3" t="s">
        <v>21</v>
      </c>
      <c r="H441" s="3" t="s">
        <v>22</v>
      </c>
      <c r="I441" s="4" t="n">
        <v>438</v>
      </c>
      <c r="J441" s="4" t="n">
        <v>67</v>
      </c>
      <c r="K441" s="4" t="n">
        <v>30</v>
      </c>
      <c r="L441" s="4" t="n">
        <f aca="false">IF(O441="Delivered",I441-J441+K441,0)</f>
        <v>401</v>
      </c>
      <c r="M441" s="0" t="n">
        <v>38</v>
      </c>
      <c r="N441" s="0" t="n">
        <v>4.2</v>
      </c>
      <c r="O441" s="3" t="s">
        <v>17</v>
      </c>
    </row>
    <row r="442" customFormat="false" ht="15" hidden="false" customHeight="false" outlineLevel="0" collapsed="false">
      <c r="A442" s="0" t="s">
        <v>792</v>
      </c>
      <c r="B442" s="2" t="n">
        <v>45781</v>
      </c>
      <c r="C442" s="0" t="str">
        <f aca="false">TEXT(B442,"mmm")</f>
        <v>May</v>
      </c>
      <c r="D442" s="0" t="str">
        <f aca="false">TEXT(B442,"ddd")</f>
        <v>Sun</v>
      </c>
      <c r="E442" s="3" t="s">
        <v>24</v>
      </c>
      <c r="F442" s="3" t="s">
        <v>56</v>
      </c>
      <c r="G442" s="3" t="s">
        <v>15</v>
      </c>
      <c r="H442" s="3" t="s">
        <v>22</v>
      </c>
      <c r="I442" s="4" t="n">
        <v>366</v>
      </c>
      <c r="J442" s="4" t="n">
        <v>91</v>
      </c>
      <c r="K442" s="4" t="n">
        <v>20</v>
      </c>
      <c r="L442" s="4" t="n">
        <f aca="false">IF(O442="Delivered",I442-J442+K442,0)</f>
        <v>0</v>
      </c>
      <c r="O442" s="3" t="s">
        <v>68</v>
      </c>
    </row>
    <row r="443" customFormat="false" ht="15" hidden="false" customHeight="false" outlineLevel="0" collapsed="false">
      <c r="A443" s="0" t="s">
        <v>1075</v>
      </c>
      <c r="B443" s="2" t="n">
        <v>45781</v>
      </c>
      <c r="C443" s="0" t="str">
        <f aca="false">TEXT(B443,"mmm")</f>
        <v>May</v>
      </c>
      <c r="D443" s="0" t="str">
        <f aca="false">TEXT(B443,"ddd")</f>
        <v>Sun</v>
      </c>
      <c r="E443" s="3" t="s">
        <v>30</v>
      </c>
      <c r="F443" s="3" t="s">
        <v>20</v>
      </c>
      <c r="G443" s="3" t="s">
        <v>21</v>
      </c>
      <c r="H443" s="3" t="s">
        <v>22</v>
      </c>
      <c r="I443" s="4" t="n">
        <v>451</v>
      </c>
      <c r="J443" s="4" t="n">
        <v>0</v>
      </c>
      <c r="K443" s="4" t="n">
        <v>20</v>
      </c>
      <c r="L443" s="4" t="n">
        <f aca="false">IF(O443="Delivered",I443-J443+K443,0)</f>
        <v>471</v>
      </c>
      <c r="M443" s="0" t="n">
        <v>41</v>
      </c>
      <c r="N443" s="0" t="n">
        <v>5</v>
      </c>
      <c r="O443" s="3" t="s">
        <v>17</v>
      </c>
    </row>
    <row r="444" customFormat="false" ht="15" hidden="false" customHeight="false" outlineLevel="0" collapsed="false">
      <c r="A444" s="0" t="s">
        <v>780</v>
      </c>
      <c r="B444" s="2" t="n">
        <v>45782</v>
      </c>
      <c r="C444" s="0" t="str">
        <f aca="false">TEXT(B444,"mmm")</f>
        <v>May</v>
      </c>
      <c r="D444" s="0" t="str">
        <f aca="false">TEXT(B444,"ddd")</f>
        <v>Mon</v>
      </c>
      <c r="E444" s="3" t="s">
        <v>24</v>
      </c>
      <c r="F444" s="3" t="s">
        <v>56</v>
      </c>
      <c r="G444" s="3" t="s">
        <v>21</v>
      </c>
      <c r="H444" s="3" t="s">
        <v>54</v>
      </c>
      <c r="I444" s="4" t="n">
        <v>542</v>
      </c>
      <c r="J444" s="4" t="n">
        <v>0</v>
      </c>
      <c r="K444" s="4" t="n">
        <v>0</v>
      </c>
      <c r="L444" s="4" t="n">
        <f aca="false">IF(O444="Delivered",I444-J444+K444,0)</f>
        <v>542</v>
      </c>
      <c r="M444" s="0" t="n">
        <v>25</v>
      </c>
      <c r="N444" s="0" t="n">
        <v>5</v>
      </c>
      <c r="O444" s="3" t="s">
        <v>17</v>
      </c>
    </row>
    <row r="445" customFormat="false" ht="15" hidden="false" customHeight="false" outlineLevel="0" collapsed="false">
      <c r="A445" s="0" t="s">
        <v>827</v>
      </c>
      <c r="B445" s="2" t="n">
        <v>45782</v>
      </c>
      <c r="C445" s="0" t="str">
        <f aca="false">TEXT(B445,"mmm")</f>
        <v>May</v>
      </c>
      <c r="D445" s="0" t="str">
        <f aca="false">TEXT(B445,"ddd")</f>
        <v>Mon</v>
      </c>
      <c r="E445" s="3" t="s">
        <v>13</v>
      </c>
      <c r="F445" s="3" t="s">
        <v>56</v>
      </c>
      <c r="G445" s="3" t="s">
        <v>21</v>
      </c>
      <c r="H445" s="3" t="s">
        <v>16</v>
      </c>
      <c r="I445" s="4" t="n">
        <v>439</v>
      </c>
      <c r="J445" s="4" t="n">
        <v>73</v>
      </c>
      <c r="K445" s="4" t="n">
        <v>30</v>
      </c>
      <c r="L445" s="4" t="n">
        <f aca="false">IF(O445="Delivered",I445-J445+K445,0)</f>
        <v>396</v>
      </c>
      <c r="M445" s="0" t="n">
        <v>43</v>
      </c>
      <c r="N445" s="0" t="n">
        <v>4.9</v>
      </c>
      <c r="O445" s="3" t="s">
        <v>17</v>
      </c>
    </row>
    <row r="446" customFormat="false" ht="15" hidden="false" customHeight="false" outlineLevel="0" collapsed="false">
      <c r="A446" s="0" t="s">
        <v>146</v>
      </c>
      <c r="B446" s="2" t="n">
        <v>45783</v>
      </c>
      <c r="C446" s="0" t="str">
        <f aca="false">TEXT(B446,"mmm")</f>
        <v>May</v>
      </c>
      <c r="D446" s="0" t="str">
        <f aca="false">TEXT(B446,"ddd")</f>
        <v>Tue</v>
      </c>
      <c r="E446" s="3" t="s">
        <v>30</v>
      </c>
      <c r="F446" s="3" t="s">
        <v>56</v>
      </c>
      <c r="G446" s="3" t="s">
        <v>15</v>
      </c>
      <c r="H446" s="3" t="s">
        <v>54</v>
      </c>
      <c r="I446" s="4" t="n">
        <v>416</v>
      </c>
      <c r="J446" s="4" t="n">
        <v>85</v>
      </c>
      <c r="K446" s="4" t="n">
        <v>20</v>
      </c>
      <c r="L446" s="4" t="n">
        <f aca="false">IF(O446="Delivered",I446-J446+K446,0)</f>
        <v>351</v>
      </c>
      <c r="M446" s="0" t="n">
        <v>39</v>
      </c>
      <c r="N446" s="0" t="n">
        <v>4.3</v>
      </c>
      <c r="O446" s="3" t="s">
        <v>17</v>
      </c>
    </row>
    <row r="447" customFormat="false" ht="15" hidden="false" customHeight="false" outlineLevel="0" collapsed="false">
      <c r="A447" s="0" t="s">
        <v>291</v>
      </c>
      <c r="B447" s="2" t="n">
        <v>45783</v>
      </c>
      <c r="C447" s="0" t="str">
        <f aca="false">TEXT(B447,"mmm")</f>
        <v>May</v>
      </c>
      <c r="D447" s="0" t="str">
        <f aca="false">TEXT(B447,"ddd")</f>
        <v>Tue</v>
      </c>
      <c r="E447" s="3" t="s">
        <v>40</v>
      </c>
      <c r="F447" s="3" t="s">
        <v>25</v>
      </c>
      <c r="G447" s="3" t="s">
        <v>21</v>
      </c>
      <c r="H447" s="3" t="s">
        <v>16</v>
      </c>
      <c r="I447" s="4" t="n">
        <v>582</v>
      </c>
      <c r="J447" s="4" t="n">
        <v>0</v>
      </c>
      <c r="K447" s="4" t="n">
        <v>0</v>
      </c>
      <c r="L447" s="4" t="n">
        <f aca="false">IF(O447="Delivered",I447-J447+K447,0)</f>
        <v>582</v>
      </c>
      <c r="M447" s="0" t="n">
        <v>26</v>
      </c>
      <c r="N447" s="0" t="n">
        <v>4.6</v>
      </c>
      <c r="O447" s="3" t="s">
        <v>17</v>
      </c>
    </row>
    <row r="448" customFormat="false" ht="15" hidden="false" customHeight="false" outlineLevel="0" collapsed="false">
      <c r="A448" s="0" t="s">
        <v>493</v>
      </c>
      <c r="B448" s="2" t="n">
        <v>45783</v>
      </c>
      <c r="C448" s="0" t="str">
        <f aca="false">TEXT(B448,"mmm")</f>
        <v>May</v>
      </c>
      <c r="D448" s="0" t="str">
        <f aca="false">TEXT(B448,"ddd")</f>
        <v>Tue</v>
      </c>
      <c r="E448" s="3" t="s">
        <v>27</v>
      </c>
      <c r="F448" s="3" t="s">
        <v>31</v>
      </c>
      <c r="G448" s="3" t="s">
        <v>21</v>
      </c>
      <c r="H448" s="3" t="s">
        <v>22</v>
      </c>
      <c r="I448" s="4" t="n">
        <v>437</v>
      </c>
      <c r="J448" s="4" t="n">
        <v>0</v>
      </c>
      <c r="K448" s="4" t="n">
        <v>45</v>
      </c>
      <c r="L448" s="4" t="n">
        <f aca="false">IF(O448="Delivered",I448-J448+K448,0)</f>
        <v>482</v>
      </c>
      <c r="M448" s="0" t="n">
        <v>46</v>
      </c>
      <c r="N448" s="0" t="n">
        <v>4.9</v>
      </c>
      <c r="O448" s="3" t="s">
        <v>17</v>
      </c>
    </row>
    <row r="449" customFormat="false" ht="15" hidden="false" customHeight="false" outlineLevel="0" collapsed="false">
      <c r="A449" s="0" t="s">
        <v>563</v>
      </c>
      <c r="B449" s="2" t="n">
        <v>45783</v>
      </c>
      <c r="C449" s="0" t="str">
        <f aca="false">TEXT(B449,"mmm")</f>
        <v>May</v>
      </c>
      <c r="D449" s="0" t="str">
        <f aca="false">TEXT(B449,"ddd")</f>
        <v>Tue</v>
      </c>
      <c r="E449" s="3" t="s">
        <v>40</v>
      </c>
      <c r="F449" s="3" t="s">
        <v>25</v>
      </c>
      <c r="G449" s="3" t="s">
        <v>15</v>
      </c>
      <c r="H449" s="3" t="s">
        <v>22</v>
      </c>
      <c r="I449" s="4" t="n">
        <v>534</v>
      </c>
      <c r="J449" s="4" t="n">
        <v>82</v>
      </c>
      <c r="K449" s="4" t="n">
        <v>0</v>
      </c>
      <c r="L449" s="4" t="n">
        <f aca="false">IF(O449="Delivered",I449-J449+K449,0)</f>
        <v>452</v>
      </c>
      <c r="M449" s="0" t="n">
        <v>35</v>
      </c>
      <c r="N449" s="0" t="n">
        <v>4.4</v>
      </c>
      <c r="O449" s="3" t="s">
        <v>17</v>
      </c>
    </row>
    <row r="450" customFormat="false" ht="15" hidden="false" customHeight="false" outlineLevel="0" collapsed="false">
      <c r="A450" s="0" t="s">
        <v>869</v>
      </c>
      <c r="B450" s="2" t="n">
        <v>45783</v>
      </c>
      <c r="C450" s="0" t="str">
        <f aca="false">TEXT(B450,"mmm")</f>
        <v>May</v>
      </c>
      <c r="D450" s="0" t="str">
        <f aca="false">TEXT(B450,"ddd")</f>
        <v>Tue</v>
      </c>
      <c r="E450" s="3" t="s">
        <v>24</v>
      </c>
      <c r="F450" s="3" t="s">
        <v>28</v>
      </c>
      <c r="G450" s="3" t="s">
        <v>15</v>
      </c>
      <c r="H450" s="3" t="s">
        <v>34</v>
      </c>
      <c r="I450" s="4" t="n">
        <v>352</v>
      </c>
      <c r="J450" s="4" t="n">
        <v>45</v>
      </c>
      <c r="K450" s="4" t="n">
        <v>40</v>
      </c>
      <c r="L450" s="4" t="n">
        <f aca="false">IF(O450="Delivered",I450-J450+K450,0)</f>
        <v>347</v>
      </c>
      <c r="M450" s="0" t="n">
        <v>47</v>
      </c>
      <c r="N450" s="0" t="n">
        <v>3.8</v>
      </c>
      <c r="O450" s="3" t="s">
        <v>17</v>
      </c>
    </row>
    <row r="451" customFormat="false" ht="15" hidden="false" customHeight="false" outlineLevel="0" collapsed="false">
      <c r="A451" s="0" t="s">
        <v>1177</v>
      </c>
      <c r="B451" s="2" t="n">
        <v>45783</v>
      </c>
      <c r="C451" s="0" t="str">
        <f aca="false">TEXT(B451,"mmm")</f>
        <v>May</v>
      </c>
      <c r="D451" s="0" t="str">
        <f aca="false">TEXT(B451,"ddd")</f>
        <v>Tue</v>
      </c>
      <c r="E451" s="3" t="s">
        <v>40</v>
      </c>
      <c r="F451" s="3" t="s">
        <v>49</v>
      </c>
      <c r="G451" s="3" t="s">
        <v>21</v>
      </c>
      <c r="H451" s="3" t="s">
        <v>16</v>
      </c>
      <c r="I451" s="4" t="n">
        <v>477</v>
      </c>
      <c r="J451" s="4" t="n">
        <v>0</v>
      </c>
      <c r="K451" s="4" t="n">
        <v>20</v>
      </c>
      <c r="L451" s="4" t="n">
        <f aca="false">IF(O451="Delivered",I451-J451+K451,0)</f>
        <v>497</v>
      </c>
      <c r="M451" s="0" t="n">
        <v>43</v>
      </c>
      <c r="N451" s="0" t="n">
        <v>3.9</v>
      </c>
      <c r="O451" s="3" t="s">
        <v>17</v>
      </c>
    </row>
    <row r="452" customFormat="false" ht="15" hidden="false" customHeight="false" outlineLevel="0" collapsed="false">
      <c r="A452" s="0" t="s">
        <v>1563</v>
      </c>
      <c r="B452" s="2" t="n">
        <v>45783</v>
      </c>
      <c r="C452" s="0" t="str">
        <f aca="false">TEXT(B452,"mmm")</f>
        <v>May</v>
      </c>
      <c r="D452" s="0" t="str">
        <f aca="false">TEXT(B452,"ddd")</f>
        <v>Tue</v>
      </c>
      <c r="E452" s="3" t="s">
        <v>51</v>
      </c>
      <c r="F452" s="3" t="s">
        <v>31</v>
      </c>
      <c r="G452" s="3" t="s">
        <v>15</v>
      </c>
      <c r="H452" s="3" t="s">
        <v>22</v>
      </c>
      <c r="I452" s="4" t="n">
        <v>394</v>
      </c>
      <c r="J452" s="4" t="n">
        <v>0</v>
      </c>
      <c r="K452" s="4" t="n">
        <v>45</v>
      </c>
      <c r="L452" s="4" t="n">
        <f aca="false">IF(O452="Delivered",I452-J452+K452,0)</f>
        <v>439</v>
      </c>
      <c r="M452" s="0" t="n">
        <v>39</v>
      </c>
      <c r="N452" s="0" t="n">
        <v>4.8</v>
      </c>
      <c r="O452" s="3" t="s">
        <v>17</v>
      </c>
    </row>
    <row r="453" customFormat="false" ht="15" hidden="false" customHeight="false" outlineLevel="0" collapsed="false">
      <c r="A453" s="0" t="s">
        <v>117</v>
      </c>
      <c r="B453" s="2" t="n">
        <v>45784</v>
      </c>
      <c r="C453" s="0" t="str">
        <f aca="false">TEXT(B453,"mmm")</f>
        <v>May</v>
      </c>
      <c r="D453" s="0" t="str">
        <f aca="false">TEXT(B453,"ddd")</f>
        <v>Wed</v>
      </c>
      <c r="E453" s="3" t="s">
        <v>40</v>
      </c>
      <c r="F453" s="3" t="s">
        <v>31</v>
      </c>
      <c r="G453" s="3" t="s">
        <v>15</v>
      </c>
      <c r="H453" s="3" t="s">
        <v>22</v>
      </c>
      <c r="I453" s="4" t="n">
        <v>724</v>
      </c>
      <c r="J453" s="4" t="n">
        <v>74</v>
      </c>
      <c r="K453" s="4" t="n">
        <v>0</v>
      </c>
      <c r="L453" s="4" t="n">
        <f aca="false">IF(O453="Delivered",I453-J453+K453,0)</f>
        <v>650</v>
      </c>
      <c r="M453" s="0" t="n">
        <v>35</v>
      </c>
      <c r="N453" s="0" t="n">
        <v>4</v>
      </c>
      <c r="O453" s="3" t="s">
        <v>17</v>
      </c>
    </row>
    <row r="454" customFormat="false" ht="15" hidden="false" customHeight="false" outlineLevel="0" collapsed="false">
      <c r="A454" s="0" t="s">
        <v>577</v>
      </c>
      <c r="B454" s="2" t="n">
        <v>45784</v>
      </c>
      <c r="C454" s="0" t="str">
        <f aca="false">TEXT(B454,"mmm")</f>
        <v>May</v>
      </c>
      <c r="D454" s="0" t="str">
        <f aca="false">TEXT(B454,"ddd")</f>
        <v>Wed</v>
      </c>
      <c r="E454" s="3" t="s">
        <v>24</v>
      </c>
      <c r="F454" s="3" t="s">
        <v>56</v>
      </c>
      <c r="G454" s="3" t="s">
        <v>21</v>
      </c>
      <c r="H454" s="3" t="s">
        <v>22</v>
      </c>
      <c r="I454" s="4" t="n">
        <v>427</v>
      </c>
      <c r="J454" s="4" t="n">
        <v>0</v>
      </c>
      <c r="K454" s="4" t="n">
        <v>20</v>
      </c>
      <c r="L454" s="4" t="n">
        <f aca="false">IF(O454="Delivered",I454-J454+K454,0)</f>
        <v>447</v>
      </c>
      <c r="M454" s="0" t="n">
        <v>36</v>
      </c>
      <c r="N454" s="0" t="n">
        <v>4.9</v>
      </c>
      <c r="O454" s="3" t="s">
        <v>17</v>
      </c>
    </row>
    <row r="455" customFormat="false" ht="15" hidden="false" customHeight="false" outlineLevel="0" collapsed="false">
      <c r="A455" s="0" t="s">
        <v>1061</v>
      </c>
      <c r="B455" s="2" t="n">
        <v>45784</v>
      </c>
      <c r="C455" s="0" t="str">
        <f aca="false">TEXT(B455,"mmm")</f>
        <v>May</v>
      </c>
      <c r="D455" s="0" t="str">
        <f aca="false">TEXT(B455,"ddd")</f>
        <v>Wed</v>
      </c>
      <c r="E455" s="3" t="s">
        <v>40</v>
      </c>
      <c r="F455" s="3" t="s">
        <v>28</v>
      </c>
      <c r="G455" s="3" t="s">
        <v>15</v>
      </c>
      <c r="H455" s="3" t="s">
        <v>22</v>
      </c>
      <c r="I455" s="4" t="n">
        <v>518</v>
      </c>
      <c r="J455" s="4" t="n">
        <v>73</v>
      </c>
      <c r="K455" s="4" t="n">
        <v>0</v>
      </c>
      <c r="L455" s="4" t="n">
        <f aca="false">IF(O455="Delivered",I455-J455+K455,0)</f>
        <v>445</v>
      </c>
      <c r="M455" s="0" t="n">
        <v>34</v>
      </c>
      <c r="N455" s="0" t="n">
        <v>3.7</v>
      </c>
      <c r="O455" s="3" t="s">
        <v>17</v>
      </c>
    </row>
    <row r="456" customFormat="false" ht="15" hidden="false" customHeight="false" outlineLevel="0" collapsed="false">
      <c r="A456" s="0" t="s">
        <v>1528</v>
      </c>
      <c r="B456" s="2" t="n">
        <v>45784</v>
      </c>
      <c r="C456" s="0" t="str">
        <f aca="false">TEXT(B456,"mmm")</f>
        <v>May</v>
      </c>
      <c r="D456" s="0" t="str">
        <f aca="false">TEXT(B456,"ddd")</f>
        <v>Wed</v>
      </c>
      <c r="E456" s="3" t="s">
        <v>24</v>
      </c>
      <c r="F456" s="3" t="s">
        <v>31</v>
      </c>
      <c r="G456" s="3" t="s">
        <v>15</v>
      </c>
      <c r="H456" s="3" t="s">
        <v>34</v>
      </c>
      <c r="I456" s="4" t="n">
        <v>465</v>
      </c>
      <c r="J456" s="4" t="n">
        <v>0</v>
      </c>
      <c r="K456" s="4" t="n">
        <v>45</v>
      </c>
      <c r="L456" s="4" t="n">
        <f aca="false">IF(O456="Delivered",I456-J456+K456,0)</f>
        <v>0</v>
      </c>
      <c r="O456" s="3" t="s">
        <v>68</v>
      </c>
    </row>
    <row r="457" customFormat="false" ht="15" hidden="false" customHeight="false" outlineLevel="0" collapsed="false">
      <c r="A457" s="0" t="s">
        <v>167</v>
      </c>
      <c r="B457" s="2" t="n">
        <v>45785</v>
      </c>
      <c r="C457" s="0" t="str">
        <f aca="false">TEXT(B457,"mmm")</f>
        <v>May</v>
      </c>
      <c r="D457" s="0" t="str">
        <f aca="false">TEXT(B457,"ddd")</f>
        <v>Thu</v>
      </c>
      <c r="E457" s="3" t="s">
        <v>30</v>
      </c>
      <c r="F457" s="3" t="s">
        <v>28</v>
      </c>
      <c r="G457" s="3" t="s">
        <v>21</v>
      </c>
      <c r="H457" s="3" t="s">
        <v>22</v>
      </c>
      <c r="I457" s="4" t="n">
        <v>503</v>
      </c>
      <c r="J457" s="4" t="n">
        <v>117</v>
      </c>
      <c r="K457" s="4" t="n">
        <v>0</v>
      </c>
      <c r="L457" s="4" t="n">
        <f aca="false">IF(O457="Delivered",I457-J457+K457,0)</f>
        <v>386</v>
      </c>
      <c r="M457" s="0" t="n">
        <v>28</v>
      </c>
      <c r="N457" s="0" t="n">
        <v>4.7</v>
      </c>
      <c r="O457" s="3" t="s">
        <v>17</v>
      </c>
    </row>
    <row r="458" customFormat="false" ht="15" hidden="false" customHeight="false" outlineLevel="0" collapsed="false">
      <c r="A458" s="0" t="s">
        <v>712</v>
      </c>
      <c r="B458" s="2" t="n">
        <v>45786</v>
      </c>
      <c r="C458" s="0" t="str">
        <f aca="false">TEXT(B458,"mmm")</f>
        <v>May</v>
      </c>
      <c r="D458" s="0" t="str">
        <f aca="false">TEXT(B458,"ddd")</f>
        <v>Fri</v>
      </c>
      <c r="E458" s="3" t="s">
        <v>27</v>
      </c>
      <c r="F458" s="3" t="s">
        <v>14</v>
      </c>
      <c r="G458" s="3" t="s">
        <v>15</v>
      </c>
      <c r="H458" s="3" t="s">
        <v>16</v>
      </c>
      <c r="I458" s="4" t="n">
        <v>296</v>
      </c>
      <c r="J458" s="4" t="n">
        <v>58</v>
      </c>
      <c r="K458" s="4" t="n">
        <v>30</v>
      </c>
      <c r="L458" s="4" t="n">
        <f aca="false">IF(O458="Delivered",I458-J458+K458,0)</f>
        <v>268</v>
      </c>
      <c r="M458" s="0" t="n">
        <v>55</v>
      </c>
      <c r="N458" s="0" t="n">
        <v>4.6</v>
      </c>
      <c r="O458" s="3" t="s">
        <v>17</v>
      </c>
    </row>
    <row r="459" customFormat="false" ht="15" hidden="false" customHeight="false" outlineLevel="0" collapsed="false">
      <c r="A459" s="0" t="s">
        <v>87</v>
      </c>
      <c r="B459" s="2" t="n">
        <v>45787</v>
      </c>
      <c r="C459" s="0" t="str">
        <f aca="false">TEXT(B459,"mmm")</f>
        <v>May</v>
      </c>
      <c r="D459" s="0" t="str">
        <f aca="false">TEXT(B459,"ddd")</f>
        <v>Sat</v>
      </c>
      <c r="E459" s="3" t="s">
        <v>40</v>
      </c>
      <c r="F459" s="3" t="s">
        <v>56</v>
      </c>
      <c r="G459" s="3" t="s">
        <v>21</v>
      </c>
      <c r="H459" s="3" t="s">
        <v>54</v>
      </c>
      <c r="I459" s="4" t="n">
        <v>409</v>
      </c>
      <c r="J459" s="4" t="n">
        <v>75</v>
      </c>
      <c r="K459" s="4" t="n">
        <v>30</v>
      </c>
      <c r="L459" s="4" t="n">
        <f aca="false">IF(O459="Delivered",I459-J459+K459,0)</f>
        <v>364</v>
      </c>
      <c r="M459" s="0" t="n">
        <v>36</v>
      </c>
      <c r="N459" s="0" t="n">
        <v>5</v>
      </c>
      <c r="O459" s="3" t="s">
        <v>17</v>
      </c>
    </row>
    <row r="460" customFormat="false" ht="15" hidden="false" customHeight="false" outlineLevel="0" collapsed="false">
      <c r="A460" s="0" t="s">
        <v>267</v>
      </c>
      <c r="B460" s="2" t="n">
        <v>45787</v>
      </c>
      <c r="C460" s="0" t="str">
        <f aca="false">TEXT(B460,"mmm")</f>
        <v>May</v>
      </c>
      <c r="D460" s="0" t="str">
        <f aca="false">TEXT(B460,"ddd")</f>
        <v>Sat</v>
      </c>
      <c r="E460" s="3" t="s">
        <v>13</v>
      </c>
      <c r="F460" s="3" t="s">
        <v>49</v>
      </c>
      <c r="G460" s="3" t="s">
        <v>21</v>
      </c>
      <c r="H460" s="3" t="s">
        <v>54</v>
      </c>
      <c r="I460" s="4" t="n">
        <v>407</v>
      </c>
      <c r="J460" s="4" t="n">
        <v>0</v>
      </c>
      <c r="K460" s="4" t="n">
        <v>40</v>
      </c>
      <c r="L460" s="4" t="n">
        <f aca="false">IF(O460="Delivered",I460-J460+K460,0)</f>
        <v>447</v>
      </c>
      <c r="M460" s="0" t="n">
        <v>51</v>
      </c>
      <c r="N460" s="0" t="n">
        <v>3.1</v>
      </c>
      <c r="O460" s="3" t="s">
        <v>17</v>
      </c>
    </row>
    <row r="461" customFormat="false" ht="15" hidden="false" customHeight="false" outlineLevel="0" collapsed="false">
      <c r="A461" s="0" t="s">
        <v>336</v>
      </c>
      <c r="B461" s="2" t="n">
        <v>45787</v>
      </c>
      <c r="C461" s="0" t="str">
        <f aca="false">TEXT(B461,"mmm")</f>
        <v>May</v>
      </c>
      <c r="D461" s="0" t="str">
        <f aca="false">TEXT(B461,"ddd")</f>
        <v>Sat</v>
      </c>
      <c r="E461" s="3" t="s">
        <v>24</v>
      </c>
      <c r="F461" s="3" t="s">
        <v>31</v>
      </c>
      <c r="G461" s="3" t="s">
        <v>21</v>
      </c>
      <c r="H461" s="3" t="s">
        <v>1690</v>
      </c>
      <c r="I461" s="4" t="n">
        <v>461</v>
      </c>
      <c r="J461" s="4" t="n">
        <v>87</v>
      </c>
      <c r="K461" s="4" t="n">
        <v>30</v>
      </c>
      <c r="L461" s="4" t="n">
        <f aca="false">IF(O461="Delivered",I461-J461+K461,0)</f>
        <v>404</v>
      </c>
      <c r="M461" s="0" t="n">
        <v>36</v>
      </c>
      <c r="O461" s="3" t="s">
        <v>17</v>
      </c>
    </row>
    <row r="462" customFormat="false" ht="15" hidden="false" customHeight="false" outlineLevel="0" collapsed="false">
      <c r="A462" s="0" t="s">
        <v>638</v>
      </c>
      <c r="B462" s="2" t="n">
        <v>45787</v>
      </c>
      <c r="C462" s="0" t="str">
        <f aca="false">TEXT(B462,"mmm")</f>
        <v>May</v>
      </c>
      <c r="D462" s="0" t="str">
        <f aca="false">TEXT(B462,"ddd")</f>
        <v>Sat</v>
      </c>
      <c r="E462" s="3" t="s">
        <v>27</v>
      </c>
      <c r="F462" s="3" t="s">
        <v>56</v>
      </c>
      <c r="G462" s="3" t="s">
        <v>15</v>
      </c>
      <c r="H462" s="3" t="s">
        <v>22</v>
      </c>
      <c r="I462" s="4" t="n">
        <v>365</v>
      </c>
      <c r="J462" s="4" t="n">
        <v>0</v>
      </c>
      <c r="K462" s="4" t="n">
        <v>20</v>
      </c>
      <c r="L462" s="4" t="n">
        <f aca="false">IF(O462="Delivered",I462-J462+K462,0)</f>
        <v>385</v>
      </c>
      <c r="M462" s="0" t="n">
        <v>49</v>
      </c>
      <c r="O462" s="3" t="s">
        <v>17</v>
      </c>
    </row>
    <row r="463" customFormat="false" ht="15" hidden="false" customHeight="false" outlineLevel="0" collapsed="false">
      <c r="A463" s="0" t="s">
        <v>860</v>
      </c>
      <c r="B463" s="2" t="n">
        <v>45787</v>
      </c>
      <c r="C463" s="0" t="str">
        <f aca="false">TEXT(B463,"mmm")</f>
        <v>May</v>
      </c>
      <c r="D463" s="0" t="str">
        <f aca="false">TEXT(B463,"ddd")</f>
        <v>Sat</v>
      </c>
      <c r="E463" s="3" t="s">
        <v>24</v>
      </c>
      <c r="F463" s="3" t="s">
        <v>49</v>
      </c>
      <c r="G463" s="3" t="s">
        <v>21</v>
      </c>
      <c r="H463" s="3" t="s">
        <v>36</v>
      </c>
      <c r="I463" s="4" t="n">
        <v>696</v>
      </c>
      <c r="J463" s="4" t="n">
        <v>0</v>
      </c>
      <c r="K463" s="4" t="n">
        <v>0</v>
      </c>
      <c r="L463" s="4" t="n">
        <f aca="false">IF(O463="Delivered",I463-J463+K463,0)</f>
        <v>0</v>
      </c>
      <c r="O463" s="3" t="s">
        <v>68</v>
      </c>
    </row>
    <row r="464" customFormat="false" ht="15" hidden="false" customHeight="false" outlineLevel="0" collapsed="false">
      <c r="A464" s="0" t="s">
        <v>1581</v>
      </c>
      <c r="B464" s="2" t="n">
        <v>45787</v>
      </c>
      <c r="C464" s="0" t="str">
        <f aca="false">TEXT(B464,"mmm")</f>
        <v>May</v>
      </c>
      <c r="D464" s="0" t="str">
        <f aca="false">TEXT(B464,"ddd")</f>
        <v>Sat</v>
      </c>
      <c r="E464" s="3" t="s">
        <v>19</v>
      </c>
      <c r="F464" s="3" t="s">
        <v>25</v>
      </c>
      <c r="G464" s="3" t="s">
        <v>21</v>
      </c>
      <c r="H464" s="3" t="s">
        <v>16</v>
      </c>
      <c r="I464" s="4" t="n">
        <v>535</v>
      </c>
      <c r="J464" s="4" t="n">
        <v>0</v>
      </c>
      <c r="K464" s="4" t="n">
        <v>0</v>
      </c>
      <c r="L464" s="4" t="n">
        <f aca="false">IF(O464="Delivered",I464-J464+K464,0)</f>
        <v>535</v>
      </c>
      <c r="M464" s="0" t="n">
        <v>35</v>
      </c>
      <c r="N464" s="0" t="n">
        <v>4.3</v>
      </c>
      <c r="O464" s="3" t="s">
        <v>17</v>
      </c>
    </row>
    <row r="465" customFormat="false" ht="15" hidden="false" customHeight="false" outlineLevel="0" collapsed="false">
      <c r="A465" s="0" t="s">
        <v>250</v>
      </c>
      <c r="B465" s="2" t="n">
        <v>45788</v>
      </c>
      <c r="C465" s="0" t="str">
        <f aca="false">TEXT(B465,"mmm")</f>
        <v>May</v>
      </c>
      <c r="D465" s="0" t="str">
        <f aca="false">TEXT(B465,"ddd")</f>
        <v>Sun</v>
      </c>
      <c r="E465" s="3" t="s">
        <v>24</v>
      </c>
      <c r="F465" s="3" t="s">
        <v>31</v>
      </c>
      <c r="G465" s="3" t="s">
        <v>21</v>
      </c>
      <c r="H465" s="3" t="s">
        <v>34</v>
      </c>
      <c r="I465" s="4" t="n">
        <v>509</v>
      </c>
      <c r="J465" s="4" t="n">
        <v>116</v>
      </c>
      <c r="K465" s="4" t="n">
        <v>0</v>
      </c>
      <c r="L465" s="4" t="n">
        <f aca="false">IF(O465="Delivered",I465-J465+K465,0)</f>
        <v>393</v>
      </c>
      <c r="M465" s="0" t="n">
        <v>37</v>
      </c>
      <c r="N465" s="0" t="n">
        <v>4.7</v>
      </c>
      <c r="O465" s="3" t="s">
        <v>17</v>
      </c>
    </row>
    <row r="466" customFormat="false" ht="15" hidden="false" customHeight="false" outlineLevel="0" collapsed="false">
      <c r="A466" s="0" t="s">
        <v>463</v>
      </c>
      <c r="B466" s="2" t="n">
        <v>45788</v>
      </c>
      <c r="C466" s="0" t="str">
        <f aca="false">TEXT(B466,"mmm")</f>
        <v>May</v>
      </c>
      <c r="D466" s="0" t="str">
        <f aca="false">TEXT(B466,"ddd")</f>
        <v>Sun</v>
      </c>
      <c r="E466" s="3" t="s">
        <v>19</v>
      </c>
      <c r="F466" s="3" t="s">
        <v>31</v>
      </c>
      <c r="G466" s="3" t="s">
        <v>21</v>
      </c>
      <c r="H466" s="3" t="s">
        <v>36</v>
      </c>
      <c r="I466" s="4" t="n">
        <v>618</v>
      </c>
      <c r="J466" s="4" t="n">
        <v>124</v>
      </c>
      <c r="K466" s="4" t="n">
        <v>0</v>
      </c>
      <c r="L466" s="4" t="n">
        <f aca="false">IF(O466="Delivered",I466-J466+K466,0)</f>
        <v>494</v>
      </c>
      <c r="M466" s="0" t="n">
        <v>21</v>
      </c>
      <c r="N466" s="0" t="n">
        <v>5</v>
      </c>
      <c r="O466" s="3" t="s">
        <v>17</v>
      </c>
    </row>
    <row r="467" customFormat="false" ht="15" hidden="false" customHeight="false" outlineLevel="0" collapsed="false">
      <c r="A467" s="0" t="s">
        <v>615</v>
      </c>
      <c r="B467" s="2" t="n">
        <v>45788</v>
      </c>
      <c r="C467" s="0" t="str">
        <f aca="false">TEXT(B467,"mmm")</f>
        <v>May</v>
      </c>
      <c r="D467" s="0" t="str">
        <f aca="false">TEXT(B467,"ddd")</f>
        <v>Sun</v>
      </c>
      <c r="E467" s="3" t="s">
        <v>27</v>
      </c>
      <c r="F467" s="3" t="s">
        <v>56</v>
      </c>
      <c r="G467" s="3" t="s">
        <v>21</v>
      </c>
      <c r="H467" s="3" t="s">
        <v>54</v>
      </c>
      <c r="I467" s="4" t="n">
        <v>378</v>
      </c>
      <c r="J467" s="4" t="n">
        <v>0</v>
      </c>
      <c r="K467" s="4" t="n">
        <v>30</v>
      </c>
      <c r="L467" s="4" t="n">
        <f aca="false">IF(O467="Delivered",I467-J467+K467,0)</f>
        <v>408</v>
      </c>
      <c r="M467" s="0" t="n">
        <v>44</v>
      </c>
      <c r="N467" s="0" t="n">
        <v>4.9</v>
      </c>
      <c r="O467" s="3" t="s">
        <v>17</v>
      </c>
    </row>
    <row r="468" customFormat="false" ht="15" hidden="false" customHeight="false" outlineLevel="0" collapsed="false">
      <c r="A468" s="0" t="s">
        <v>625</v>
      </c>
      <c r="B468" s="2" t="n">
        <v>45788</v>
      </c>
      <c r="C468" s="0" t="str">
        <f aca="false">TEXT(B468,"mmm")</f>
        <v>May</v>
      </c>
      <c r="D468" s="0" t="str">
        <f aca="false">TEXT(B468,"ddd")</f>
        <v>Sun</v>
      </c>
      <c r="E468" s="3" t="s">
        <v>24</v>
      </c>
      <c r="F468" s="3" t="s">
        <v>20</v>
      </c>
      <c r="G468" s="3" t="s">
        <v>21</v>
      </c>
      <c r="H468" s="3" t="s">
        <v>36</v>
      </c>
      <c r="I468" s="4" t="n">
        <v>548</v>
      </c>
      <c r="J468" s="4" t="n">
        <v>0</v>
      </c>
      <c r="K468" s="4" t="n">
        <v>0</v>
      </c>
      <c r="L468" s="4" t="n">
        <f aca="false">IF(O468="Delivered",I468-J468+K468,0)</f>
        <v>548</v>
      </c>
      <c r="M468" s="0" t="n">
        <v>36</v>
      </c>
      <c r="N468" s="0" t="n">
        <v>3.6</v>
      </c>
      <c r="O468" s="3" t="s">
        <v>17</v>
      </c>
    </row>
    <row r="469" customFormat="false" ht="15" hidden="false" customHeight="false" outlineLevel="0" collapsed="false">
      <c r="A469" s="0" t="s">
        <v>1381</v>
      </c>
      <c r="B469" s="2" t="n">
        <v>45788</v>
      </c>
      <c r="C469" s="0" t="str">
        <f aca="false">TEXT(B469,"mmm")</f>
        <v>May</v>
      </c>
      <c r="D469" s="0" t="str">
        <f aca="false">TEXT(B469,"ddd")</f>
        <v>Sun</v>
      </c>
      <c r="E469" s="3" t="s">
        <v>27</v>
      </c>
      <c r="F469" s="3" t="s">
        <v>28</v>
      </c>
      <c r="G469" s="3" t="s">
        <v>21</v>
      </c>
      <c r="H469" s="3" t="s">
        <v>36</v>
      </c>
      <c r="I469" s="4" t="n">
        <v>459</v>
      </c>
      <c r="J469" s="4" t="n">
        <v>0</v>
      </c>
      <c r="K469" s="4" t="n">
        <v>30</v>
      </c>
      <c r="L469" s="4" t="n">
        <f aca="false">IF(O469="Delivered",I469-J469+K469,0)</f>
        <v>489</v>
      </c>
      <c r="M469" s="0" t="n">
        <v>36</v>
      </c>
      <c r="N469" s="0" t="n">
        <v>4.1</v>
      </c>
      <c r="O469" s="3" t="s">
        <v>17</v>
      </c>
    </row>
    <row r="470" customFormat="false" ht="15" hidden="false" customHeight="false" outlineLevel="0" collapsed="false">
      <c r="A470" s="0" t="s">
        <v>232</v>
      </c>
      <c r="B470" s="2" t="n">
        <v>45789</v>
      </c>
      <c r="C470" s="0" t="str">
        <f aca="false">TEXT(B470,"mmm")</f>
        <v>May</v>
      </c>
      <c r="D470" s="0" t="str">
        <f aca="false">TEXT(B470,"ddd")</f>
        <v>Mon</v>
      </c>
      <c r="E470" s="3" t="s">
        <v>40</v>
      </c>
      <c r="F470" s="3" t="s">
        <v>31</v>
      </c>
      <c r="G470" s="3" t="s">
        <v>21</v>
      </c>
      <c r="H470" s="3" t="s">
        <v>22</v>
      </c>
      <c r="I470" s="4" t="n">
        <v>618</v>
      </c>
      <c r="J470" s="4" t="n">
        <v>137</v>
      </c>
      <c r="K470" s="4" t="n">
        <v>0</v>
      </c>
      <c r="L470" s="4" t="n">
        <f aca="false">IF(O470="Delivered",I470-J470+K470,0)</f>
        <v>481</v>
      </c>
      <c r="M470" s="0" t="n">
        <v>32</v>
      </c>
      <c r="N470" s="0" t="n">
        <v>5</v>
      </c>
      <c r="O470" s="3" t="s">
        <v>17</v>
      </c>
    </row>
    <row r="471" customFormat="false" ht="15" hidden="false" customHeight="false" outlineLevel="0" collapsed="false">
      <c r="A471" s="0" t="s">
        <v>350</v>
      </c>
      <c r="B471" s="2" t="n">
        <v>45789</v>
      </c>
      <c r="C471" s="0" t="str">
        <f aca="false">TEXT(B471,"mmm")</f>
        <v>May</v>
      </c>
      <c r="D471" s="0" t="str">
        <f aca="false">TEXT(B471,"ddd")</f>
        <v>Mon</v>
      </c>
      <c r="E471" s="3" t="s">
        <v>13</v>
      </c>
      <c r="F471" s="3" t="s">
        <v>56</v>
      </c>
      <c r="G471" s="3" t="s">
        <v>21</v>
      </c>
      <c r="H471" s="3" t="s">
        <v>22</v>
      </c>
      <c r="I471" s="4" t="n">
        <v>493</v>
      </c>
      <c r="J471" s="4" t="n">
        <v>0</v>
      </c>
      <c r="K471" s="4" t="n">
        <v>45</v>
      </c>
      <c r="L471" s="4" t="n">
        <f aca="false">IF(O471="Delivered",I471-J471+K471,0)</f>
        <v>538</v>
      </c>
      <c r="M471" s="0" t="n">
        <v>29</v>
      </c>
      <c r="N471" s="0" t="n">
        <v>4.6</v>
      </c>
      <c r="O471" s="3" t="s">
        <v>17</v>
      </c>
    </row>
    <row r="472" customFormat="false" ht="15" hidden="false" customHeight="false" outlineLevel="0" collapsed="false">
      <c r="A472" s="0" t="s">
        <v>587</v>
      </c>
      <c r="B472" s="2" t="n">
        <v>45789</v>
      </c>
      <c r="C472" s="0" t="str">
        <f aca="false">TEXT(B472,"mmm")</f>
        <v>May</v>
      </c>
      <c r="D472" s="0" t="str">
        <f aca="false">TEXT(B472,"ddd")</f>
        <v>Mon</v>
      </c>
      <c r="E472" s="3" t="s">
        <v>24</v>
      </c>
      <c r="F472" s="3" t="s">
        <v>20</v>
      </c>
      <c r="G472" s="3" t="s">
        <v>15</v>
      </c>
      <c r="H472" s="3" t="s">
        <v>36</v>
      </c>
      <c r="I472" s="4" t="n">
        <v>418</v>
      </c>
      <c r="J472" s="4" t="n">
        <v>49</v>
      </c>
      <c r="K472" s="4" t="n">
        <v>30</v>
      </c>
      <c r="L472" s="4" t="n">
        <f aca="false">IF(O472="Delivered",I472-J472+K472,0)</f>
        <v>399</v>
      </c>
      <c r="M472" s="0" t="n">
        <v>37</v>
      </c>
      <c r="N472" s="0" t="n">
        <v>4.1</v>
      </c>
      <c r="O472" s="3" t="s">
        <v>17</v>
      </c>
    </row>
    <row r="473" customFormat="false" ht="15" hidden="false" customHeight="false" outlineLevel="0" collapsed="false">
      <c r="A473" s="0" t="s">
        <v>602</v>
      </c>
      <c r="B473" s="2" t="n">
        <v>45789</v>
      </c>
      <c r="C473" s="0" t="str">
        <f aca="false">TEXT(B473,"mmm")</f>
        <v>May</v>
      </c>
      <c r="D473" s="0" t="str">
        <f aca="false">TEXT(B473,"ddd")</f>
        <v>Mon</v>
      </c>
      <c r="E473" s="3" t="s">
        <v>40</v>
      </c>
      <c r="F473" s="3" t="s">
        <v>20</v>
      </c>
      <c r="G473" s="3" t="s">
        <v>21</v>
      </c>
      <c r="H473" s="3" t="s">
        <v>22</v>
      </c>
      <c r="I473" s="4" t="n">
        <v>387</v>
      </c>
      <c r="J473" s="4" t="n">
        <v>0</v>
      </c>
      <c r="K473" s="4" t="n">
        <v>45</v>
      </c>
      <c r="L473" s="4" t="n">
        <f aca="false">IF(O473="Delivered",I473-J473+K473,0)</f>
        <v>432</v>
      </c>
      <c r="M473" s="0" t="n">
        <v>40</v>
      </c>
      <c r="N473" s="0" t="n">
        <v>3.9</v>
      </c>
      <c r="O473" s="3" t="s">
        <v>17</v>
      </c>
    </row>
    <row r="474" customFormat="false" ht="15" hidden="false" customHeight="false" outlineLevel="0" collapsed="false">
      <c r="A474" s="0" t="s">
        <v>921</v>
      </c>
      <c r="B474" s="2" t="n">
        <v>45789</v>
      </c>
      <c r="C474" s="0" t="str">
        <f aca="false">TEXT(B474,"mmm")</f>
        <v>May</v>
      </c>
      <c r="D474" s="0" t="str">
        <f aca="false">TEXT(B474,"ddd")</f>
        <v>Mon</v>
      </c>
      <c r="E474" s="3" t="s">
        <v>30</v>
      </c>
      <c r="F474" s="3" t="s">
        <v>31</v>
      </c>
      <c r="G474" s="3" t="s">
        <v>21</v>
      </c>
      <c r="H474" s="3" t="s">
        <v>36</v>
      </c>
      <c r="I474" s="4" t="n">
        <v>486</v>
      </c>
      <c r="J474" s="4" t="n">
        <v>0</v>
      </c>
      <c r="K474" s="4" t="n">
        <v>45</v>
      </c>
      <c r="L474" s="4" t="n">
        <f aca="false">IF(O474="Delivered",I474-J474+K474,0)</f>
        <v>531</v>
      </c>
      <c r="M474" s="0" t="n">
        <v>27</v>
      </c>
      <c r="N474" s="0" t="n">
        <v>4.6</v>
      </c>
      <c r="O474" s="3" t="s">
        <v>17</v>
      </c>
    </row>
    <row r="475" customFormat="false" ht="15" hidden="false" customHeight="false" outlineLevel="0" collapsed="false">
      <c r="A475" s="0" t="s">
        <v>927</v>
      </c>
      <c r="B475" s="2" t="n">
        <v>45789</v>
      </c>
      <c r="C475" s="0" t="str">
        <f aca="false">TEXT(B475,"mmm")</f>
        <v>May</v>
      </c>
      <c r="D475" s="0" t="str">
        <f aca="false">TEXT(B475,"ddd")</f>
        <v>Mon</v>
      </c>
      <c r="E475" s="3" t="s">
        <v>27</v>
      </c>
      <c r="F475" s="3" t="s">
        <v>31</v>
      </c>
      <c r="G475" s="3" t="s">
        <v>21</v>
      </c>
      <c r="H475" s="3" t="s">
        <v>36</v>
      </c>
      <c r="I475" s="4" t="n">
        <v>304</v>
      </c>
      <c r="J475" s="4" t="n">
        <v>72</v>
      </c>
      <c r="K475" s="4" t="n">
        <v>30</v>
      </c>
      <c r="L475" s="4" t="n">
        <f aca="false">IF(O475="Delivered",I475-J475+K475,0)</f>
        <v>262</v>
      </c>
      <c r="M475" s="0" t="n">
        <v>45</v>
      </c>
      <c r="N475" s="0" t="n">
        <v>4.2</v>
      </c>
      <c r="O475" s="3" t="s">
        <v>17</v>
      </c>
    </row>
    <row r="476" customFormat="false" ht="15" hidden="false" customHeight="false" outlineLevel="0" collapsed="false">
      <c r="A476" s="0" t="s">
        <v>936</v>
      </c>
      <c r="B476" s="2" t="n">
        <v>45789</v>
      </c>
      <c r="C476" s="0" t="str">
        <f aca="false">TEXT(B476,"mmm")</f>
        <v>May</v>
      </c>
      <c r="D476" s="0" t="str">
        <f aca="false">TEXT(B476,"ddd")</f>
        <v>Mon</v>
      </c>
      <c r="E476" s="3" t="s">
        <v>13</v>
      </c>
      <c r="F476" s="3" t="s">
        <v>25</v>
      </c>
      <c r="G476" s="3" t="s">
        <v>21</v>
      </c>
      <c r="H476" s="3" t="s">
        <v>34</v>
      </c>
      <c r="I476" s="4" t="n">
        <v>366</v>
      </c>
      <c r="J476" s="4" t="n">
        <v>44</v>
      </c>
      <c r="K476" s="4" t="n">
        <v>40</v>
      </c>
      <c r="L476" s="4" t="n">
        <f aca="false">IF(O476="Delivered",I476-J476+K476,0)</f>
        <v>362</v>
      </c>
      <c r="M476" s="0" t="n">
        <v>42</v>
      </c>
      <c r="N476" s="0" t="n">
        <v>4.3</v>
      </c>
      <c r="O476" s="3" t="s">
        <v>17</v>
      </c>
    </row>
    <row r="477" customFormat="false" ht="15" hidden="false" customHeight="false" outlineLevel="0" collapsed="false">
      <c r="A477" s="0" t="s">
        <v>1293</v>
      </c>
      <c r="B477" s="2" t="n">
        <v>45789</v>
      </c>
      <c r="C477" s="0" t="str">
        <f aca="false">TEXT(B477,"mmm")</f>
        <v>May</v>
      </c>
      <c r="D477" s="0" t="str">
        <f aca="false">TEXT(B477,"ddd")</f>
        <v>Mon</v>
      </c>
      <c r="E477" s="3" t="s">
        <v>27</v>
      </c>
      <c r="F477" s="3" t="s">
        <v>31</v>
      </c>
      <c r="G477" s="3" t="s">
        <v>21</v>
      </c>
      <c r="H477" s="3" t="s">
        <v>36</v>
      </c>
      <c r="I477" s="4" t="n">
        <v>445</v>
      </c>
      <c r="J477" s="4" t="n">
        <v>70</v>
      </c>
      <c r="K477" s="4" t="n">
        <v>30</v>
      </c>
      <c r="L477" s="4" t="n">
        <f aca="false">IF(O477="Delivered",I477-J477+K477,0)</f>
        <v>405</v>
      </c>
      <c r="M477" s="0" t="n">
        <v>53</v>
      </c>
      <c r="N477" s="0" t="n">
        <v>3.4</v>
      </c>
      <c r="O477" s="3" t="s">
        <v>17</v>
      </c>
    </row>
    <row r="478" customFormat="false" ht="15" hidden="false" customHeight="false" outlineLevel="0" collapsed="false">
      <c r="A478" s="0" t="s">
        <v>1019</v>
      </c>
      <c r="B478" s="2" t="n">
        <v>45790</v>
      </c>
      <c r="C478" s="0" t="str">
        <f aca="false">TEXT(B478,"mmm")</f>
        <v>May</v>
      </c>
      <c r="D478" s="0" t="str">
        <f aca="false">TEXT(B478,"ddd")</f>
        <v>Tue</v>
      </c>
      <c r="E478" s="3" t="s">
        <v>27</v>
      </c>
      <c r="F478" s="3" t="s">
        <v>78</v>
      </c>
      <c r="G478" s="3" t="s">
        <v>21</v>
      </c>
      <c r="H478" s="3" t="s">
        <v>22</v>
      </c>
      <c r="I478" s="4" t="n">
        <v>377</v>
      </c>
      <c r="J478" s="4" t="n">
        <v>75</v>
      </c>
      <c r="K478" s="4" t="n">
        <v>20</v>
      </c>
      <c r="L478" s="4" t="n">
        <f aca="false">IF(O478="Delivered",I478-J478+K478,0)</f>
        <v>322</v>
      </c>
      <c r="M478" s="0" t="n">
        <v>47</v>
      </c>
      <c r="N478" s="0" t="n">
        <v>4.5</v>
      </c>
      <c r="O478" s="3" t="s">
        <v>17</v>
      </c>
    </row>
    <row r="479" customFormat="false" ht="15" hidden="false" customHeight="false" outlineLevel="0" collapsed="false">
      <c r="A479" s="0" t="s">
        <v>1159</v>
      </c>
      <c r="B479" s="2" t="n">
        <v>45790</v>
      </c>
      <c r="C479" s="0" t="str">
        <f aca="false">TEXT(B479,"mmm")</f>
        <v>May</v>
      </c>
      <c r="D479" s="0" t="str">
        <f aca="false">TEXT(B479,"ddd")</f>
        <v>Tue</v>
      </c>
      <c r="E479" s="3" t="s">
        <v>51</v>
      </c>
      <c r="F479" s="3" t="s">
        <v>31</v>
      </c>
      <c r="G479" s="3" t="s">
        <v>21</v>
      </c>
      <c r="H479" s="3" t="s">
        <v>22</v>
      </c>
      <c r="I479" s="4" t="n">
        <v>550</v>
      </c>
      <c r="J479" s="4" t="n">
        <v>0</v>
      </c>
      <c r="K479" s="4" t="n">
        <v>0</v>
      </c>
      <c r="L479" s="4" t="n">
        <f aca="false">IF(O479="Delivered",I479-J479+K479,0)</f>
        <v>550</v>
      </c>
      <c r="M479" s="0" t="n">
        <v>31</v>
      </c>
      <c r="N479" s="0" t="n">
        <v>4.6</v>
      </c>
      <c r="O479" s="3" t="s">
        <v>17</v>
      </c>
    </row>
    <row r="480" customFormat="false" ht="15" hidden="false" customHeight="false" outlineLevel="0" collapsed="false">
      <c r="A480" s="0" t="s">
        <v>1219</v>
      </c>
      <c r="B480" s="2" t="n">
        <v>45790</v>
      </c>
      <c r="C480" s="0" t="str">
        <f aca="false">TEXT(B480,"mmm")</f>
        <v>May</v>
      </c>
      <c r="D480" s="0" t="str">
        <f aca="false">TEXT(B480,"ddd")</f>
        <v>Tue</v>
      </c>
      <c r="E480" s="3" t="s">
        <v>27</v>
      </c>
      <c r="F480" s="3" t="s">
        <v>31</v>
      </c>
      <c r="G480" s="3" t="s">
        <v>21</v>
      </c>
      <c r="H480" s="3" t="s">
        <v>22</v>
      </c>
      <c r="I480" s="4" t="n">
        <v>439</v>
      </c>
      <c r="J480" s="4" t="n">
        <v>88</v>
      </c>
      <c r="K480" s="4" t="n">
        <v>30</v>
      </c>
      <c r="L480" s="4" t="n">
        <f aca="false">IF(O480="Delivered",I480-J480+K480,0)</f>
        <v>381</v>
      </c>
      <c r="M480" s="0" t="n">
        <v>41</v>
      </c>
      <c r="N480" s="0" t="n">
        <v>4.1</v>
      </c>
      <c r="O480" s="3" t="s">
        <v>17</v>
      </c>
    </row>
    <row r="481" customFormat="false" ht="15" hidden="false" customHeight="false" outlineLevel="0" collapsed="false">
      <c r="A481" s="0" t="s">
        <v>1409</v>
      </c>
      <c r="B481" s="2" t="n">
        <v>45790</v>
      </c>
      <c r="C481" s="0" t="str">
        <f aca="false">TEXT(B481,"mmm")</f>
        <v>May</v>
      </c>
      <c r="D481" s="0" t="str">
        <f aca="false">TEXT(B481,"ddd")</f>
        <v>Tue</v>
      </c>
      <c r="E481" s="3" t="s">
        <v>45</v>
      </c>
      <c r="F481" s="3" t="s">
        <v>14</v>
      </c>
      <c r="G481" s="3" t="s">
        <v>21</v>
      </c>
      <c r="H481" s="3" t="s">
        <v>22</v>
      </c>
      <c r="I481" s="4" t="n">
        <v>333</v>
      </c>
      <c r="J481" s="4" t="n">
        <v>0</v>
      </c>
      <c r="K481" s="4" t="n">
        <v>20</v>
      </c>
      <c r="L481" s="4" t="n">
        <f aca="false">IF(O481="Delivered",I481-J481+K481,0)</f>
        <v>353</v>
      </c>
      <c r="M481" s="0" t="n">
        <v>35</v>
      </c>
      <c r="N481" s="0" t="n">
        <v>3</v>
      </c>
      <c r="O481" s="3" t="s">
        <v>17</v>
      </c>
    </row>
    <row r="482" customFormat="false" ht="15" hidden="false" customHeight="false" outlineLevel="0" collapsed="false">
      <c r="A482" s="0" t="s">
        <v>1462</v>
      </c>
      <c r="B482" s="2" t="n">
        <v>45790</v>
      </c>
      <c r="C482" s="0" t="str">
        <f aca="false">TEXT(B482,"mmm")</f>
        <v>May</v>
      </c>
      <c r="D482" s="0" t="str">
        <f aca="false">TEXT(B482,"ddd")</f>
        <v>Tue</v>
      </c>
      <c r="E482" s="3" t="s">
        <v>19</v>
      </c>
      <c r="F482" s="3" t="s">
        <v>20</v>
      </c>
      <c r="G482" s="3" t="s">
        <v>15</v>
      </c>
      <c r="H482" s="3" t="s">
        <v>22</v>
      </c>
      <c r="I482" s="4" t="n">
        <v>584</v>
      </c>
      <c r="J482" s="4" t="n">
        <v>106</v>
      </c>
      <c r="K482" s="4" t="n">
        <v>0</v>
      </c>
      <c r="L482" s="4" t="n">
        <f aca="false">IF(O482="Delivered",I482-J482+K482,0)</f>
        <v>478</v>
      </c>
      <c r="M482" s="0" t="n">
        <v>30</v>
      </c>
      <c r="N482" s="0" t="n">
        <v>4.2</v>
      </c>
      <c r="O482" s="3" t="s">
        <v>17</v>
      </c>
    </row>
    <row r="483" customFormat="false" ht="15" hidden="false" customHeight="false" outlineLevel="0" collapsed="false">
      <c r="A483" s="0" t="s">
        <v>1646</v>
      </c>
      <c r="B483" s="2" t="n">
        <v>45790</v>
      </c>
      <c r="C483" s="0" t="str">
        <f aca="false">TEXT(B483,"mmm")</f>
        <v>May</v>
      </c>
      <c r="D483" s="0" t="str">
        <f aca="false">TEXT(B483,"ddd")</f>
        <v>Tue</v>
      </c>
      <c r="E483" s="3" t="s">
        <v>27</v>
      </c>
      <c r="F483" s="3" t="s">
        <v>78</v>
      </c>
      <c r="G483" s="3" t="s">
        <v>15</v>
      </c>
      <c r="H483" s="3" t="s">
        <v>54</v>
      </c>
      <c r="I483" s="4" t="n">
        <v>316</v>
      </c>
      <c r="J483" s="4" t="n">
        <v>56</v>
      </c>
      <c r="K483" s="4" t="n">
        <v>20</v>
      </c>
      <c r="L483" s="4" t="n">
        <f aca="false">IF(O483="Delivered",I483-J483+K483,0)</f>
        <v>280</v>
      </c>
      <c r="M483" s="0" t="n">
        <v>54</v>
      </c>
      <c r="O483" s="3" t="s">
        <v>17</v>
      </c>
    </row>
    <row r="484" customFormat="false" ht="15" hidden="false" customHeight="false" outlineLevel="0" collapsed="false">
      <c r="A484" s="0" t="s">
        <v>830</v>
      </c>
      <c r="B484" s="2" t="n">
        <v>45791</v>
      </c>
      <c r="C484" s="0" t="str">
        <f aca="false">TEXT(B484,"mmm")</f>
        <v>May</v>
      </c>
      <c r="D484" s="0" t="str">
        <f aca="false">TEXT(B484,"ddd")</f>
        <v>Wed</v>
      </c>
      <c r="E484" s="3" t="s">
        <v>51</v>
      </c>
      <c r="F484" s="3" t="s">
        <v>25</v>
      </c>
      <c r="G484" s="3" t="s">
        <v>15</v>
      </c>
      <c r="H484" s="3" t="s">
        <v>1690</v>
      </c>
      <c r="I484" s="4" t="n">
        <v>574</v>
      </c>
      <c r="J484" s="4" t="n">
        <v>0</v>
      </c>
      <c r="K484" s="4" t="n">
        <v>0</v>
      </c>
      <c r="L484" s="4" t="n">
        <f aca="false">IF(O484="Delivered",I484-J484+K484,0)</f>
        <v>574</v>
      </c>
      <c r="M484" s="0" t="n">
        <v>39</v>
      </c>
      <c r="N484" s="0" t="n">
        <v>3.7</v>
      </c>
      <c r="O484" s="3" t="s">
        <v>17</v>
      </c>
    </row>
    <row r="485" customFormat="false" ht="15" hidden="false" customHeight="false" outlineLevel="0" collapsed="false">
      <c r="A485" s="0" t="s">
        <v>883</v>
      </c>
      <c r="B485" s="2" t="n">
        <v>45791</v>
      </c>
      <c r="C485" s="0" t="str">
        <f aca="false">TEXT(B485,"mmm")</f>
        <v>May</v>
      </c>
      <c r="D485" s="0" t="str">
        <f aca="false">TEXT(B485,"ddd")</f>
        <v>Wed</v>
      </c>
      <c r="E485" s="3" t="s">
        <v>30</v>
      </c>
      <c r="F485" s="3" t="s">
        <v>56</v>
      </c>
      <c r="G485" s="3" t="s">
        <v>15</v>
      </c>
      <c r="H485" s="3" t="s">
        <v>22</v>
      </c>
      <c r="I485" s="4" t="n">
        <v>414</v>
      </c>
      <c r="J485" s="4" t="n">
        <v>63</v>
      </c>
      <c r="K485" s="4" t="n">
        <v>20</v>
      </c>
      <c r="L485" s="4" t="n">
        <f aca="false">IF(O485="Delivered",I485-J485+K485,0)</f>
        <v>371</v>
      </c>
      <c r="M485" s="0" t="n">
        <v>36</v>
      </c>
      <c r="N485" s="0" t="n">
        <v>4.2</v>
      </c>
      <c r="O485" s="3" t="s">
        <v>17</v>
      </c>
    </row>
    <row r="486" customFormat="false" ht="15" hidden="false" customHeight="false" outlineLevel="0" collapsed="false">
      <c r="A486" s="0" t="s">
        <v>1124</v>
      </c>
      <c r="B486" s="2" t="n">
        <v>45791</v>
      </c>
      <c r="C486" s="0" t="str">
        <f aca="false">TEXT(B486,"mmm")</f>
        <v>May</v>
      </c>
      <c r="D486" s="0" t="str">
        <f aca="false">TEXT(B486,"ddd")</f>
        <v>Wed</v>
      </c>
      <c r="E486" s="3" t="s">
        <v>24</v>
      </c>
      <c r="F486" s="3" t="s">
        <v>31</v>
      </c>
      <c r="G486" s="3" t="s">
        <v>21</v>
      </c>
      <c r="H486" s="3" t="s">
        <v>16</v>
      </c>
      <c r="I486" s="4" t="n">
        <v>412</v>
      </c>
      <c r="J486" s="4" t="n">
        <v>0</v>
      </c>
      <c r="K486" s="4" t="n">
        <v>30</v>
      </c>
      <c r="L486" s="4" t="n">
        <f aca="false">IF(O486="Delivered",I486-J486+K486,0)</f>
        <v>442</v>
      </c>
      <c r="M486" s="0" t="n">
        <v>34</v>
      </c>
      <c r="N486" s="0" t="n">
        <v>4</v>
      </c>
      <c r="O486" s="3" t="s">
        <v>17</v>
      </c>
    </row>
    <row r="487" customFormat="false" ht="15" hidden="false" customHeight="false" outlineLevel="0" collapsed="false">
      <c r="A487" s="0" t="s">
        <v>1230</v>
      </c>
      <c r="B487" s="2" t="n">
        <v>45791</v>
      </c>
      <c r="C487" s="0" t="str">
        <f aca="false">TEXT(B487,"mmm")</f>
        <v>May</v>
      </c>
      <c r="D487" s="0" t="str">
        <f aca="false">TEXT(B487,"ddd")</f>
        <v>Wed</v>
      </c>
      <c r="E487" s="3" t="s">
        <v>27</v>
      </c>
      <c r="F487" s="3" t="s">
        <v>56</v>
      </c>
      <c r="G487" s="3" t="s">
        <v>15</v>
      </c>
      <c r="H487" s="3" t="s">
        <v>16</v>
      </c>
      <c r="I487" s="4" t="n">
        <v>357</v>
      </c>
      <c r="J487" s="4" t="n">
        <v>0</v>
      </c>
      <c r="K487" s="4" t="n">
        <v>45</v>
      </c>
      <c r="L487" s="4" t="n">
        <f aca="false">IF(O487="Delivered",I487-J487+K487,0)</f>
        <v>402</v>
      </c>
      <c r="M487" s="0" t="n">
        <v>32</v>
      </c>
      <c r="N487" s="0" t="n">
        <v>5</v>
      </c>
      <c r="O487" s="3" t="s">
        <v>17</v>
      </c>
    </row>
    <row r="488" customFormat="false" ht="15" hidden="false" customHeight="false" outlineLevel="0" collapsed="false">
      <c r="A488" s="0" t="s">
        <v>1304</v>
      </c>
      <c r="B488" s="2" t="n">
        <v>45791</v>
      </c>
      <c r="C488" s="0" t="str">
        <f aca="false">TEXT(B488,"mmm")</f>
        <v>May</v>
      </c>
      <c r="D488" s="0" t="str">
        <f aca="false">TEXT(B488,"ddd")</f>
        <v>Wed</v>
      </c>
      <c r="E488" s="3" t="s">
        <v>45</v>
      </c>
      <c r="F488" s="3" t="s">
        <v>25</v>
      </c>
      <c r="G488" s="3" t="s">
        <v>15</v>
      </c>
      <c r="H488" s="3" t="s">
        <v>36</v>
      </c>
      <c r="I488" s="4" t="n">
        <v>609</v>
      </c>
      <c r="J488" s="4" t="n">
        <v>0</v>
      </c>
      <c r="K488" s="4" t="n">
        <v>0</v>
      </c>
      <c r="L488" s="4" t="n">
        <f aca="false">IF(O488="Delivered",I488-J488+K488,0)</f>
        <v>609</v>
      </c>
      <c r="M488" s="0" t="n">
        <v>36</v>
      </c>
      <c r="N488" s="0" t="n">
        <v>3.8</v>
      </c>
      <c r="O488" s="3" t="s">
        <v>17</v>
      </c>
    </row>
    <row r="489" customFormat="false" ht="15" hidden="false" customHeight="false" outlineLevel="0" collapsed="false">
      <c r="A489" s="0" t="s">
        <v>1444</v>
      </c>
      <c r="B489" s="2" t="n">
        <v>45791</v>
      </c>
      <c r="C489" s="0" t="str">
        <f aca="false">TEXT(B489,"mmm")</f>
        <v>May</v>
      </c>
      <c r="D489" s="0" t="str">
        <f aca="false">TEXT(B489,"ddd")</f>
        <v>Wed</v>
      </c>
      <c r="E489" s="3" t="s">
        <v>24</v>
      </c>
      <c r="F489" s="3" t="s">
        <v>31</v>
      </c>
      <c r="G489" s="3" t="s">
        <v>15</v>
      </c>
      <c r="H489" s="3" t="s">
        <v>36</v>
      </c>
      <c r="I489" s="4" t="n">
        <v>597</v>
      </c>
      <c r="J489" s="4" t="n">
        <v>0</v>
      </c>
      <c r="K489" s="4" t="n">
        <v>0</v>
      </c>
      <c r="L489" s="4" t="n">
        <f aca="false">IF(O489="Delivered",I489-J489+K489,0)</f>
        <v>597</v>
      </c>
      <c r="M489" s="0" t="n">
        <v>49</v>
      </c>
      <c r="N489" s="0" t="n">
        <v>4</v>
      </c>
      <c r="O489" s="3" t="s">
        <v>17</v>
      </c>
    </row>
    <row r="490" customFormat="false" ht="15" hidden="false" customHeight="false" outlineLevel="0" collapsed="false">
      <c r="A490" s="0" t="s">
        <v>821</v>
      </c>
      <c r="B490" s="2" t="n">
        <v>45792</v>
      </c>
      <c r="C490" s="0" t="str">
        <f aca="false">TEXT(B490,"mmm")</f>
        <v>May</v>
      </c>
      <c r="D490" s="0" t="str">
        <f aca="false">TEXT(B490,"ddd")</f>
        <v>Thu</v>
      </c>
      <c r="E490" s="3" t="s">
        <v>40</v>
      </c>
      <c r="F490" s="3" t="s">
        <v>20</v>
      </c>
      <c r="G490" s="3" t="s">
        <v>21</v>
      </c>
      <c r="H490" s="3" t="s">
        <v>36</v>
      </c>
      <c r="I490" s="4" t="n">
        <v>435</v>
      </c>
      <c r="J490" s="4" t="n">
        <v>0</v>
      </c>
      <c r="K490" s="4" t="n">
        <v>20</v>
      </c>
      <c r="L490" s="4" t="n">
        <f aca="false">IF(O490="Delivered",I490-J490+K490,0)</f>
        <v>455</v>
      </c>
      <c r="M490" s="0" t="n">
        <v>42</v>
      </c>
      <c r="N490" s="0" t="n">
        <v>3.4</v>
      </c>
      <c r="O490" s="3" t="s">
        <v>17</v>
      </c>
    </row>
    <row r="491" customFormat="false" ht="15" hidden="false" customHeight="false" outlineLevel="0" collapsed="false">
      <c r="A491" s="0" t="s">
        <v>1431</v>
      </c>
      <c r="B491" s="2" t="n">
        <v>45792</v>
      </c>
      <c r="C491" s="0" t="str">
        <f aca="false">TEXT(B491,"mmm")</f>
        <v>May</v>
      </c>
      <c r="D491" s="0" t="str">
        <f aca="false">TEXT(B491,"ddd")</f>
        <v>Thu</v>
      </c>
      <c r="E491" s="3" t="s">
        <v>40</v>
      </c>
      <c r="F491" s="3" t="s">
        <v>25</v>
      </c>
      <c r="G491" s="3" t="s">
        <v>21</v>
      </c>
      <c r="H491" s="3" t="s">
        <v>16</v>
      </c>
      <c r="I491" s="4" t="n">
        <v>326</v>
      </c>
      <c r="J491" s="4" t="n">
        <v>0</v>
      </c>
      <c r="K491" s="4" t="n">
        <v>30</v>
      </c>
      <c r="L491" s="4" t="n">
        <f aca="false">IF(O491="Delivered",I491-J491+K491,0)</f>
        <v>356</v>
      </c>
      <c r="M491" s="0" t="n">
        <v>23</v>
      </c>
      <c r="O491" s="3" t="s">
        <v>17</v>
      </c>
    </row>
    <row r="492" customFormat="false" ht="15" hidden="false" customHeight="false" outlineLevel="0" collapsed="false">
      <c r="A492" s="0" t="s">
        <v>396</v>
      </c>
      <c r="B492" s="2" t="n">
        <v>45793</v>
      </c>
      <c r="C492" s="0" t="str">
        <f aca="false">TEXT(B492,"mmm")</f>
        <v>May</v>
      </c>
      <c r="D492" s="0" t="str">
        <f aca="false">TEXT(B492,"ddd")</f>
        <v>Fri</v>
      </c>
      <c r="E492" s="3" t="s">
        <v>27</v>
      </c>
      <c r="F492" s="3" t="s">
        <v>31</v>
      </c>
      <c r="G492" s="3" t="s">
        <v>15</v>
      </c>
      <c r="H492" s="3" t="s">
        <v>16</v>
      </c>
      <c r="I492" s="4" t="n">
        <v>338</v>
      </c>
      <c r="J492" s="4" t="n">
        <v>0</v>
      </c>
      <c r="K492" s="4" t="n">
        <v>40</v>
      </c>
      <c r="L492" s="4" t="n">
        <f aca="false">IF(O492="Delivered",I492-J492+K492,0)</f>
        <v>0</v>
      </c>
      <c r="O492" s="3" t="s">
        <v>68</v>
      </c>
    </row>
    <row r="493" customFormat="false" ht="15" hidden="false" customHeight="false" outlineLevel="0" collapsed="false">
      <c r="A493" s="0" t="s">
        <v>404</v>
      </c>
      <c r="B493" s="2" t="n">
        <v>45793</v>
      </c>
      <c r="C493" s="0" t="str">
        <f aca="false">TEXT(B493,"mmm")</f>
        <v>May</v>
      </c>
      <c r="D493" s="0" t="str">
        <f aca="false">TEXT(B493,"ddd")</f>
        <v>Fri</v>
      </c>
      <c r="E493" s="3" t="s">
        <v>27</v>
      </c>
      <c r="F493" s="3" t="s">
        <v>28</v>
      </c>
      <c r="G493" s="3" t="s">
        <v>21</v>
      </c>
      <c r="H493" s="3" t="s">
        <v>36</v>
      </c>
      <c r="I493" s="4" t="n">
        <v>595</v>
      </c>
      <c r="J493" s="4" t="n">
        <v>0</v>
      </c>
      <c r="K493" s="4" t="n">
        <v>0</v>
      </c>
      <c r="L493" s="4" t="n">
        <f aca="false">IF(O493="Delivered",I493-J493+K493,0)</f>
        <v>595</v>
      </c>
      <c r="M493" s="0" t="n">
        <v>43</v>
      </c>
      <c r="N493" s="0" t="n">
        <v>4.8</v>
      </c>
      <c r="O493" s="3" t="s">
        <v>17</v>
      </c>
    </row>
    <row r="494" customFormat="false" ht="15" hidden="false" customHeight="false" outlineLevel="0" collapsed="false">
      <c r="A494" s="0" t="s">
        <v>1198</v>
      </c>
      <c r="B494" s="2" t="n">
        <v>45793</v>
      </c>
      <c r="C494" s="0" t="str">
        <f aca="false">TEXT(B494,"mmm")</f>
        <v>May</v>
      </c>
      <c r="D494" s="0" t="str">
        <f aca="false">TEXT(B494,"ddd")</f>
        <v>Fri</v>
      </c>
      <c r="E494" s="3" t="s">
        <v>24</v>
      </c>
      <c r="F494" s="3" t="s">
        <v>25</v>
      </c>
      <c r="G494" s="3" t="s">
        <v>15</v>
      </c>
      <c r="H494" s="3" t="s">
        <v>54</v>
      </c>
      <c r="I494" s="4" t="n">
        <v>499</v>
      </c>
      <c r="J494" s="4" t="n">
        <v>107</v>
      </c>
      <c r="K494" s="4" t="n">
        <v>45</v>
      </c>
      <c r="L494" s="4" t="n">
        <f aca="false">IF(O494="Delivered",I494-J494+K494,0)</f>
        <v>437</v>
      </c>
      <c r="M494" s="0" t="n">
        <v>53</v>
      </c>
      <c r="N494" s="0" t="n">
        <v>2.8</v>
      </c>
      <c r="O494" s="3" t="s">
        <v>17</v>
      </c>
    </row>
    <row r="495" customFormat="false" ht="15" hidden="false" customHeight="false" outlineLevel="0" collapsed="false">
      <c r="A495" s="0" t="s">
        <v>183</v>
      </c>
      <c r="B495" s="2" t="n">
        <v>45794</v>
      </c>
      <c r="C495" s="0" t="str">
        <f aca="false">TEXT(B495,"mmm")</f>
        <v>May</v>
      </c>
      <c r="D495" s="0" t="str">
        <f aca="false">TEXT(B495,"ddd")</f>
        <v>Sat</v>
      </c>
      <c r="E495" s="3" t="s">
        <v>24</v>
      </c>
      <c r="F495" s="3" t="s">
        <v>20</v>
      </c>
      <c r="G495" s="3" t="s">
        <v>21</v>
      </c>
      <c r="H495" s="3" t="s">
        <v>22</v>
      </c>
      <c r="I495" s="4" t="n">
        <v>508</v>
      </c>
      <c r="J495" s="4" t="n">
        <v>0</v>
      </c>
      <c r="K495" s="4" t="n">
        <v>0</v>
      </c>
      <c r="L495" s="4" t="n">
        <f aca="false">IF(O495="Delivered",I495-J495+K495,0)</f>
        <v>508</v>
      </c>
      <c r="M495" s="0" t="n">
        <v>41</v>
      </c>
      <c r="N495" s="0" t="n">
        <v>3.6</v>
      </c>
      <c r="O495" s="3" t="s">
        <v>17</v>
      </c>
    </row>
    <row r="496" customFormat="false" ht="15" hidden="false" customHeight="false" outlineLevel="0" collapsed="false">
      <c r="A496" s="0" t="s">
        <v>888</v>
      </c>
      <c r="B496" s="2" t="n">
        <v>45794</v>
      </c>
      <c r="C496" s="0" t="str">
        <f aca="false">TEXT(B496,"mmm")</f>
        <v>May</v>
      </c>
      <c r="D496" s="0" t="str">
        <f aca="false">TEXT(B496,"ddd")</f>
        <v>Sat</v>
      </c>
      <c r="E496" s="3" t="s">
        <v>45</v>
      </c>
      <c r="F496" s="3" t="s">
        <v>25</v>
      </c>
      <c r="G496" s="3" t="s">
        <v>21</v>
      </c>
      <c r="H496" s="3" t="s">
        <v>36</v>
      </c>
      <c r="I496" s="4" t="n">
        <v>297</v>
      </c>
      <c r="J496" s="4" t="n">
        <v>0</v>
      </c>
      <c r="K496" s="4" t="n">
        <v>20</v>
      </c>
      <c r="L496" s="4" t="n">
        <f aca="false">IF(O496="Delivered",I496-J496+K496,0)</f>
        <v>317</v>
      </c>
      <c r="M496" s="0" t="n">
        <v>36</v>
      </c>
      <c r="N496" s="0" t="n">
        <v>5</v>
      </c>
      <c r="O496" s="3" t="s">
        <v>17</v>
      </c>
    </row>
    <row r="497" customFormat="false" ht="15" hidden="false" customHeight="false" outlineLevel="0" collapsed="false">
      <c r="A497" s="0" t="s">
        <v>1456</v>
      </c>
      <c r="B497" s="2" t="n">
        <v>45794</v>
      </c>
      <c r="C497" s="0" t="str">
        <f aca="false">TEXT(B497,"mmm")</f>
        <v>May</v>
      </c>
      <c r="D497" s="0" t="str">
        <f aca="false">TEXT(B497,"ddd")</f>
        <v>Sat</v>
      </c>
      <c r="E497" s="3" t="s">
        <v>27</v>
      </c>
      <c r="F497" s="3" t="s">
        <v>25</v>
      </c>
      <c r="G497" s="3" t="s">
        <v>21</v>
      </c>
      <c r="H497" s="3" t="s">
        <v>22</v>
      </c>
      <c r="I497" s="4" t="n">
        <v>365</v>
      </c>
      <c r="J497" s="4" t="n">
        <v>0</v>
      </c>
      <c r="K497" s="4" t="n">
        <v>20</v>
      </c>
      <c r="L497" s="4" t="n">
        <f aca="false">IF(O497="Delivered",I497-J497+K497,0)</f>
        <v>385</v>
      </c>
      <c r="M497" s="0" t="n">
        <v>54</v>
      </c>
      <c r="O497" s="3" t="s">
        <v>17</v>
      </c>
    </row>
    <row r="498" customFormat="false" ht="15" hidden="false" customHeight="false" outlineLevel="0" collapsed="false">
      <c r="A498" s="0" t="s">
        <v>1495</v>
      </c>
      <c r="B498" s="2" t="n">
        <v>45794</v>
      </c>
      <c r="C498" s="0" t="str">
        <f aca="false">TEXT(B498,"mmm")</f>
        <v>May</v>
      </c>
      <c r="D498" s="0" t="str">
        <f aca="false">TEXT(B498,"ddd")</f>
        <v>Sat</v>
      </c>
      <c r="E498" s="3" t="s">
        <v>19</v>
      </c>
      <c r="F498" s="3" t="s">
        <v>25</v>
      </c>
      <c r="G498" s="3" t="s">
        <v>21</v>
      </c>
      <c r="H498" s="3" t="s">
        <v>36</v>
      </c>
      <c r="I498" s="4" t="n">
        <v>449</v>
      </c>
      <c r="J498" s="4" t="n">
        <v>0</v>
      </c>
      <c r="K498" s="4" t="n">
        <v>20</v>
      </c>
      <c r="L498" s="4" t="n">
        <f aca="false">IF(O498="Delivered",I498-J498+K498,0)</f>
        <v>469</v>
      </c>
      <c r="M498" s="0" t="n">
        <v>21</v>
      </c>
      <c r="N498" s="0" t="n">
        <v>3.8</v>
      </c>
      <c r="O498" s="3" t="s">
        <v>17</v>
      </c>
    </row>
    <row r="499" customFormat="false" ht="15" hidden="false" customHeight="false" outlineLevel="0" collapsed="false">
      <c r="A499" s="0" t="s">
        <v>207</v>
      </c>
      <c r="B499" s="2" t="n">
        <v>45795</v>
      </c>
      <c r="C499" s="0" t="str">
        <f aca="false">TEXT(B499,"mmm")</f>
        <v>May</v>
      </c>
      <c r="D499" s="0" t="str">
        <f aca="false">TEXT(B499,"ddd")</f>
        <v>Sun</v>
      </c>
      <c r="E499" s="3" t="s">
        <v>24</v>
      </c>
      <c r="F499" s="3" t="s">
        <v>28</v>
      </c>
      <c r="G499" s="3" t="s">
        <v>21</v>
      </c>
      <c r="H499" s="3" t="s">
        <v>36</v>
      </c>
      <c r="I499" s="4" t="n">
        <v>410</v>
      </c>
      <c r="J499" s="4" t="n">
        <v>0</v>
      </c>
      <c r="K499" s="4" t="n">
        <v>40</v>
      </c>
      <c r="L499" s="4" t="n">
        <f aca="false">IF(O499="Delivered",I499-J499+K499,0)</f>
        <v>450</v>
      </c>
      <c r="M499" s="0" t="n">
        <v>41</v>
      </c>
      <c r="O499" s="3" t="s">
        <v>17</v>
      </c>
    </row>
    <row r="500" customFormat="false" ht="15" hidden="false" customHeight="false" outlineLevel="0" collapsed="false">
      <c r="A500" s="0" t="s">
        <v>457</v>
      </c>
      <c r="B500" s="2" t="n">
        <v>45795</v>
      </c>
      <c r="C500" s="0" t="str">
        <f aca="false">TEXT(B500,"mmm")</f>
        <v>May</v>
      </c>
      <c r="D500" s="0" t="str">
        <f aca="false">TEXT(B500,"ddd")</f>
        <v>Sun</v>
      </c>
      <c r="E500" s="3" t="s">
        <v>27</v>
      </c>
      <c r="F500" s="3" t="s">
        <v>31</v>
      </c>
      <c r="G500" s="3" t="s">
        <v>21</v>
      </c>
      <c r="H500" s="3" t="s">
        <v>16</v>
      </c>
      <c r="I500" s="4" t="n">
        <v>660</v>
      </c>
      <c r="J500" s="4" t="n">
        <v>0</v>
      </c>
      <c r="K500" s="4" t="n">
        <v>0</v>
      </c>
      <c r="L500" s="4" t="n">
        <f aca="false">IF(O500="Delivered",I500-J500+K500,0)</f>
        <v>660</v>
      </c>
      <c r="M500" s="0" t="n">
        <v>38</v>
      </c>
      <c r="N500" s="0" t="n">
        <v>4.2</v>
      </c>
      <c r="O500" s="3" t="s">
        <v>17</v>
      </c>
    </row>
    <row r="501" customFormat="false" ht="15" hidden="false" customHeight="false" outlineLevel="0" collapsed="false">
      <c r="A501" s="0" t="s">
        <v>623</v>
      </c>
      <c r="B501" s="2" t="n">
        <v>45795</v>
      </c>
      <c r="C501" s="0" t="str">
        <f aca="false">TEXT(B501,"mmm")</f>
        <v>May</v>
      </c>
      <c r="D501" s="0" t="str">
        <f aca="false">TEXT(B501,"ddd")</f>
        <v>Sun</v>
      </c>
      <c r="E501" s="3" t="s">
        <v>27</v>
      </c>
      <c r="F501" s="3" t="s">
        <v>49</v>
      </c>
      <c r="G501" s="3" t="s">
        <v>15</v>
      </c>
      <c r="H501" s="3" t="s">
        <v>22</v>
      </c>
      <c r="I501" s="4" t="n">
        <v>368</v>
      </c>
      <c r="J501" s="4" t="n">
        <v>88</v>
      </c>
      <c r="K501" s="4" t="n">
        <v>20</v>
      </c>
      <c r="L501" s="4" t="n">
        <f aca="false">IF(O501="Delivered",I501-J501+K501,0)</f>
        <v>300</v>
      </c>
      <c r="M501" s="0" t="n">
        <v>55</v>
      </c>
      <c r="N501" s="0" t="n">
        <v>3.9</v>
      </c>
      <c r="O501" s="3" t="s">
        <v>17</v>
      </c>
    </row>
    <row r="502" customFormat="false" ht="15" hidden="false" customHeight="false" outlineLevel="0" collapsed="false">
      <c r="A502" s="0" t="s">
        <v>878</v>
      </c>
      <c r="B502" s="2" t="n">
        <v>45795</v>
      </c>
      <c r="C502" s="0" t="str">
        <f aca="false">TEXT(B502,"mmm")</f>
        <v>May</v>
      </c>
      <c r="D502" s="0" t="str">
        <f aca="false">TEXT(B502,"ddd")</f>
        <v>Sun</v>
      </c>
      <c r="E502" s="3" t="s">
        <v>24</v>
      </c>
      <c r="F502" s="3" t="s">
        <v>25</v>
      </c>
      <c r="G502" s="3" t="s">
        <v>21</v>
      </c>
      <c r="H502" s="3" t="s">
        <v>34</v>
      </c>
      <c r="I502" s="4" t="n">
        <v>473</v>
      </c>
      <c r="J502" s="4" t="n">
        <v>0</v>
      </c>
      <c r="K502" s="4" t="n">
        <v>45</v>
      </c>
      <c r="L502" s="4" t="n">
        <f aca="false">IF(O502="Delivered",I502-J502+K502,0)</f>
        <v>518</v>
      </c>
      <c r="M502" s="0" t="n">
        <v>38</v>
      </c>
      <c r="N502" s="0" t="n">
        <v>3.7</v>
      </c>
      <c r="O502" s="3" t="s">
        <v>17</v>
      </c>
    </row>
    <row r="503" customFormat="false" ht="15" hidden="false" customHeight="false" outlineLevel="0" collapsed="false">
      <c r="A503" s="0" t="s">
        <v>1234</v>
      </c>
      <c r="B503" s="2" t="n">
        <v>45795</v>
      </c>
      <c r="C503" s="0" t="str">
        <f aca="false">TEXT(B503,"mmm")</f>
        <v>May</v>
      </c>
      <c r="D503" s="0" t="str">
        <f aca="false">TEXT(B503,"ddd")</f>
        <v>Sun</v>
      </c>
      <c r="E503" s="3" t="s">
        <v>51</v>
      </c>
      <c r="F503" s="3" t="s">
        <v>56</v>
      </c>
      <c r="G503" s="3" t="s">
        <v>21</v>
      </c>
      <c r="H503" s="3" t="s">
        <v>54</v>
      </c>
      <c r="I503" s="4" t="n">
        <v>482</v>
      </c>
      <c r="J503" s="4" t="n">
        <v>0</v>
      </c>
      <c r="K503" s="4" t="n">
        <v>45</v>
      </c>
      <c r="L503" s="4" t="n">
        <f aca="false">IF(O503="Delivered",I503-J503+K503,0)</f>
        <v>527</v>
      </c>
      <c r="M503" s="0" t="n">
        <v>29</v>
      </c>
      <c r="N503" s="0" t="n">
        <v>4.3</v>
      </c>
      <c r="O503" s="3" t="s">
        <v>17</v>
      </c>
    </row>
    <row r="504" customFormat="false" ht="15" hidden="false" customHeight="false" outlineLevel="0" collapsed="false">
      <c r="A504" s="0" t="s">
        <v>685</v>
      </c>
      <c r="B504" s="2" t="n">
        <v>45797</v>
      </c>
      <c r="C504" s="0" t="str">
        <f aca="false">TEXT(B504,"mmm")</f>
        <v>May</v>
      </c>
      <c r="D504" s="0" t="str">
        <f aca="false">TEXT(B504,"ddd")</f>
        <v>Tue</v>
      </c>
      <c r="E504" s="3" t="s">
        <v>45</v>
      </c>
      <c r="F504" s="3" t="s">
        <v>28</v>
      </c>
      <c r="G504" s="3" t="s">
        <v>15</v>
      </c>
      <c r="H504" s="3" t="s">
        <v>36</v>
      </c>
      <c r="I504" s="4" t="n">
        <v>467</v>
      </c>
      <c r="J504" s="4" t="n">
        <v>0</v>
      </c>
      <c r="K504" s="4" t="n">
        <v>45</v>
      </c>
      <c r="L504" s="4" t="n">
        <f aca="false">IF(O504="Delivered",I504-J504+K504,0)</f>
        <v>512</v>
      </c>
      <c r="M504" s="0" t="n">
        <v>32</v>
      </c>
      <c r="N504" s="0" t="n">
        <v>4.6</v>
      </c>
      <c r="O504" s="3" t="s">
        <v>17</v>
      </c>
    </row>
    <row r="505" customFormat="false" ht="15" hidden="false" customHeight="false" outlineLevel="0" collapsed="false">
      <c r="A505" s="0" t="s">
        <v>707</v>
      </c>
      <c r="B505" s="2" t="n">
        <v>45797</v>
      </c>
      <c r="C505" s="0" t="str">
        <f aca="false">TEXT(B505,"mmm")</f>
        <v>May</v>
      </c>
      <c r="D505" s="0" t="str">
        <f aca="false">TEXT(B505,"ddd")</f>
        <v>Tue</v>
      </c>
      <c r="E505" s="3" t="s">
        <v>24</v>
      </c>
      <c r="F505" s="3" t="s">
        <v>56</v>
      </c>
      <c r="G505" s="3" t="s">
        <v>21</v>
      </c>
      <c r="H505" s="3" t="s">
        <v>1690</v>
      </c>
      <c r="I505" s="4" t="n">
        <v>377</v>
      </c>
      <c r="J505" s="4" t="n">
        <v>0</v>
      </c>
      <c r="K505" s="4" t="n">
        <v>40</v>
      </c>
      <c r="L505" s="4" t="n">
        <f aca="false">IF(O505="Delivered",I505-J505+K505,0)</f>
        <v>417</v>
      </c>
      <c r="M505" s="0" t="n">
        <v>44</v>
      </c>
      <c r="N505" s="0" t="n">
        <v>4.2</v>
      </c>
      <c r="O505" s="3" t="s">
        <v>17</v>
      </c>
    </row>
    <row r="506" customFormat="false" ht="15" hidden="false" customHeight="false" outlineLevel="0" collapsed="false">
      <c r="A506" s="0" t="s">
        <v>698</v>
      </c>
      <c r="B506" s="2" t="n">
        <v>45798</v>
      </c>
      <c r="C506" s="0" t="str">
        <f aca="false">TEXT(B506,"mmm")</f>
        <v>May</v>
      </c>
      <c r="D506" s="0" t="str">
        <f aca="false">TEXT(B506,"ddd")</f>
        <v>Wed</v>
      </c>
      <c r="E506" s="3" t="s">
        <v>40</v>
      </c>
      <c r="F506" s="3" t="s">
        <v>31</v>
      </c>
      <c r="G506" s="3" t="s">
        <v>21</v>
      </c>
      <c r="H506" s="3" t="s">
        <v>54</v>
      </c>
      <c r="I506" s="4" t="n">
        <v>331</v>
      </c>
      <c r="J506" s="4" t="n">
        <v>0</v>
      </c>
      <c r="K506" s="4" t="n">
        <v>45</v>
      </c>
      <c r="L506" s="4" t="n">
        <f aca="false">IF(O506="Delivered",I506-J506+K506,0)</f>
        <v>376</v>
      </c>
      <c r="M506" s="0" t="n">
        <v>42</v>
      </c>
      <c r="N506" s="0" t="n">
        <v>4.8</v>
      </c>
      <c r="O506" s="3" t="s">
        <v>17</v>
      </c>
    </row>
    <row r="507" customFormat="false" ht="15" hidden="false" customHeight="false" outlineLevel="0" collapsed="false">
      <c r="A507" s="0" t="s">
        <v>1032</v>
      </c>
      <c r="B507" s="2" t="n">
        <v>45798</v>
      </c>
      <c r="C507" s="0" t="str">
        <f aca="false">TEXT(B507,"mmm")</f>
        <v>May</v>
      </c>
      <c r="D507" s="0" t="str">
        <f aca="false">TEXT(B507,"ddd")</f>
        <v>Wed</v>
      </c>
      <c r="E507" s="3" t="s">
        <v>27</v>
      </c>
      <c r="F507" s="3" t="s">
        <v>31</v>
      </c>
      <c r="G507" s="3" t="s">
        <v>21</v>
      </c>
      <c r="H507" s="3" t="s">
        <v>34</v>
      </c>
      <c r="I507" s="4" t="n">
        <v>360</v>
      </c>
      <c r="J507" s="4" t="n">
        <v>0</v>
      </c>
      <c r="K507" s="4" t="n">
        <v>45</v>
      </c>
      <c r="L507" s="4" t="n">
        <f aca="false">IF(O507="Delivered",I507-J507+K507,0)</f>
        <v>405</v>
      </c>
      <c r="M507" s="0" t="n">
        <v>57</v>
      </c>
      <c r="O507" s="3" t="s">
        <v>17</v>
      </c>
    </row>
    <row r="508" customFormat="false" ht="15" hidden="false" customHeight="false" outlineLevel="0" collapsed="false">
      <c r="A508" s="0" t="s">
        <v>1096</v>
      </c>
      <c r="B508" s="2" t="n">
        <v>45798</v>
      </c>
      <c r="C508" s="0" t="str">
        <f aca="false">TEXT(B508,"mmm")</f>
        <v>May</v>
      </c>
      <c r="D508" s="0" t="str">
        <f aca="false">TEXT(B508,"ddd")</f>
        <v>Wed</v>
      </c>
      <c r="E508" s="3" t="s">
        <v>27</v>
      </c>
      <c r="F508" s="3" t="s">
        <v>25</v>
      </c>
      <c r="G508" s="3" t="s">
        <v>21</v>
      </c>
      <c r="H508" s="3" t="s">
        <v>54</v>
      </c>
      <c r="I508" s="4" t="n">
        <v>391</v>
      </c>
      <c r="J508" s="4" t="n">
        <v>0</v>
      </c>
      <c r="K508" s="4" t="n">
        <v>40</v>
      </c>
      <c r="L508" s="4" t="n">
        <f aca="false">IF(O508="Delivered",I508-J508+K508,0)</f>
        <v>431</v>
      </c>
      <c r="M508" s="0" t="n">
        <v>38</v>
      </c>
      <c r="N508" s="0" t="n">
        <v>4.2</v>
      </c>
      <c r="O508" s="3" t="s">
        <v>17</v>
      </c>
    </row>
    <row r="509" customFormat="false" ht="15" hidden="false" customHeight="false" outlineLevel="0" collapsed="false">
      <c r="A509" s="0" t="s">
        <v>788</v>
      </c>
      <c r="B509" s="2" t="n">
        <v>45799</v>
      </c>
      <c r="C509" s="0" t="str">
        <f aca="false">TEXT(B509,"mmm")</f>
        <v>May</v>
      </c>
      <c r="D509" s="0" t="str">
        <f aca="false">TEXT(B509,"ddd")</f>
        <v>Thu</v>
      </c>
      <c r="E509" s="3" t="s">
        <v>45</v>
      </c>
      <c r="F509" s="3" t="s">
        <v>25</v>
      </c>
      <c r="G509" s="3" t="s">
        <v>21</v>
      </c>
      <c r="H509" s="3" t="s">
        <v>22</v>
      </c>
      <c r="I509" s="4" t="n">
        <v>311</v>
      </c>
      <c r="J509" s="4" t="n">
        <v>0</v>
      </c>
      <c r="K509" s="4" t="n">
        <v>45</v>
      </c>
      <c r="L509" s="4" t="n">
        <f aca="false">IF(O509="Delivered",I509-J509+K509,0)</f>
        <v>356</v>
      </c>
      <c r="M509" s="0" t="n">
        <v>23</v>
      </c>
      <c r="N509" s="0" t="n">
        <v>4.5</v>
      </c>
      <c r="O509" s="3" t="s">
        <v>17</v>
      </c>
    </row>
    <row r="510" customFormat="false" ht="15" hidden="false" customHeight="false" outlineLevel="0" collapsed="false">
      <c r="A510" s="0" t="s">
        <v>812</v>
      </c>
      <c r="B510" s="2" t="n">
        <v>45799</v>
      </c>
      <c r="C510" s="0" t="str">
        <f aca="false">TEXT(B510,"mmm")</f>
        <v>May</v>
      </c>
      <c r="D510" s="0" t="str">
        <f aca="false">TEXT(B510,"ddd")</f>
        <v>Thu</v>
      </c>
      <c r="E510" s="3" t="s">
        <v>40</v>
      </c>
      <c r="F510" s="3" t="s">
        <v>31</v>
      </c>
      <c r="G510" s="3" t="s">
        <v>21</v>
      </c>
      <c r="H510" s="3" t="s">
        <v>22</v>
      </c>
      <c r="I510" s="4" t="n">
        <v>610</v>
      </c>
      <c r="J510" s="4" t="n">
        <v>0</v>
      </c>
      <c r="K510" s="4" t="n">
        <v>0</v>
      </c>
      <c r="L510" s="4" t="n">
        <f aca="false">IF(O510="Delivered",I510-J510+K510,0)</f>
        <v>610</v>
      </c>
      <c r="M510" s="0" t="n">
        <v>30</v>
      </c>
      <c r="O510" s="3" t="s">
        <v>17</v>
      </c>
    </row>
    <row r="511" customFormat="false" ht="15" hidden="false" customHeight="false" outlineLevel="0" collapsed="false">
      <c r="A511" s="0" t="s">
        <v>1136</v>
      </c>
      <c r="B511" s="2" t="n">
        <v>45799</v>
      </c>
      <c r="C511" s="0" t="str">
        <f aca="false">TEXT(B511,"mmm")</f>
        <v>May</v>
      </c>
      <c r="D511" s="0" t="str">
        <f aca="false">TEXT(B511,"ddd")</f>
        <v>Thu</v>
      </c>
      <c r="E511" s="3" t="s">
        <v>30</v>
      </c>
      <c r="F511" s="3" t="s">
        <v>25</v>
      </c>
      <c r="G511" s="3" t="s">
        <v>21</v>
      </c>
      <c r="H511" s="3" t="s">
        <v>34</v>
      </c>
      <c r="I511" s="4" t="n">
        <v>524</v>
      </c>
      <c r="J511" s="4" t="n">
        <v>0</v>
      </c>
      <c r="K511" s="4" t="n">
        <v>0</v>
      </c>
      <c r="L511" s="4" t="n">
        <f aca="false">IF(O511="Delivered",I511-J511+K511,0)</f>
        <v>524</v>
      </c>
      <c r="M511" s="0" t="n">
        <v>37</v>
      </c>
      <c r="N511" s="0" t="n">
        <v>4.3</v>
      </c>
      <c r="O511" s="3" t="s">
        <v>17</v>
      </c>
    </row>
    <row r="512" customFormat="false" ht="15" hidden="false" customHeight="false" outlineLevel="0" collapsed="false">
      <c r="A512" s="0" t="s">
        <v>1138</v>
      </c>
      <c r="B512" s="2" t="n">
        <v>45799</v>
      </c>
      <c r="C512" s="0" t="str">
        <f aca="false">TEXT(B512,"mmm")</f>
        <v>May</v>
      </c>
      <c r="D512" s="0" t="str">
        <f aca="false">TEXT(B512,"ddd")</f>
        <v>Thu</v>
      </c>
      <c r="E512" s="3" t="s">
        <v>40</v>
      </c>
      <c r="F512" s="3" t="s">
        <v>78</v>
      </c>
      <c r="G512" s="3" t="s">
        <v>21</v>
      </c>
      <c r="H512" s="3" t="s">
        <v>1690</v>
      </c>
      <c r="I512" s="4" t="n">
        <v>450</v>
      </c>
      <c r="J512" s="4" t="n">
        <v>0</v>
      </c>
      <c r="K512" s="4" t="n">
        <v>40</v>
      </c>
      <c r="L512" s="4" t="n">
        <f aca="false">IF(O512="Delivered",I512-J512+K512,0)</f>
        <v>490</v>
      </c>
      <c r="M512" s="0" t="n">
        <v>47</v>
      </c>
      <c r="N512" s="0" t="n">
        <v>3.7</v>
      </c>
      <c r="O512" s="3" t="s">
        <v>17</v>
      </c>
    </row>
    <row r="513" customFormat="false" ht="15" hidden="false" customHeight="false" outlineLevel="0" collapsed="false">
      <c r="A513" s="0" t="s">
        <v>1166</v>
      </c>
      <c r="B513" s="2" t="n">
        <v>45799</v>
      </c>
      <c r="C513" s="0" t="str">
        <f aca="false">TEXT(B513,"mmm")</f>
        <v>May</v>
      </c>
      <c r="D513" s="0" t="str">
        <f aca="false">TEXT(B513,"ddd")</f>
        <v>Thu</v>
      </c>
      <c r="E513" s="3" t="s">
        <v>24</v>
      </c>
      <c r="F513" s="3" t="s">
        <v>20</v>
      </c>
      <c r="G513" s="3" t="s">
        <v>15</v>
      </c>
      <c r="H513" s="3" t="s">
        <v>22</v>
      </c>
      <c r="I513" s="4" t="n">
        <v>831</v>
      </c>
      <c r="J513" s="4" t="n">
        <v>0</v>
      </c>
      <c r="K513" s="4" t="n">
        <v>0</v>
      </c>
      <c r="L513" s="4" t="n">
        <f aca="false">IF(O513="Delivered",I513-J513+K513,0)</f>
        <v>831</v>
      </c>
      <c r="M513" s="0" t="n">
        <v>41</v>
      </c>
      <c r="N513" s="0" t="n">
        <v>4.3</v>
      </c>
      <c r="O513" s="3" t="s">
        <v>17</v>
      </c>
    </row>
    <row r="514" customFormat="false" ht="15" hidden="false" customHeight="false" outlineLevel="0" collapsed="false">
      <c r="A514" s="0" t="s">
        <v>1188</v>
      </c>
      <c r="B514" s="2" t="n">
        <v>45799</v>
      </c>
      <c r="C514" s="0" t="str">
        <f aca="false">TEXT(B514,"mmm")</f>
        <v>May</v>
      </c>
      <c r="D514" s="0" t="str">
        <f aca="false">TEXT(B514,"ddd")</f>
        <v>Thu</v>
      </c>
      <c r="E514" s="3" t="s">
        <v>30</v>
      </c>
      <c r="F514" s="3" t="s">
        <v>25</v>
      </c>
      <c r="G514" s="3" t="s">
        <v>15</v>
      </c>
      <c r="H514" s="3" t="s">
        <v>22</v>
      </c>
      <c r="I514" s="4" t="n">
        <v>504</v>
      </c>
      <c r="J514" s="4" t="n">
        <v>0</v>
      </c>
      <c r="K514" s="4" t="n">
        <v>0</v>
      </c>
      <c r="L514" s="4" t="n">
        <f aca="false">IF(O514="Delivered",I514-J514+K514,0)</f>
        <v>504</v>
      </c>
      <c r="M514" s="0" t="n">
        <v>29</v>
      </c>
      <c r="N514" s="0" t="n">
        <v>4</v>
      </c>
      <c r="O514" s="3" t="s">
        <v>17</v>
      </c>
    </row>
    <row r="515" customFormat="false" ht="15" hidden="false" customHeight="false" outlineLevel="0" collapsed="false">
      <c r="A515" s="0" t="s">
        <v>739</v>
      </c>
      <c r="B515" s="2" t="n">
        <v>45800</v>
      </c>
      <c r="C515" s="0" t="str">
        <f aca="false">TEXT(B515,"mmm")</f>
        <v>May</v>
      </c>
      <c r="D515" s="0" t="str">
        <f aca="false">TEXT(B515,"ddd")</f>
        <v>Fri</v>
      </c>
      <c r="E515" s="3" t="s">
        <v>40</v>
      </c>
      <c r="F515" s="3" t="s">
        <v>31</v>
      </c>
      <c r="G515" s="3" t="s">
        <v>21</v>
      </c>
      <c r="H515" s="3" t="s">
        <v>36</v>
      </c>
      <c r="I515" s="4" t="n">
        <v>583</v>
      </c>
      <c r="J515" s="4" t="n">
        <v>0</v>
      </c>
      <c r="K515" s="4" t="n">
        <v>0</v>
      </c>
      <c r="L515" s="4" t="n">
        <f aca="false">IF(O515="Delivered",I515-J515+K515,0)</f>
        <v>583</v>
      </c>
      <c r="M515" s="0" t="n">
        <v>57</v>
      </c>
      <c r="N515" s="0" t="n">
        <v>4.1</v>
      </c>
      <c r="O515" s="3" t="s">
        <v>17</v>
      </c>
    </row>
    <row r="516" customFormat="false" ht="15" hidden="false" customHeight="false" outlineLevel="0" collapsed="false">
      <c r="A516" s="0" t="s">
        <v>930</v>
      </c>
      <c r="B516" s="2" t="n">
        <v>45800</v>
      </c>
      <c r="C516" s="0" t="str">
        <f aca="false">TEXT(B516,"mmm")</f>
        <v>May</v>
      </c>
      <c r="D516" s="0" t="str">
        <f aca="false">TEXT(B516,"ddd")</f>
        <v>Fri</v>
      </c>
      <c r="E516" s="3" t="s">
        <v>40</v>
      </c>
      <c r="F516" s="3" t="s">
        <v>20</v>
      </c>
      <c r="G516" s="3" t="s">
        <v>21</v>
      </c>
      <c r="H516" s="3" t="s">
        <v>16</v>
      </c>
      <c r="I516" s="4" t="n">
        <v>378</v>
      </c>
      <c r="J516" s="4" t="n">
        <v>0</v>
      </c>
      <c r="K516" s="4" t="n">
        <v>20</v>
      </c>
      <c r="L516" s="4" t="n">
        <f aca="false">IF(O516="Delivered",I516-J516+K516,0)</f>
        <v>398</v>
      </c>
      <c r="M516" s="0" t="n">
        <v>24</v>
      </c>
      <c r="N516" s="0" t="n">
        <v>5</v>
      </c>
      <c r="O516" s="3" t="s">
        <v>17</v>
      </c>
    </row>
    <row r="517" customFormat="false" ht="15" hidden="false" customHeight="false" outlineLevel="0" collapsed="false">
      <c r="A517" s="0" t="s">
        <v>1463</v>
      </c>
      <c r="B517" s="2" t="n">
        <v>45800</v>
      </c>
      <c r="C517" s="0" t="str">
        <f aca="false">TEXT(B517,"mmm")</f>
        <v>May</v>
      </c>
      <c r="D517" s="0" t="str">
        <f aca="false">TEXT(B517,"ddd")</f>
        <v>Fri</v>
      </c>
      <c r="E517" s="3" t="s">
        <v>45</v>
      </c>
      <c r="F517" s="3" t="s">
        <v>14</v>
      </c>
      <c r="G517" s="3" t="s">
        <v>21</v>
      </c>
      <c r="H517" s="3" t="s">
        <v>34</v>
      </c>
      <c r="I517" s="4" t="n">
        <v>393</v>
      </c>
      <c r="J517" s="4" t="n">
        <v>0</v>
      </c>
      <c r="K517" s="4" t="n">
        <v>30</v>
      </c>
      <c r="L517" s="4" t="n">
        <f aca="false">IF(O517="Delivered",I517-J517+K517,0)</f>
        <v>423</v>
      </c>
      <c r="M517" s="0" t="n">
        <v>39</v>
      </c>
      <c r="N517" s="0" t="n">
        <v>4</v>
      </c>
      <c r="O517" s="3" t="s">
        <v>17</v>
      </c>
    </row>
    <row r="518" customFormat="false" ht="15" hidden="false" customHeight="false" outlineLevel="0" collapsed="false">
      <c r="A518" s="0" t="s">
        <v>1544</v>
      </c>
      <c r="B518" s="2" t="n">
        <v>45800</v>
      </c>
      <c r="C518" s="0" t="str">
        <f aca="false">TEXT(B518,"mmm")</f>
        <v>May</v>
      </c>
      <c r="D518" s="0" t="str">
        <f aca="false">TEXT(B518,"ddd")</f>
        <v>Fri</v>
      </c>
      <c r="E518" s="3" t="s">
        <v>40</v>
      </c>
      <c r="F518" s="3" t="s">
        <v>56</v>
      </c>
      <c r="G518" s="3" t="s">
        <v>15</v>
      </c>
      <c r="H518" s="3" t="s">
        <v>54</v>
      </c>
      <c r="I518" s="4" t="n">
        <v>243</v>
      </c>
      <c r="J518" s="4" t="n">
        <v>0</v>
      </c>
      <c r="K518" s="4" t="n">
        <v>45</v>
      </c>
      <c r="L518" s="4" t="n">
        <f aca="false">IF(O518="Delivered",I518-J518+K518,0)</f>
        <v>288</v>
      </c>
      <c r="M518" s="0" t="n">
        <v>52</v>
      </c>
      <c r="N518" s="0" t="n">
        <v>4.7</v>
      </c>
      <c r="O518" s="3" t="s">
        <v>17</v>
      </c>
    </row>
    <row r="519" customFormat="false" ht="15" hidden="false" customHeight="false" outlineLevel="0" collapsed="false">
      <c r="A519" s="0" t="s">
        <v>191</v>
      </c>
      <c r="B519" s="2" t="n">
        <v>45801</v>
      </c>
      <c r="C519" s="0" t="str">
        <f aca="false">TEXT(B519,"mmm")</f>
        <v>May</v>
      </c>
      <c r="D519" s="0" t="str">
        <f aca="false">TEXT(B519,"ddd")</f>
        <v>Sat</v>
      </c>
      <c r="E519" s="3" t="s">
        <v>13</v>
      </c>
      <c r="F519" s="3" t="s">
        <v>31</v>
      </c>
      <c r="G519" s="3" t="s">
        <v>15</v>
      </c>
      <c r="H519" s="3" t="s">
        <v>22</v>
      </c>
      <c r="I519" s="4" t="n">
        <v>384</v>
      </c>
      <c r="J519" s="4" t="n">
        <v>69</v>
      </c>
      <c r="K519" s="4" t="n">
        <v>45</v>
      </c>
      <c r="L519" s="4" t="n">
        <f aca="false">IF(O519="Delivered",I519-J519+K519,0)</f>
        <v>360</v>
      </c>
      <c r="M519" s="0" t="n">
        <v>32</v>
      </c>
      <c r="N519" s="0" t="n">
        <v>4.4</v>
      </c>
      <c r="O519" s="3" t="s">
        <v>17</v>
      </c>
    </row>
    <row r="520" customFormat="false" ht="15" hidden="false" customHeight="false" outlineLevel="0" collapsed="false">
      <c r="A520" s="0" t="s">
        <v>778</v>
      </c>
      <c r="B520" s="2" t="n">
        <v>45801</v>
      </c>
      <c r="C520" s="0" t="str">
        <f aca="false">TEXT(B520,"mmm")</f>
        <v>May</v>
      </c>
      <c r="D520" s="0" t="str">
        <f aca="false">TEXT(B520,"ddd")</f>
        <v>Sat</v>
      </c>
      <c r="E520" s="3" t="s">
        <v>45</v>
      </c>
      <c r="F520" s="3" t="s">
        <v>31</v>
      </c>
      <c r="G520" s="3" t="s">
        <v>15</v>
      </c>
      <c r="H520" s="3" t="s">
        <v>22</v>
      </c>
      <c r="I520" s="4" t="n">
        <v>587</v>
      </c>
      <c r="J520" s="4" t="n">
        <v>122</v>
      </c>
      <c r="K520" s="4" t="n">
        <v>0</v>
      </c>
      <c r="L520" s="4" t="n">
        <f aca="false">IF(O520="Delivered",I520-J520+K520,0)</f>
        <v>465</v>
      </c>
      <c r="M520" s="0" t="n">
        <v>27</v>
      </c>
      <c r="N520" s="0" t="n">
        <v>3.9</v>
      </c>
      <c r="O520" s="3" t="s">
        <v>17</v>
      </c>
    </row>
    <row r="521" customFormat="false" ht="15" hidden="false" customHeight="false" outlineLevel="0" collapsed="false">
      <c r="A521" s="0" t="s">
        <v>1637</v>
      </c>
      <c r="B521" s="2" t="n">
        <v>45801</v>
      </c>
      <c r="C521" s="0" t="str">
        <f aca="false">TEXT(B521,"mmm")</f>
        <v>May</v>
      </c>
      <c r="D521" s="0" t="str">
        <f aca="false">TEXT(B521,"ddd")</f>
        <v>Sat</v>
      </c>
      <c r="E521" s="3" t="s">
        <v>27</v>
      </c>
      <c r="F521" s="3" t="s">
        <v>56</v>
      </c>
      <c r="G521" s="3" t="s">
        <v>21</v>
      </c>
      <c r="H521" s="3" t="s">
        <v>54</v>
      </c>
      <c r="I521" s="4" t="n">
        <v>336</v>
      </c>
      <c r="J521" s="4" t="n">
        <v>53</v>
      </c>
      <c r="K521" s="4" t="n">
        <v>30</v>
      </c>
      <c r="L521" s="4" t="n">
        <f aca="false">IF(O521="Delivered",I521-J521+K521,0)</f>
        <v>313</v>
      </c>
      <c r="M521" s="0" t="n">
        <v>46</v>
      </c>
      <c r="N521" s="0" t="n">
        <v>4.5</v>
      </c>
      <c r="O521" s="3" t="s">
        <v>17</v>
      </c>
    </row>
    <row r="522" customFormat="false" ht="15" hidden="false" customHeight="false" outlineLevel="0" collapsed="false">
      <c r="A522" s="0" t="s">
        <v>1685</v>
      </c>
      <c r="B522" s="2" t="n">
        <v>45801</v>
      </c>
      <c r="C522" s="0" t="str">
        <f aca="false">TEXT(B522,"mmm")</f>
        <v>May</v>
      </c>
      <c r="D522" s="0" t="str">
        <f aca="false">TEXT(B522,"ddd")</f>
        <v>Sat</v>
      </c>
      <c r="E522" s="3" t="s">
        <v>19</v>
      </c>
      <c r="F522" s="3" t="s">
        <v>14</v>
      </c>
      <c r="G522" s="3" t="s">
        <v>21</v>
      </c>
      <c r="H522" s="3" t="s">
        <v>34</v>
      </c>
      <c r="I522" s="4" t="n">
        <v>383</v>
      </c>
      <c r="J522" s="4" t="n">
        <v>62</v>
      </c>
      <c r="K522" s="4" t="n">
        <v>45</v>
      </c>
      <c r="L522" s="4" t="n">
        <f aca="false">IF(O522="Delivered",I522-J522+K522,0)</f>
        <v>366</v>
      </c>
      <c r="M522" s="0" t="n">
        <v>25</v>
      </c>
      <c r="N522" s="0" t="n">
        <v>4.5</v>
      </c>
      <c r="O522" s="3" t="s">
        <v>17</v>
      </c>
    </row>
    <row r="523" customFormat="false" ht="15" hidden="false" customHeight="false" outlineLevel="0" collapsed="false">
      <c r="A523" s="0" t="s">
        <v>57</v>
      </c>
      <c r="B523" s="2" t="n">
        <v>45803</v>
      </c>
      <c r="C523" s="0" t="str">
        <f aca="false">TEXT(B523,"mmm")</f>
        <v>May</v>
      </c>
      <c r="D523" s="0" t="str">
        <f aca="false">TEXT(B523,"ddd")</f>
        <v>Mon</v>
      </c>
      <c r="E523" s="3" t="s">
        <v>27</v>
      </c>
      <c r="F523" s="3" t="s">
        <v>28</v>
      </c>
      <c r="G523" s="3" t="s">
        <v>21</v>
      </c>
      <c r="H523" s="3" t="s">
        <v>54</v>
      </c>
      <c r="I523" s="4" t="n">
        <v>358</v>
      </c>
      <c r="J523" s="4" t="n">
        <v>0</v>
      </c>
      <c r="K523" s="4" t="n">
        <v>45</v>
      </c>
      <c r="L523" s="4" t="n">
        <f aca="false">IF(O523="Delivered",I523-J523+K523,0)</f>
        <v>403</v>
      </c>
      <c r="M523" s="0" t="n">
        <v>36</v>
      </c>
      <c r="N523" s="0" t="n">
        <v>4.5</v>
      </c>
      <c r="O523" s="3" t="s">
        <v>17</v>
      </c>
    </row>
    <row r="524" customFormat="false" ht="15" hidden="false" customHeight="false" outlineLevel="0" collapsed="false">
      <c r="A524" s="0" t="s">
        <v>1298</v>
      </c>
      <c r="B524" s="2" t="n">
        <v>45803</v>
      </c>
      <c r="C524" s="0" t="str">
        <f aca="false">TEXT(B524,"mmm")</f>
        <v>May</v>
      </c>
      <c r="D524" s="0" t="str">
        <f aca="false">TEXT(B524,"ddd")</f>
        <v>Mon</v>
      </c>
      <c r="E524" s="3" t="s">
        <v>13</v>
      </c>
      <c r="F524" s="3" t="s">
        <v>56</v>
      </c>
      <c r="G524" s="3" t="s">
        <v>21</v>
      </c>
      <c r="H524" s="3" t="s">
        <v>16</v>
      </c>
      <c r="I524" s="4" t="n">
        <v>503</v>
      </c>
      <c r="J524" s="4" t="n">
        <v>77</v>
      </c>
      <c r="K524" s="4" t="n">
        <v>0</v>
      </c>
      <c r="L524" s="4" t="n">
        <f aca="false">IF(O524="Delivered",I524-J524+K524,0)</f>
        <v>426</v>
      </c>
      <c r="M524" s="0" t="n">
        <v>30</v>
      </c>
      <c r="N524" s="0" t="n">
        <v>4.6</v>
      </c>
      <c r="O524" s="3" t="s">
        <v>17</v>
      </c>
    </row>
    <row r="525" customFormat="false" ht="15" hidden="false" customHeight="false" outlineLevel="0" collapsed="false">
      <c r="A525" s="0" t="s">
        <v>1412</v>
      </c>
      <c r="B525" s="2" t="n">
        <v>45805</v>
      </c>
      <c r="C525" s="0" t="str">
        <f aca="false">TEXT(B525,"mmm")</f>
        <v>May</v>
      </c>
      <c r="D525" s="0" t="str">
        <f aca="false">TEXT(B525,"ddd")</f>
        <v>Wed</v>
      </c>
      <c r="E525" s="3" t="s">
        <v>24</v>
      </c>
      <c r="F525" s="3" t="s">
        <v>28</v>
      </c>
      <c r="G525" s="3" t="s">
        <v>21</v>
      </c>
      <c r="H525" s="3" t="s">
        <v>16</v>
      </c>
      <c r="I525" s="4" t="n">
        <v>482</v>
      </c>
      <c r="J525" s="4" t="n">
        <v>0</v>
      </c>
      <c r="K525" s="4" t="n">
        <v>40</v>
      </c>
      <c r="L525" s="4" t="n">
        <f aca="false">IF(O525="Delivered",I525-J525+K525,0)</f>
        <v>522</v>
      </c>
      <c r="M525" s="0" t="n">
        <v>31</v>
      </c>
      <c r="N525" s="0" t="n">
        <v>4.2</v>
      </c>
      <c r="O525" s="3" t="s">
        <v>17</v>
      </c>
    </row>
    <row r="526" customFormat="false" ht="15" hidden="false" customHeight="false" outlineLevel="0" collapsed="false">
      <c r="A526" s="0" t="s">
        <v>1449</v>
      </c>
      <c r="B526" s="2" t="n">
        <v>45805</v>
      </c>
      <c r="C526" s="0" t="str">
        <f aca="false">TEXT(B526,"mmm")</f>
        <v>May</v>
      </c>
      <c r="D526" s="0" t="str">
        <f aca="false">TEXT(B526,"ddd")</f>
        <v>Wed</v>
      </c>
      <c r="E526" s="3" t="s">
        <v>40</v>
      </c>
      <c r="F526" s="3" t="s">
        <v>31</v>
      </c>
      <c r="G526" s="3" t="s">
        <v>21</v>
      </c>
      <c r="H526" s="3" t="s">
        <v>36</v>
      </c>
      <c r="I526" s="4" t="n">
        <v>351</v>
      </c>
      <c r="J526" s="4" t="n">
        <v>0</v>
      </c>
      <c r="K526" s="4" t="n">
        <v>40</v>
      </c>
      <c r="L526" s="4" t="n">
        <f aca="false">IF(O526="Delivered",I526-J526+K526,0)</f>
        <v>391</v>
      </c>
      <c r="M526" s="0" t="n">
        <v>33</v>
      </c>
      <c r="N526" s="0" t="n">
        <v>4.9</v>
      </c>
      <c r="O526" s="3" t="s">
        <v>17</v>
      </c>
    </row>
    <row r="527" customFormat="false" ht="15" hidden="false" customHeight="false" outlineLevel="0" collapsed="false">
      <c r="A527" s="0" t="s">
        <v>148</v>
      </c>
      <c r="B527" s="2" t="n">
        <v>45806</v>
      </c>
      <c r="C527" s="0" t="str">
        <f aca="false">TEXT(B527,"mmm")</f>
        <v>May</v>
      </c>
      <c r="D527" s="0" t="str">
        <f aca="false">TEXT(B527,"ddd")</f>
        <v>Thu</v>
      </c>
      <c r="E527" s="3" t="s">
        <v>40</v>
      </c>
      <c r="F527" s="3" t="s">
        <v>31</v>
      </c>
      <c r="G527" s="3" t="s">
        <v>21</v>
      </c>
      <c r="H527" s="3" t="s">
        <v>22</v>
      </c>
      <c r="I527" s="4" t="n">
        <v>513</v>
      </c>
      <c r="J527" s="4" t="n">
        <v>0</v>
      </c>
      <c r="K527" s="4" t="n">
        <v>0</v>
      </c>
      <c r="L527" s="4" t="n">
        <f aca="false">IF(O527="Delivered",I527-J527+K527,0)</f>
        <v>513</v>
      </c>
      <c r="M527" s="0" t="n">
        <v>34</v>
      </c>
      <c r="N527" s="0" t="n">
        <v>4.9</v>
      </c>
      <c r="O527" s="3" t="s">
        <v>17</v>
      </c>
    </row>
    <row r="528" customFormat="false" ht="15" hidden="false" customHeight="false" outlineLevel="0" collapsed="false">
      <c r="A528" s="0" t="s">
        <v>607</v>
      </c>
      <c r="B528" s="2" t="n">
        <v>45806</v>
      </c>
      <c r="C528" s="0" t="str">
        <f aca="false">TEXT(B528,"mmm")</f>
        <v>May</v>
      </c>
      <c r="D528" s="0" t="str">
        <f aca="false">TEXT(B528,"ddd")</f>
        <v>Thu</v>
      </c>
      <c r="E528" s="3" t="s">
        <v>45</v>
      </c>
      <c r="F528" s="3" t="s">
        <v>56</v>
      </c>
      <c r="G528" s="3" t="s">
        <v>21</v>
      </c>
      <c r="H528" s="3" t="s">
        <v>22</v>
      </c>
      <c r="I528" s="4" t="n">
        <v>266</v>
      </c>
      <c r="J528" s="4" t="n">
        <v>39</v>
      </c>
      <c r="K528" s="4" t="n">
        <v>40</v>
      </c>
      <c r="L528" s="4" t="n">
        <f aca="false">IF(O528="Delivered",I528-J528+K528,0)</f>
        <v>267</v>
      </c>
      <c r="M528" s="0" t="n">
        <v>31</v>
      </c>
      <c r="N528" s="0" t="n">
        <v>4.7</v>
      </c>
      <c r="O528" s="3" t="s">
        <v>17</v>
      </c>
    </row>
    <row r="529" customFormat="false" ht="15" hidden="false" customHeight="false" outlineLevel="0" collapsed="false">
      <c r="A529" s="0" t="s">
        <v>919</v>
      </c>
      <c r="B529" s="2" t="n">
        <v>45806</v>
      </c>
      <c r="C529" s="0" t="str">
        <f aca="false">TEXT(B529,"mmm")</f>
        <v>May</v>
      </c>
      <c r="D529" s="0" t="str">
        <f aca="false">TEXT(B529,"ddd")</f>
        <v>Thu</v>
      </c>
      <c r="E529" s="3" t="s">
        <v>40</v>
      </c>
      <c r="F529" s="3" t="s">
        <v>49</v>
      </c>
      <c r="G529" s="3" t="s">
        <v>15</v>
      </c>
      <c r="H529" s="3" t="s">
        <v>16</v>
      </c>
      <c r="I529" s="4" t="n">
        <v>657</v>
      </c>
      <c r="J529" s="4" t="n">
        <v>151</v>
      </c>
      <c r="K529" s="4" t="n">
        <v>0</v>
      </c>
      <c r="L529" s="4" t="n">
        <f aca="false">IF(O529="Delivered",I529-J529+K529,0)</f>
        <v>506</v>
      </c>
      <c r="M529" s="0" t="n">
        <v>36</v>
      </c>
      <c r="N529" s="0" t="n">
        <v>4.3</v>
      </c>
      <c r="O529" s="3" t="s">
        <v>17</v>
      </c>
    </row>
    <row r="530" customFormat="false" ht="15" hidden="false" customHeight="false" outlineLevel="0" collapsed="false">
      <c r="A530" s="0" t="s">
        <v>1410</v>
      </c>
      <c r="B530" s="2" t="n">
        <v>45806</v>
      </c>
      <c r="C530" s="0" t="str">
        <f aca="false">TEXT(B530,"mmm")</f>
        <v>May</v>
      </c>
      <c r="D530" s="0" t="str">
        <f aca="false">TEXT(B530,"ddd")</f>
        <v>Thu</v>
      </c>
      <c r="E530" s="3" t="s">
        <v>40</v>
      </c>
      <c r="F530" s="3" t="s">
        <v>56</v>
      </c>
      <c r="G530" s="3" t="s">
        <v>21</v>
      </c>
      <c r="H530" s="3" t="s">
        <v>36</v>
      </c>
      <c r="I530" s="4" t="n">
        <v>325</v>
      </c>
      <c r="J530" s="4" t="n">
        <v>0</v>
      </c>
      <c r="K530" s="4" t="n">
        <v>45</v>
      </c>
      <c r="L530" s="4" t="n">
        <f aca="false">IF(O530="Delivered",I530-J530+K530,0)</f>
        <v>370</v>
      </c>
      <c r="M530" s="0" t="n">
        <v>39</v>
      </c>
      <c r="N530" s="0" t="n">
        <v>3.7</v>
      </c>
      <c r="O530" s="3" t="s">
        <v>17</v>
      </c>
    </row>
    <row r="531" customFormat="false" ht="15" hidden="false" customHeight="false" outlineLevel="0" collapsed="false">
      <c r="A531" s="0" t="s">
        <v>1604</v>
      </c>
      <c r="B531" s="2" t="n">
        <v>45806</v>
      </c>
      <c r="C531" s="0" t="str">
        <f aca="false">TEXT(B531,"mmm")</f>
        <v>May</v>
      </c>
      <c r="D531" s="0" t="str">
        <f aca="false">TEXT(B531,"ddd")</f>
        <v>Thu</v>
      </c>
      <c r="E531" s="3" t="s">
        <v>40</v>
      </c>
      <c r="F531" s="3" t="s">
        <v>20</v>
      </c>
      <c r="G531" s="3" t="s">
        <v>21</v>
      </c>
      <c r="H531" s="3" t="s">
        <v>36</v>
      </c>
      <c r="I531" s="4" t="n">
        <v>667</v>
      </c>
      <c r="J531" s="4" t="n">
        <v>0</v>
      </c>
      <c r="K531" s="4" t="n">
        <v>0</v>
      </c>
      <c r="L531" s="4" t="n">
        <f aca="false">IF(O531="Delivered",I531-J531+K531,0)</f>
        <v>667</v>
      </c>
      <c r="M531" s="0" t="n">
        <v>43</v>
      </c>
      <c r="N531" s="0" t="n">
        <v>4.7</v>
      </c>
      <c r="O531" s="3" t="s">
        <v>17</v>
      </c>
    </row>
    <row r="532" customFormat="false" ht="15" hidden="false" customHeight="false" outlineLevel="0" collapsed="false">
      <c r="A532" s="0" t="s">
        <v>462</v>
      </c>
      <c r="B532" s="2" t="n">
        <v>45807</v>
      </c>
      <c r="C532" s="0" t="str">
        <f aca="false">TEXT(B532,"mmm")</f>
        <v>May</v>
      </c>
      <c r="D532" s="0" t="str">
        <f aca="false">TEXT(B532,"ddd")</f>
        <v>Fri</v>
      </c>
      <c r="E532" s="3" t="s">
        <v>19</v>
      </c>
      <c r="F532" s="3" t="s">
        <v>14</v>
      </c>
      <c r="G532" s="3" t="s">
        <v>21</v>
      </c>
      <c r="H532" s="3" t="s">
        <v>54</v>
      </c>
      <c r="I532" s="4" t="n">
        <v>348</v>
      </c>
      <c r="J532" s="4" t="n">
        <v>61</v>
      </c>
      <c r="K532" s="4" t="n">
        <v>30</v>
      </c>
      <c r="L532" s="4" t="n">
        <f aca="false">IF(O532="Delivered",I532-J532+K532,0)</f>
        <v>317</v>
      </c>
      <c r="M532" s="0" t="n">
        <v>34</v>
      </c>
      <c r="N532" s="0" t="n">
        <v>3.8</v>
      </c>
      <c r="O532" s="3" t="s">
        <v>17</v>
      </c>
    </row>
    <row r="533" customFormat="false" ht="15" hidden="false" customHeight="false" outlineLevel="0" collapsed="false">
      <c r="A533" s="0" t="s">
        <v>634</v>
      </c>
      <c r="B533" s="2" t="n">
        <v>45807</v>
      </c>
      <c r="C533" s="0" t="str">
        <f aca="false">TEXT(B533,"mmm")</f>
        <v>May</v>
      </c>
      <c r="D533" s="0" t="str">
        <f aca="false">TEXT(B533,"ddd")</f>
        <v>Fri</v>
      </c>
      <c r="E533" s="3" t="s">
        <v>24</v>
      </c>
      <c r="F533" s="3" t="s">
        <v>56</v>
      </c>
      <c r="G533" s="3" t="s">
        <v>21</v>
      </c>
      <c r="H533" s="3" t="s">
        <v>54</v>
      </c>
      <c r="I533" s="4" t="n">
        <v>409</v>
      </c>
      <c r="J533" s="4" t="n">
        <v>42</v>
      </c>
      <c r="K533" s="4" t="n">
        <v>45</v>
      </c>
      <c r="L533" s="4" t="n">
        <f aca="false">IF(O533="Delivered",I533-J533+K533,0)</f>
        <v>412</v>
      </c>
      <c r="M533" s="0" t="n">
        <v>51</v>
      </c>
      <c r="N533" s="0" t="n">
        <v>3.7</v>
      </c>
      <c r="O533" s="3" t="s">
        <v>17</v>
      </c>
    </row>
    <row r="534" customFormat="false" ht="15" hidden="false" customHeight="false" outlineLevel="0" collapsed="false">
      <c r="A534" s="0" t="s">
        <v>393</v>
      </c>
      <c r="B534" s="2" t="n">
        <v>45808</v>
      </c>
      <c r="C534" s="0" t="str">
        <f aca="false">TEXT(B534,"mmm")</f>
        <v>May</v>
      </c>
      <c r="D534" s="0" t="str">
        <f aca="false">TEXT(B534,"ddd")</f>
        <v>Sat</v>
      </c>
      <c r="E534" s="3" t="s">
        <v>24</v>
      </c>
      <c r="F534" s="3" t="s">
        <v>20</v>
      </c>
      <c r="G534" s="3" t="s">
        <v>21</v>
      </c>
      <c r="H534" s="3" t="s">
        <v>22</v>
      </c>
      <c r="I534" s="4" t="n">
        <v>612</v>
      </c>
      <c r="J534" s="4" t="n">
        <v>79</v>
      </c>
      <c r="K534" s="4" t="n">
        <v>0</v>
      </c>
      <c r="L534" s="4" t="n">
        <f aca="false">IF(O534="Delivered",I534-J534+K534,0)</f>
        <v>533</v>
      </c>
      <c r="M534" s="0" t="n">
        <v>37</v>
      </c>
      <c r="N534" s="0" t="n">
        <v>3.9</v>
      </c>
      <c r="O534" s="3" t="s">
        <v>17</v>
      </c>
    </row>
    <row r="535" customFormat="false" ht="15" hidden="false" customHeight="false" outlineLevel="0" collapsed="false">
      <c r="A535" s="0" t="s">
        <v>394</v>
      </c>
      <c r="B535" s="2" t="n">
        <v>45808</v>
      </c>
      <c r="C535" s="0" t="str">
        <f aca="false">TEXT(B535,"mmm")</f>
        <v>May</v>
      </c>
      <c r="D535" s="0" t="str">
        <f aca="false">TEXT(B535,"ddd")</f>
        <v>Sat</v>
      </c>
      <c r="E535" s="3" t="s">
        <v>30</v>
      </c>
      <c r="F535" s="3" t="s">
        <v>25</v>
      </c>
      <c r="G535" s="3" t="s">
        <v>21</v>
      </c>
      <c r="H535" s="3" t="s">
        <v>36</v>
      </c>
      <c r="I535" s="4" t="n">
        <v>349</v>
      </c>
      <c r="J535" s="4" t="n">
        <v>0</v>
      </c>
      <c r="K535" s="4" t="n">
        <v>40</v>
      </c>
      <c r="L535" s="4" t="n">
        <f aca="false">IF(O535="Delivered",I535-J535+K535,0)</f>
        <v>389</v>
      </c>
      <c r="M535" s="0" t="n">
        <v>29</v>
      </c>
      <c r="N535" s="0" t="n">
        <v>5</v>
      </c>
      <c r="O535" s="3" t="s">
        <v>17</v>
      </c>
    </row>
    <row r="536" customFormat="false" ht="15" hidden="false" customHeight="false" outlineLevel="0" collapsed="false">
      <c r="A536" s="0" t="s">
        <v>683</v>
      </c>
      <c r="B536" s="2" t="n">
        <v>45808</v>
      </c>
      <c r="C536" s="0" t="str">
        <f aca="false">TEXT(B536,"mmm")</f>
        <v>May</v>
      </c>
      <c r="D536" s="0" t="str">
        <f aca="false">TEXT(B536,"ddd")</f>
        <v>Sat</v>
      </c>
      <c r="E536" s="3" t="s">
        <v>24</v>
      </c>
      <c r="F536" s="3" t="s">
        <v>14</v>
      </c>
      <c r="G536" s="3" t="s">
        <v>15</v>
      </c>
      <c r="H536" s="3" t="s">
        <v>34</v>
      </c>
      <c r="I536" s="4" t="n">
        <v>406</v>
      </c>
      <c r="J536" s="4" t="n">
        <v>0</v>
      </c>
      <c r="K536" s="4" t="n">
        <v>40</v>
      </c>
      <c r="L536" s="4" t="n">
        <f aca="false">IF(O536="Delivered",I536-J536+K536,0)</f>
        <v>446</v>
      </c>
      <c r="M536" s="0" t="n">
        <v>36</v>
      </c>
      <c r="N536" s="0" t="n">
        <v>5</v>
      </c>
      <c r="O536" s="3" t="s">
        <v>17</v>
      </c>
    </row>
    <row r="537" customFormat="false" ht="15" hidden="false" customHeight="false" outlineLevel="0" collapsed="false">
      <c r="A537" s="0" t="s">
        <v>804</v>
      </c>
      <c r="B537" s="2" t="n">
        <v>45808</v>
      </c>
      <c r="C537" s="0" t="str">
        <f aca="false">TEXT(B537,"mmm")</f>
        <v>May</v>
      </c>
      <c r="D537" s="0" t="str">
        <f aca="false">TEXT(B537,"ddd")</f>
        <v>Sat</v>
      </c>
      <c r="E537" s="3" t="s">
        <v>19</v>
      </c>
      <c r="F537" s="3" t="s">
        <v>31</v>
      </c>
      <c r="G537" s="3" t="s">
        <v>21</v>
      </c>
      <c r="H537" s="3" t="s">
        <v>16</v>
      </c>
      <c r="I537" s="4" t="n">
        <v>367</v>
      </c>
      <c r="J537" s="4" t="n">
        <v>0</v>
      </c>
      <c r="K537" s="4" t="n">
        <v>45</v>
      </c>
      <c r="L537" s="4" t="n">
        <f aca="false">IF(O537="Delivered",I537-J537+K537,0)</f>
        <v>412</v>
      </c>
      <c r="M537" s="0" t="n">
        <v>35</v>
      </c>
      <c r="N537" s="0" t="n">
        <v>4.5</v>
      </c>
      <c r="O537" s="3" t="s">
        <v>17</v>
      </c>
    </row>
    <row r="538" customFormat="false" ht="15" hidden="false" customHeight="false" outlineLevel="0" collapsed="false">
      <c r="A538" s="0" t="s">
        <v>1179</v>
      </c>
      <c r="B538" s="2" t="n">
        <v>45808</v>
      </c>
      <c r="C538" s="0" t="str">
        <f aca="false">TEXT(B538,"mmm")</f>
        <v>May</v>
      </c>
      <c r="D538" s="0" t="str">
        <f aca="false">TEXT(B538,"ddd")</f>
        <v>Sat</v>
      </c>
      <c r="E538" s="3" t="s">
        <v>45</v>
      </c>
      <c r="F538" s="3" t="s">
        <v>28</v>
      </c>
      <c r="G538" s="3" t="s">
        <v>15</v>
      </c>
      <c r="H538" s="3" t="s">
        <v>22</v>
      </c>
      <c r="I538" s="4" t="n">
        <v>290</v>
      </c>
      <c r="J538" s="4" t="n">
        <v>58</v>
      </c>
      <c r="K538" s="4" t="n">
        <v>30</v>
      </c>
      <c r="L538" s="4" t="n">
        <f aca="false">IF(O538="Delivered",I538-J538+K538,0)</f>
        <v>262</v>
      </c>
      <c r="M538" s="0" t="n">
        <v>21</v>
      </c>
      <c r="N538" s="0" t="n">
        <v>4.3</v>
      </c>
      <c r="O538" s="3" t="s">
        <v>17</v>
      </c>
    </row>
    <row r="539" customFormat="false" ht="15" hidden="false" customHeight="false" outlineLevel="0" collapsed="false">
      <c r="A539" s="0" t="s">
        <v>1339</v>
      </c>
      <c r="B539" s="2" t="n">
        <v>45808</v>
      </c>
      <c r="C539" s="0" t="str">
        <f aca="false">TEXT(B539,"mmm")</f>
        <v>May</v>
      </c>
      <c r="D539" s="0" t="str">
        <f aca="false">TEXT(B539,"ddd")</f>
        <v>Sat</v>
      </c>
      <c r="E539" s="3" t="s">
        <v>30</v>
      </c>
      <c r="F539" s="3" t="s">
        <v>78</v>
      </c>
      <c r="G539" s="3" t="s">
        <v>21</v>
      </c>
      <c r="H539" s="3" t="s">
        <v>54</v>
      </c>
      <c r="I539" s="4" t="n">
        <v>375</v>
      </c>
      <c r="J539" s="4" t="n">
        <v>0</v>
      </c>
      <c r="K539" s="4" t="n">
        <v>40</v>
      </c>
      <c r="L539" s="4" t="n">
        <f aca="false">IF(O539="Delivered",I539-J539+K539,0)</f>
        <v>415</v>
      </c>
      <c r="M539" s="0" t="n">
        <v>38</v>
      </c>
      <c r="O539" s="3" t="s">
        <v>17</v>
      </c>
    </row>
    <row r="540" customFormat="false" ht="15" hidden="false" customHeight="false" outlineLevel="0" collapsed="false">
      <c r="A540" s="0" t="s">
        <v>39</v>
      </c>
      <c r="B540" s="2" t="n">
        <v>45809</v>
      </c>
      <c r="C540" s="0" t="str">
        <f aca="false">TEXT(B540,"mmm")</f>
        <v>Jun</v>
      </c>
      <c r="D540" s="0" t="str">
        <f aca="false">TEXT(B540,"ddd")</f>
        <v>Sun</v>
      </c>
      <c r="E540" s="3" t="s">
        <v>40</v>
      </c>
      <c r="F540" s="3" t="s">
        <v>25</v>
      </c>
      <c r="G540" s="3" t="s">
        <v>21</v>
      </c>
      <c r="H540" s="3" t="s">
        <v>1690</v>
      </c>
      <c r="I540" s="4" t="n">
        <v>412</v>
      </c>
      <c r="J540" s="4" t="n">
        <v>0</v>
      </c>
      <c r="K540" s="4" t="n">
        <v>20</v>
      </c>
      <c r="L540" s="4" t="n">
        <f aca="false">IF(O540="Delivered",I540-J540+K540,0)</f>
        <v>432</v>
      </c>
      <c r="M540" s="0" t="n">
        <v>29</v>
      </c>
      <c r="N540" s="0" t="n">
        <v>3.7</v>
      </c>
      <c r="O540" s="3" t="s">
        <v>17</v>
      </c>
    </row>
    <row r="541" customFormat="false" ht="15" hidden="false" customHeight="false" outlineLevel="0" collapsed="false">
      <c r="A541" s="0" t="s">
        <v>75</v>
      </c>
      <c r="B541" s="2" t="n">
        <v>45809</v>
      </c>
      <c r="C541" s="0" t="str">
        <f aca="false">TEXT(B541,"mmm")</f>
        <v>Jun</v>
      </c>
      <c r="D541" s="0" t="str">
        <f aca="false">TEXT(B541,"ddd")</f>
        <v>Sun</v>
      </c>
      <c r="E541" s="3" t="s">
        <v>13</v>
      </c>
      <c r="F541" s="3" t="s">
        <v>25</v>
      </c>
      <c r="G541" s="3" t="s">
        <v>21</v>
      </c>
      <c r="H541" s="3" t="s">
        <v>22</v>
      </c>
      <c r="I541" s="4" t="n">
        <v>518</v>
      </c>
      <c r="J541" s="4" t="n">
        <v>58</v>
      </c>
      <c r="K541" s="4" t="n">
        <v>0</v>
      </c>
      <c r="L541" s="4" t="n">
        <f aca="false">IF(O541="Delivered",I541-J541+K541,0)</f>
        <v>460</v>
      </c>
      <c r="M541" s="0" t="n">
        <v>34</v>
      </c>
      <c r="N541" s="0" t="n">
        <v>4.6</v>
      </c>
      <c r="O541" s="3" t="s">
        <v>17</v>
      </c>
    </row>
    <row r="542" customFormat="false" ht="15" hidden="false" customHeight="false" outlineLevel="0" collapsed="false">
      <c r="A542" s="0" t="s">
        <v>228</v>
      </c>
      <c r="B542" s="2" t="n">
        <v>45809</v>
      </c>
      <c r="C542" s="0" t="str">
        <f aca="false">TEXT(B542,"mmm")</f>
        <v>Jun</v>
      </c>
      <c r="D542" s="0" t="str">
        <f aca="false">TEXT(B542,"ddd")</f>
        <v>Sun</v>
      </c>
      <c r="E542" s="3" t="s">
        <v>45</v>
      </c>
      <c r="F542" s="3" t="s">
        <v>28</v>
      </c>
      <c r="G542" s="3" t="s">
        <v>21</v>
      </c>
      <c r="H542" s="3" t="s">
        <v>34</v>
      </c>
      <c r="I542" s="4" t="n">
        <v>410</v>
      </c>
      <c r="J542" s="4" t="n">
        <v>0</v>
      </c>
      <c r="K542" s="4" t="n">
        <v>20</v>
      </c>
      <c r="L542" s="4" t="n">
        <f aca="false">IF(O542="Delivered",I542-J542+K542,0)</f>
        <v>430</v>
      </c>
      <c r="M542" s="0" t="n">
        <v>30</v>
      </c>
      <c r="N542" s="0" t="n">
        <v>3.9</v>
      </c>
      <c r="O542" s="3" t="s">
        <v>17</v>
      </c>
    </row>
    <row r="543" customFormat="false" ht="15" hidden="false" customHeight="false" outlineLevel="0" collapsed="false">
      <c r="A543" s="0" t="s">
        <v>1521</v>
      </c>
      <c r="B543" s="2" t="n">
        <v>45809</v>
      </c>
      <c r="C543" s="0" t="str">
        <f aca="false">TEXT(B543,"mmm")</f>
        <v>Jun</v>
      </c>
      <c r="D543" s="0" t="str">
        <f aca="false">TEXT(B543,"ddd")</f>
        <v>Sun</v>
      </c>
      <c r="E543" s="3" t="s">
        <v>40</v>
      </c>
      <c r="F543" s="3" t="s">
        <v>14</v>
      </c>
      <c r="G543" s="3" t="s">
        <v>15</v>
      </c>
      <c r="H543" s="3" t="s">
        <v>16</v>
      </c>
      <c r="I543" s="4" t="n">
        <v>413</v>
      </c>
      <c r="J543" s="4" t="n">
        <v>0</v>
      </c>
      <c r="K543" s="4" t="n">
        <v>40</v>
      </c>
      <c r="L543" s="4" t="n">
        <f aca="false">IF(O543="Delivered",I543-J543+K543,0)</f>
        <v>453</v>
      </c>
      <c r="M543" s="0" t="n">
        <v>41</v>
      </c>
      <c r="O543" s="3" t="s">
        <v>17</v>
      </c>
    </row>
    <row r="544" customFormat="false" ht="15" hidden="false" customHeight="false" outlineLevel="0" collapsed="false">
      <c r="A544" s="0" t="s">
        <v>630</v>
      </c>
      <c r="B544" s="2" t="n">
        <v>45810</v>
      </c>
      <c r="C544" s="0" t="str">
        <f aca="false">TEXT(B544,"mmm")</f>
        <v>Jun</v>
      </c>
      <c r="D544" s="0" t="str">
        <f aca="false">TEXT(B544,"ddd")</f>
        <v>Mon</v>
      </c>
      <c r="E544" s="3" t="s">
        <v>40</v>
      </c>
      <c r="F544" s="3" t="s">
        <v>14</v>
      </c>
      <c r="G544" s="3" t="s">
        <v>21</v>
      </c>
      <c r="H544" s="3" t="s">
        <v>16</v>
      </c>
      <c r="I544" s="4" t="n">
        <v>289</v>
      </c>
      <c r="J544" s="4" t="n">
        <v>0</v>
      </c>
      <c r="K544" s="4" t="n">
        <v>30</v>
      </c>
      <c r="L544" s="4" t="n">
        <f aca="false">IF(O544="Delivered",I544-J544+K544,0)</f>
        <v>319</v>
      </c>
      <c r="M544" s="0" t="n">
        <v>28</v>
      </c>
      <c r="N544" s="0" t="n">
        <v>4.6</v>
      </c>
      <c r="O544" s="3" t="s">
        <v>17</v>
      </c>
    </row>
    <row r="545" customFormat="false" ht="15" hidden="false" customHeight="false" outlineLevel="0" collapsed="false">
      <c r="A545" s="0" t="s">
        <v>755</v>
      </c>
      <c r="B545" s="2" t="n">
        <v>45810</v>
      </c>
      <c r="C545" s="0" t="str">
        <f aca="false">TEXT(B545,"mmm")</f>
        <v>Jun</v>
      </c>
      <c r="D545" s="0" t="str">
        <f aca="false">TEXT(B545,"ddd")</f>
        <v>Mon</v>
      </c>
      <c r="E545" s="3" t="s">
        <v>51</v>
      </c>
      <c r="F545" s="3" t="s">
        <v>56</v>
      </c>
      <c r="G545" s="3" t="s">
        <v>21</v>
      </c>
      <c r="H545" s="3" t="s">
        <v>34</v>
      </c>
      <c r="I545" s="4" t="n">
        <v>502</v>
      </c>
      <c r="J545" s="4" t="n">
        <v>0</v>
      </c>
      <c r="K545" s="4" t="n">
        <v>0</v>
      </c>
      <c r="L545" s="4" t="n">
        <f aca="false">IF(O545="Delivered",I545-J545+K545,0)</f>
        <v>502</v>
      </c>
      <c r="M545" s="0" t="n">
        <v>34</v>
      </c>
      <c r="N545" s="0" t="n">
        <v>4.4</v>
      </c>
      <c r="O545" s="3" t="s">
        <v>17</v>
      </c>
    </row>
    <row r="546" customFormat="false" ht="15" hidden="false" customHeight="false" outlineLevel="0" collapsed="false">
      <c r="A546" s="0" t="s">
        <v>1076</v>
      </c>
      <c r="B546" s="2" t="n">
        <v>45810</v>
      </c>
      <c r="C546" s="0" t="str">
        <f aca="false">TEXT(B546,"mmm")</f>
        <v>Jun</v>
      </c>
      <c r="D546" s="0" t="str">
        <f aca="false">TEXT(B546,"ddd")</f>
        <v>Mon</v>
      </c>
      <c r="E546" s="3" t="s">
        <v>13</v>
      </c>
      <c r="F546" s="3" t="s">
        <v>20</v>
      </c>
      <c r="G546" s="3" t="s">
        <v>21</v>
      </c>
      <c r="H546" s="3" t="s">
        <v>36</v>
      </c>
      <c r="I546" s="4" t="n">
        <v>482</v>
      </c>
      <c r="J546" s="4" t="n">
        <v>0</v>
      </c>
      <c r="K546" s="4" t="n">
        <v>20</v>
      </c>
      <c r="L546" s="4" t="n">
        <f aca="false">IF(O546="Delivered",I546-J546+K546,0)</f>
        <v>502</v>
      </c>
      <c r="M546" s="0" t="n">
        <v>37</v>
      </c>
      <c r="N546" s="0" t="n">
        <v>4.8</v>
      </c>
      <c r="O546" s="3" t="s">
        <v>17</v>
      </c>
    </row>
    <row r="547" customFormat="false" ht="15" hidden="false" customHeight="false" outlineLevel="0" collapsed="false">
      <c r="A547" s="0" t="s">
        <v>1497</v>
      </c>
      <c r="B547" s="2" t="n">
        <v>45810</v>
      </c>
      <c r="C547" s="0" t="str">
        <f aca="false">TEXT(B547,"mmm")</f>
        <v>Jun</v>
      </c>
      <c r="D547" s="0" t="str">
        <f aca="false">TEXT(B547,"ddd")</f>
        <v>Mon</v>
      </c>
      <c r="E547" s="3" t="s">
        <v>27</v>
      </c>
      <c r="F547" s="3" t="s">
        <v>31</v>
      </c>
      <c r="G547" s="3" t="s">
        <v>21</v>
      </c>
      <c r="H547" s="3" t="s">
        <v>54</v>
      </c>
      <c r="I547" s="4" t="n">
        <v>659</v>
      </c>
      <c r="J547" s="4" t="n">
        <v>108</v>
      </c>
      <c r="K547" s="4" t="n">
        <v>0</v>
      </c>
      <c r="L547" s="4" t="n">
        <f aca="false">IF(O547="Delivered",I547-J547+K547,0)</f>
        <v>551</v>
      </c>
      <c r="M547" s="0" t="n">
        <v>45</v>
      </c>
      <c r="N547" s="0" t="n">
        <v>4.2</v>
      </c>
      <c r="O547" s="3" t="s">
        <v>17</v>
      </c>
    </row>
    <row r="548" customFormat="false" ht="15" hidden="false" customHeight="false" outlineLevel="0" collapsed="false">
      <c r="A548" s="0" t="s">
        <v>253</v>
      </c>
      <c r="B548" s="2" t="n">
        <v>45811</v>
      </c>
      <c r="C548" s="0" t="str">
        <f aca="false">TEXT(B548,"mmm")</f>
        <v>Jun</v>
      </c>
      <c r="D548" s="0" t="str">
        <f aca="false">TEXT(B548,"ddd")</f>
        <v>Tue</v>
      </c>
      <c r="E548" s="3" t="s">
        <v>27</v>
      </c>
      <c r="F548" s="3" t="s">
        <v>28</v>
      </c>
      <c r="G548" s="3" t="s">
        <v>15</v>
      </c>
      <c r="H548" s="3" t="s">
        <v>36</v>
      </c>
      <c r="I548" s="4" t="n">
        <v>443</v>
      </c>
      <c r="J548" s="4" t="n">
        <v>67</v>
      </c>
      <c r="K548" s="4" t="n">
        <v>40</v>
      </c>
      <c r="L548" s="4" t="n">
        <f aca="false">IF(O548="Delivered",I548-J548+K548,0)</f>
        <v>416</v>
      </c>
      <c r="M548" s="0" t="n">
        <v>47</v>
      </c>
      <c r="N548" s="0" t="n">
        <v>4.2</v>
      </c>
      <c r="O548" s="3" t="s">
        <v>17</v>
      </c>
    </row>
    <row r="549" customFormat="false" ht="15" hidden="false" customHeight="false" outlineLevel="0" collapsed="false">
      <c r="A549" s="0" t="s">
        <v>322</v>
      </c>
      <c r="B549" s="2" t="n">
        <v>45811</v>
      </c>
      <c r="C549" s="0" t="str">
        <f aca="false">TEXT(B549,"mmm")</f>
        <v>Jun</v>
      </c>
      <c r="D549" s="0" t="str">
        <f aca="false">TEXT(B549,"ddd")</f>
        <v>Tue</v>
      </c>
      <c r="E549" s="3" t="s">
        <v>27</v>
      </c>
      <c r="F549" s="3" t="s">
        <v>14</v>
      </c>
      <c r="G549" s="3" t="s">
        <v>21</v>
      </c>
      <c r="H549" s="3" t="s">
        <v>34</v>
      </c>
      <c r="I549" s="4" t="n">
        <v>344</v>
      </c>
      <c r="J549" s="4" t="n">
        <v>0</v>
      </c>
      <c r="K549" s="4" t="n">
        <v>30</v>
      </c>
      <c r="L549" s="4" t="n">
        <f aca="false">IF(O549="Delivered",I549-J549+K549,0)</f>
        <v>374</v>
      </c>
      <c r="M549" s="0" t="n">
        <v>54</v>
      </c>
      <c r="N549" s="0" t="n">
        <v>3.3</v>
      </c>
      <c r="O549" s="3" t="s">
        <v>17</v>
      </c>
    </row>
    <row r="550" customFormat="false" ht="15" hidden="false" customHeight="false" outlineLevel="0" collapsed="false">
      <c r="A550" s="0" t="s">
        <v>363</v>
      </c>
      <c r="B550" s="2" t="n">
        <v>45811</v>
      </c>
      <c r="C550" s="0" t="str">
        <f aca="false">TEXT(B550,"mmm")</f>
        <v>Jun</v>
      </c>
      <c r="D550" s="0" t="str">
        <f aca="false">TEXT(B550,"ddd")</f>
        <v>Tue</v>
      </c>
      <c r="E550" s="3" t="s">
        <v>13</v>
      </c>
      <c r="F550" s="3" t="s">
        <v>56</v>
      </c>
      <c r="G550" s="3" t="s">
        <v>21</v>
      </c>
      <c r="H550" s="3" t="s">
        <v>54</v>
      </c>
      <c r="I550" s="4" t="n">
        <v>335</v>
      </c>
      <c r="J550" s="4" t="n">
        <v>0</v>
      </c>
      <c r="K550" s="4" t="n">
        <v>20</v>
      </c>
      <c r="L550" s="4" t="n">
        <f aca="false">IF(O550="Delivered",I550-J550+K550,0)</f>
        <v>355</v>
      </c>
      <c r="M550" s="0" t="n">
        <v>34</v>
      </c>
      <c r="N550" s="0" t="n">
        <v>4.5</v>
      </c>
      <c r="O550" s="3" t="s">
        <v>17</v>
      </c>
    </row>
    <row r="551" customFormat="false" ht="15" hidden="false" customHeight="false" outlineLevel="0" collapsed="false">
      <c r="A551" s="0" t="s">
        <v>1512</v>
      </c>
      <c r="B551" s="2" t="n">
        <v>45811</v>
      </c>
      <c r="C551" s="0" t="str">
        <f aca="false">TEXT(B551,"mmm")</f>
        <v>Jun</v>
      </c>
      <c r="D551" s="0" t="str">
        <f aca="false">TEXT(B551,"ddd")</f>
        <v>Tue</v>
      </c>
      <c r="E551" s="3" t="s">
        <v>40</v>
      </c>
      <c r="F551" s="3" t="s">
        <v>14</v>
      </c>
      <c r="G551" s="3" t="s">
        <v>15</v>
      </c>
      <c r="H551" s="3" t="s">
        <v>54</v>
      </c>
      <c r="I551" s="4" t="n">
        <v>269</v>
      </c>
      <c r="J551" s="4" t="n">
        <v>58</v>
      </c>
      <c r="K551" s="4" t="n">
        <v>40</v>
      </c>
      <c r="L551" s="4" t="n">
        <f aca="false">IF(O551="Delivered",I551-J551+K551,0)</f>
        <v>251</v>
      </c>
      <c r="M551" s="0" t="n">
        <v>37</v>
      </c>
      <c r="N551" s="0" t="n">
        <v>4.2</v>
      </c>
      <c r="O551" s="3" t="s">
        <v>17</v>
      </c>
    </row>
    <row r="552" customFormat="false" ht="15" hidden="false" customHeight="false" outlineLevel="0" collapsed="false">
      <c r="A552" s="0" t="s">
        <v>474</v>
      </c>
      <c r="B552" s="2" t="n">
        <v>45812</v>
      </c>
      <c r="C552" s="0" t="str">
        <f aca="false">TEXT(B552,"mmm")</f>
        <v>Jun</v>
      </c>
      <c r="D552" s="0" t="str">
        <f aca="false">TEXT(B552,"ddd")</f>
        <v>Wed</v>
      </c>
      <c r="E552" s="3" t="s">
        <v>24</v>
      </c>
      <c r="F552" s="3" t="s">
        <v>25</v>
      </c>
      <c r="G552" s="3" t="s">
        <v>21</v>
      </c>
      <c r="H552" s="3" t="s">
        <v>22</v>
      </c>
      <c r="I552" s="4" t="n">
        <v>389</v>
      </c>
      <c r="J552" s="4" t="n">
        <v>0</v>
      </c>
      <c r="K552" s="4" t="n">
        <v>20</v>
      </c>
      <c r="L552" s="4" t="n">
        <f aca="false">IF(O552="Delivered",I552-J552+K552,0)</f>
        <v>409</v>
      </c>
      <c r="M552" s="0" t="n">
        <v>35</v>
      </c>
      <c r="N552" s="0" t="n">
        <v>4.7</v>
      </c>
      <c r="O552" s="3" t="s">
        <v>17</v>
      </c>
    </row>
    <row r="553" customFormat="false" ht="15" hidden="false" customHeight="false" outlineLevel="0" collapsed="false">
      <c r="A553" s="0" t="s">
        <v>1015</v>
      </c>
      <c r="B553" s="2" t="n">
        <v>45812</v>
      </c>
      <c r="C553" s="0" t="str">
        <f aca="false">TEXT(B553,"mmm")</f>
        <v>Jun</v>
      </c>
      <c r="D553" s="0" t="str">
        <f aca="false">TEXT(B553,"ddd")</f>
        <v>Wed</v>
      </c>
      <c r="E553" s="3" t="s">
        <v>24</v>
      </c>
      <c r="F553" s="3" t="s">
        <v>31</v>
      </c>
      <c r="G553" s="3" t="s">
        <v>21</v>
      </c>
      <c r="H553" s="3" t="s">
        <v>22</v>
      </c>
      <c r="I553" s="4" t="n">
        <v>673</v>
      </c>
      <c r="J553" s="4" t="n">
        <v>0</v>
      </c>
      <c r="K553" s="4" t="n">
        <v>0</v>
      </c>
      <c r="L553" s="4" t="n">
        <f aca="false">IF(O553="Delivered",I553-J553+K553,0)</f>
        <v>673</v>
      </c>
      <c r="M553" s="0" t="n">
        <v>36</v>
      </c>
      <c r="N553" s="0" t="n">
        <v>4.2</v>
      </c>
      <c r="O553" s="3" t="s">
        <v>17</v>
      </c>
    </row>
    <row r="554" customFormat="false" ht="15" hidden="false" customHeight="false" outlineLevel="0" collapsed="false">
      <c r="A554" s="0" t="s">
        <v>1027</v>
      </c>
      <c r="B554" s="2" t="n">
        <v>45812</v>
      </c>
      <c r="C554" s="0" t="str">
        <f aca="false">TEXT(B554,"mmm")</f>
        <v>Jun</v>
      </c>
      <c r="D554" s="0" t="str">
        <f aca="false">TEXT(B554,"ddd")</f>
        <v>Wed</v>
      </c>
      <c r="E554" s="3" t="s">
        <v>30</v>
      </c>
      <c r="F554" s="3" t="s">
        <v>31</v>
      </c>
      <c r="G554" s="3" t="s">
        <v>21</v>
      </c>
      <c r="H554" s="3" t="s">
        <v>54</v>
      </c>
      <c r="I554" s="4" t="n">
        <v>470</v>
      </c>
      <c r="J554" s="4" t="n">
        <v>84</v>
      </c>
      <c r="K554" s="4" t="n">
        <v>20</v>
      </c>
      <c r="L554" s="4" t="n">
        <f aca="false">IF(O554="Delivered",I554-J554+K554,0)</f>
        <v>406</v>
      </c>
      <c r="M554" s="0" t="n">
        <v>39</v>
      </c>
      <c r="N554" s="0" t="n">
        <v>4.1</v>
      </c>
      <c r="O554" s="3" t="s">
        <v>17</v>
      </c>
    </row>
    <row r="555" customFormat="false" ht="15" hidden="false" customHeight="false" outlineLevel="0" collapsed="false">
      <c r="A555" s="0" t="s">
        <v>1536</v>
      </c>
      <c r="B555" s="2" t="n">
        <v>45812</v>
      </c>
      <c r="C555" s="0" t="str">
        <f aca="false">TEXT(B555,"mmm")</f>
        <v>Jun</v>
      </c>
      <c r="D555" s="0" t="str">
        <f aca="false">TEXT(B555,"ddd")</f>
        <v>Wed</v>
      </c>
      <c r="E555" s="3" t="s">
        <v>27</v>
      </c>
      <c r="F555" s="3" t="s">
        <v>20</v>
      </c>
      <c r="G555" s="3" t="s">
        <v>15</v>
      </c>
      <c r="H555" s="3" t="s">
        <v>36</v>
      </c>
      <c r="I555" s="4" t="n">
        <v>656</v>
      </c>
      <c r="J555" s="4" t="n">
        <v>85</v>
      </c>
      <c r="K555" s="4" t="n">
        <v>0</v>
      </c>
      <c r="L555" s="4" t="n">
        <f aca="false">IF(O555="Delivered",I555-J555+K555,0)</f>
        <v>571</v>
      </c>
      <c r="M555" s="0" t="n">
        <v>37</v>
      </c>
      <c r="N555" s="0" t="n">
        <v>4.2</v>
      </c>
      <c r="O555" s="3" t="s">
        <v>17</v>
      </c>
    </row>
    <row r="556" customFormat="false" ht="15" hidden="false" customHeight="false" outlineLevel="0" collapsed="false">
      <c r="A556" s="0" t="s">
        <v>397</v>
      </c>
      <c r="B556" s="2" t="n">
        <v>45813</v>
      </c>
      <c r="C556" s="0" t="str">
        <f aca="false">TEXT(B556,"mmm")</f>
        <v>Jun</v>
      </c>
      <c r="D556" s="0" t="str">
        <f aca="false">TEXT(B556,"ddd")</f>
        <v>Thu</v>
      </c>
      <c r="E556" s="3" t="s">
        <v>30</v>
      </c>
      <c r="F556" s="3" t="s">
        <v>28</v>
      </c>
      <c r="G556" s="3" t="s">
        <v>15</v>
      </c>
      <c r="H556" s="3" t="s">
        <v>16</v>
      </c>
      <c r="I556" s="4" t="n">
        <v>543</v>
      </c>
      <c r="J556" s="4" t="n">
        <v>91</v>
      </c>
      <c r="K556" s="4" t="n">
        <v>0</v>
      </c>
      <c r="L556" s="4" t="n">
        <f aca="false">IF(O556="Delivered",I556-J556+K556,0)</f>
        <v>452</v>
      </c>
      <c r="M556" s="0" t="n">
        <v>35</v>
      </c>
      <c r="N556" s="0" t="n">
        <v>4.2</v>
      </c>
      <c r="O556" s="3" t="s">
        <v>17</v>
      </c>
    </row>
    <row r="557" customFormat="false" ht="15" hidden="false" customHeight="false" outlineLevel="0" collapsed="false">
      <c r="A557" s="0" t="s">
        <v>998</v>
      </c>
      <c r="B557" s="2" t="n">
        <v>45813</v>
      </c>
      <c r="C557" s="0" t="str">
        <f aca="false">TEXT(B557,"mmm")</f>
        <v>Jun</v>
      </c>
      <c r="D557" s="0" t="str">
        <f aca="false">TEXT(B557,"ddd")</f>
        <v>Thu</v>
      </c>
      <c r="E557" s="3" t="s">
        <v>19</v>
      </c>
      <c r="F557" s="3" t="s">
        <v>28</v>
      </c>
      <c r="G557" s="3" t="s">
        <v>21</v>
      </c>
      <c r="H557" s="3" t="s">
        <v>22</v>
      </c>
      <c r="I557" s="4" t="n">
        <v>470</v>
      </c>
      <c r="J557" s="4" t="n">
        <v>0</v>
      </c>
      <c r="K557" s="4" t="n">
        <v>45</v>
      </c>
      <c r="L557" s="4" t="n">
        <f aca="false">IF(O557="Delivered",I557-J557+K557,0)</f>
        <v>515</v>
      </c>
      <c r="M557" s="0" t="n">
        <v>26</v>
      </c>
      <c r="N557" s="0" t="n">
        <v>4.4</v>
      </c>
      <c r="O557" s="3" t="s">
        <v>17</v>
      </c>
    </row>
    <row r="558" customFormat="false" ht="15" hidden="false" customHeight="false" outlineLevel="0" collapsed="false">
      <c r="A558" s="0" t="s">
        <v>1464</v>
      </c>
      <c r="B558" s="2" t="n">
        <v>45813</v>
      </c>
      <c r="C558" s="0" t="str">
        <f aca="false">TEXT(B558,"mmm")</f>
        <v>Jun</v>
      </c>
      <c r="D558" s="0" t="str">
        <f aca="false">TEXT(B558,"ddd")</f>
        <v>Thu</v>
      </c>
      <c r="E558" s="3" t="s">
        <v>27</v>
      </c>
      <c r="F558" s="3" t="s">
        <v>56</v>
      </c>
      <c r="G558" s="3" t="s">
        <v>21</v>
      </c>
      <c r="H558" s="3" t="s">
        <v>54</v>
      </c>
      <c r="I558" s="4" t="n">
        <v>357</v>
      </c>
      <c r="J558" s="4" t="n">
        <v>0</v>
      </c>
      <c r="K558" s="4" t="n">
        <v>30</v>
      </c>
      <c r="L558" s="4" t="n">
        <f aca="false">IF(O558="Delivered",I558-J558+K558,0)</f>
        <v>387</v>
      </c>
      <c r="M558" s="0" t="n">
        <v>48</v>
      </c>
      <c r="N558" s="0" t="n">
        <v>3.6</v>
      </c>
      <c r="O558" s="3" t="s">
        <v>17</v>
      </c>
    </row>
    <row r="559" customFormat="false" ht="15" hidden="false" customHeight="false" outlineLevel="0" collapsed="false">
      <c r="A559" s="0" t="s">
        <v>1642</v>
      </c>
      <c r="B559" s="2" t="n">
        <v>45813</v>
      </c>
      <c r="C559" s="0" t="str">
        <f aca="false">TEXT(B559,"mmm")</f>
        <v>Jun</v>
      </c>
      <c r="D559" s="0" t="str">
        <f aca="false">TEXT(B559,"ddd")</f>
        <v>Thu</v>
      </c>
      <c r="E559" s="3" t="s">
        <v>51</v>
      </c>
      <c r="F559" s="3" t="s">
        <v>14</v>
      </c>
      <c r="G559" s="3" t="s">
        <v>15</v>
      </c>
      <c r="H559" s="3" t="s">
        <v>34</v>
      </c>
      <c r="I559" s="4" t="n">
        <v>204</v>
      </c>
      <c r="J559" s="4" t="n">
        <v>28</v>
      </c>
      <c r="K559" s="4" t="n">
        <v>45</v>
      </c>
      <c r="L559" s="4" t="n">
        <f aca="false">IF(O559="Delivered",I559-J559+K559,0)</f>
        <v>221</v>
      </c>
      <c r="M559" s="0" t="n">
        <v>45</v>
      </c>
      <c r="N559" s="0" t="n">
        <v>3.2</v>
      </c>
      <c r="O559" s="3" t="s">
        <v>17</v>
      </c>
    </row>
    <row r="560" customFormat="false" ht="15" hidden="false" customHeight="false" outlineLevel="0" collapsed="false">
      <c r="A560" s="0" t="s">
        <v>145</v>
      </c>
      <c r="B560" s="2" t="n">
        <v>45814</v>
      </c>
      <c r="C560" s="0" t="str">
        <f aca="false">TEXT(B560,"mmm")</f>
        <v>Jun</v>
      </c>
      <c r="D560" s="0" t="str">
        <f aca="false">TEXT(B560,"ddd")</f>
        <v>Fri</v>
      </c>
      <c r="E560" s="3" t="s">
        <v>27</v>
      </c>
      <c r="F560" s="3" t="s">
        <v>78</v>
      </c>
      <c r="G560" s="3" t="s">
        <v>15</v>
      </c>
      <c r="H560" s="3" t="s">
        <v>34</v>
      </c>
      <c r="I560" s="4" t="n">
        <v>202</v>
      </c>
      <c r="J560" s="4" t="n">
        <v>0</v>
      </c>
      <c r="K560" s="4" t="n">
        <v>45</v>
      </c>
      <c r="L560" s="4" t="n">
        <f aca="false">IF(O560="Delivered",I560-J560+K560,0)</f>
        <v>247</v>
      </c>
      <c r="M560" s="0" t="n">
        <v>60</v>
      </c>
      <c r="N560" s="0" t="n">
        <v>4.2</v>
      </c>
      <c r="O560" s="3" t="s">
        <v>17</v>
      </c>
    </row>
    <row r="561" customFormat="false" ht="15" hidden="false" customHeight="false" outlineLevel="0" collapsed="false">
      <c r="A561" s="0" t="s">
        <v>468</v>
      </c>
      <c r="B561" s="2" t="n">
        <v>45814</v>
      </c>
      <c r="C561" s="0" t="str">
        <f aca="false">TEXT(B561,"mmm")</f>
        <v>Jun</v>
      </c>
      <c r="D561" s="0" t="str">
        <f aca="false">TEXT(B561,"ddd")</f>
        <v>Fri</v>
      </c>
      <c r="E561" s="3" t="s">
        <v>27</v>
      </c>
      <c r="F561" s="3" t="s">
        <v>56</v>
      </c>
      <c r="G561" s="3" t="s">
        <v>21</v>
      </c>
      <c r="H561" s="3" t="s">
        <v>22</v>
      </c>
      <c r="I561" s="4" t="n">
        <v>423</v>
      </c>
      <c r="J561" s="4" t="n">
        <v>63</v>
      </c>
      <c r="K561" s="4" t="n">
        <v>45</v>
      </c>
      <c r="L561" s="4" t="n">
        <f aca="false">IF(O561="Delivered",I561-J561+K561,0)</f>
        <v>0</v>
      </c>
      <c r="O561" s="3" t="s">
        <v>68</v>
      </c>
    </row>
    <row r="562" customFormat="false" ht="15" hidden="false" customHeight="false" outlineLevel="0" collapsed="false">
      <c r="A562" s="0" t="s">
        <v>1440</v>
      </c>
      <c r="B562" s="2" t="n">
        <v>45814</v>
      </c>
      <c r="C562" s="0" t="str">
        <f aca="false">TEXT(B562,"mmm")</f>
        <v>Jun</v>
      </c>
      <c r="D562" s="0" t="str">
        <f aca="false">TEXT(B562,"ddd")</f>
        <v>Fri</v>
      </c>
      <c r="E562" s="3" t="s">
        <v>30</v>
      </c>
      <c r="F562" s="3" t="s">
        <v>56</v>
      </c>
      <c r="G562" s="3" t="s">
        <v>21</v>
      </c>
      <c r="H562" s="3" t="s">
        <v>54</v>
      </c>
      <c r="I562" s="4" t="n">
        <v>278</v>
      </c>
      <c r="J562" s="4" t="n">
        <v>0</v>
      </c>
      <c r="K562" s="4" t="n">
        <v>30</v>
      </c>
      <c r="L562" s="4" t="n">
        <f aca="false">IF(O562="Delivered",I562-J562+K562,0)</f>
        <v>308</v>
      </c>
      <c r="M562" s="0" t="n">
        <v>26</v>
      </c>
      <c r="N562" s="0" t="n">
        <v>3.5</v>
      </c>
      <c r="O562" s="3" t="s">
        <v>17</v>
      </c>
    </row>
    <row r="563" customFormat="false" ht="15" hidden="false" customHeight="false" outlineLevel="0" collapsed="false">
      <c r="A563" s="0" t="s">
        <v>385</v>
      </c>
      <c r="B563" s="2" t="n">
        <v>45815</v>
      </c>
      <c r="C563" s="0" t="str">
        <f aca="false">TEXT(B563,"mmm")</f>
        <v>Jun</v>
      </c>
      <c r="D563" s="0" t="str">
        <f aca="false">TEXT(B563,"ddd")</f>
        <v>Sat</v>
      </c>
      <c r="E563" s="3" t="s">
        <v>40</v>
      </c>
      <c r="F563" s="3" t="s">
        <v>31</v>
      </c>
      <c r="G563" s="3" t="s">
        <v>21</v>
      </c>
      <c r="H563" s="3" t="s">
        <v>36</v>
      </c>
      <c r="I563" s="4" t="n">
        <v>670</v>
      </c>
      <c r="J563" s="4" t="n">
        <v>88</v>
      </c>
      <c r="K563" s="4" t="n">
        <v>0</v>
      </c>
      <c r="L563" s="4" t="n">
        <f aca="false">IF(O563="Delivered",I563-J563+K563,0)</f>
        <v>582</v>
      </c>
      <c r="M563" s="0" t="n">
        <v>32</v>
      </c>
      <c r="N563" s="0" t="n">
        <v>3.5</v>
      </c>
      <c r="O563" s="3" t="s">
        <v>17</v>
      </c>
    </row>
    <row r="564" customFormat="false" ht="15" hidden="false" customHeight="false" outlineLevel="0" collapsed="false">
      <c r="A564" s="0" t="s">
        <v>864</v>
      </c>
      <c r="B564" s="2" t="n">
        <v>45815</v>
      </c>
      <c r="C564" s="0" t="str">
        <f aca="false">TEXT(B564,"mmm")</f>
        <v>Jun</v>
      </c>
      <c r="D564" s="0" t="str">
        <f aca="false">TEXT(B564,"ddd")</f>
        <v>Sat</v>
      </c>
      <c r="E564" s="3" t="s">
        <v>51</v>
      </c>
      <c r="F564" s="3" t="s">
        <v>20</v>
      </c>
      <c r="G564" s="3" t="s">
        <v>21</v>
      </c>
      <c r="H564" s="3" t="s">
        <v>36</v>
      </c>
      <c r="I564" s="4" t="n">
        <v>613</v>
      </c>
      <c r="J564" s="4" t="n">
        <v>0</v>
      </c>
      <c r="K564" s="4" t="n">
        <v>0</v>
      </c>
      <c r="L564" s="4" t="n">
        <f aca="false">IF(O564="Delivered",I564-J564+K564,0)</f>
        <v>613</v>
      </c>
      <c r="M564" s="0" t="n">
        <v>53</v>
      </c>
      <c r="N564" s="0" t="n">
        <v>4.1</v>
      </c>
      <c r="O564" s="3" t="s">
        <v>17</v>
      </c>
    </row>
    <row r="565" customFormat="false" ht="15" hidden="false" customHeight="false" outlineLevel="0" collapsed="false">
      <c r="A565" s="0" t="s">
        <v>1378</v>
      </c>
      <c r="B565" s="2" t="n">
        <v>45815</v>
      </c>
      <c r="C565" s="0" t="str">
        <f aca="false">TEXT(B565,"mmm")</f>
        <v>Jun</v>
      </c>
      <c r="D565" s="0" t="str">
        <f aca="false">TEXT(B565,"ddd")</f>
        <v>Sat</v>
      </c>
      <c r="E565" s="3" t="s">
        <v>40</v>
      </c>
      <c r="F565" s="3" t="s">
        <v>31</v>
      </c>
      <c r="G565" s="3" t="s">
        <v>21</v>
      </c>
      <c r="H565" s="3" t="s">
        <v>34</v>
      </c>
      <c r="I565" s="4" t="n">
        <v>527</v>
      </c>
      <c r="J565" s="4" t="n">
        <v>0</v>
      </c>
      <c r="K565" s="4" t="n">
        <v>0</v>
      </c>
      <c r="L565" s="4" t="n">
        <f aca="false">IF(O565="Delivered",I565-J565+K565,0)</f>
        <v>527</v>
      </c>
      <c r="M565" s="0" t="n">
        <v>42</v>
      </c>
      <c r="N565" s="0" t="n">
        <v>3.7</v>
      </c>
      <c r="O565" s="3" t="s">
        <v>17</v>
      </c>
    </row>
    <row r="566" customFormat="false" ht="15" hidden="false" customHeight="false" outlineLevel="0" collapsed="false">
      <c r="A566" s="0" t="s">
        <v>1603</v>
      </c>
      <c r="B566" s="2" t="n">
        <v>45815</v>
      </c>
      <c r="C566" s="0" t="str">
        <f aca="false">TEXT(B566,"mmm")</f>
        <v>Jun</v>
      </c>
      <c r="D566" s="0" t="str">
        <f aca="false">TEXT(B566,"ddd")</f>
        <v>Sat</v>
      </c>
      <c r="E566" s="3" t="s">
        <v>13</v>
      </c>
      <c r="F566" s="3" t="s">
        <v>25</v>
      </c>
      <c r="G566" s="3" t="s">
        <v>15</v>
      </c>
      <c r="H566" s="3" t="s">
        <v>16</v>
      </c>
      <c r="I566" s="4" t="n">
        <v>353</v>
      </c>
      <c r="J566" s="4" t="n">
        <v>0</v>
      </c>
      <c r="K566" s="4" t="n">
        <v>30</v>
      </c>
      <c r="L566" s="4" t="n">
        <f aca="false">IF(O566="Delivered",I566-J566+K566,0)</f>
        <v>383</v>
      </c>
      <c r="M566" s="0" t="n">
        <v>33</v>
      </c>
      <c r="O566" s="3" t="s">
        <v>17</v>
      </c>
    </row>
    <row r="567" customFormat="false" ht="15" hidden="false" customHeight="false" outlineLevel="0" collapsed="false">
      <c r="A567" s="0" t="s">
        <v>91</v>
      </c>
      <c r="B567" s="2" t="n">
        <v>45816</v>
      </c>
      <c r="C567" s="0" t="str">
        <f aca="false">TEXT(B567,"mmm")</f>
        <v>Jun</v>
      </c>
      <c r="D567" s="0" t="str">
        <f aca="false">TEXT(B567,"ddd")</f>
        <v>Sun</v>
      </c>
      <c r="E567" s="3" t="s">
        <v>24</v>
      </c>
      <c r="F567" s="3" t="s">
        <v>56</v>
      </c>
      <c r="G567" s="3" t="s">
        <v>21</v>
      </c>
      <c r="H567" s="3" t="s">
        <v>22</v>
      </c>
      <c r="I567" s="4" t="n">
        <v>430</v>
      </c>
      <c r="J567" s="4" t="n">
        <v>90</v>
      </c>
      <c r="K567" s="4" t="n">
        <v>20</v>
      </c>
      <c r="L567" s="4" t="n">
        <f aca="false">IF(O567="Delivered",I567-J567+K567,0)</f>
        <v>360</v>
      </c>
      <c r="M567" s="0" t="n">
        <v>23</v>
      </c>
      <c r="N567" s="0" t="n">
        <v>4.6</v>
      </c>
      <c r="O567" s="3" t="s">
        <v>17</v>
      </c>
    </row>
    <row r="568" customFormat="false" ht="15" hidden="false" customHeight="false" outlineLevel="0" collapsed="false">
      <c r="A568" s="0" t="s">
        <v>641</v>
      </c>
      <c r="B568" s="2" t="n">
        <v>45816</v>
      </c>
      <c r="C568" s="0" t="str">
        <f aca="false">TEXT(B568,"mmm")</f>
        <v>Jun</v>
      </c>
      <c r="D568" s="0" t="str">
        <f aca="false">TEXT(B568,"ddd")</f>
        <v>Sun</v>
      </c>
      <c r="E568" s="3" t="s">
        <v>24</v>
      </c>
      <c r="F568" s="3" t="s">
        <v>56</v>
      </c>
      <c r="G568" s="3" t="s">
        <v>15</v>
      </c>
      <c r="H568" s="3" t="s">
        <v>36</v>
      </c>
      <c r="I568" s="4" t="n">
        <v>211</v>
      </c>
      <c r="J568" s="4" t="n">
        <v>39</v>
      </c>
      <c r="K568" s="4" t="n">
        <v>45</v>
      </c>
      <c r="L568" s="4" t="n">
        <f aca="false">IF(O568="Delivered",I568-J568+K568,0)</f>
        <v>217</v>
      </c>
      <c r="M568" s="0" t="n">
        <v>38</v>
      </c>
      <c r="N568" s="0" t="n">
        <v>5</v>
      </c>
      <c r="O568" s="3" t="s">
        <v>17</v>
      </c>
    </row>
    <row r="569" customFormat="false" ht="15" hidden="false" customHeight="false" outlineLevel="0" collapsed="false">
      <c r="A569" s="0" t="s">
        <v>1468</v>
      </c>
      <c r="B569" s="2" t="n">
        <v>45816</v>
      </c>
      <c r="C569" s="0" t="str">
        <f aca="false">TEXT(B569,"mmm")</f>
        <v>Jun</v>
      </c>
      <c r="D569" s="0" t="str">
        <f aca="false">TEXT(B569,"ddd")</f>
        <v>Sun</v>
      </c>
      <c r="E569" s="3" t="s">
        <v>30</v>
      </c>
      <c r="F569" s="3" t="s">
        <v>28</v>
      </c>
      <c r="G569" s="3" t="s">
        <v>21</v>
      </c>
      <c r="H569" s="3" t="s">
        <v>34</v>
      </c>
      <c r="I569" s="4" t="n">
        <v>346</v>
      </c>
      <c r="J569" s="4" t="n">
        <v>55</v>
      </c>
      <c r="K569" s="4" t="n">
        <v>20</v>
      </c>
      <c r="L569" s="4" t="n">
        <f aca="false">IF(O569="Delivered",I569-J569+K569,0)</f>
        <v>311</v>
      </c>
      <c r="M569" s="0" t="n">
        <v>39</v>
      </c>
      <c r="N569" s="0" t="n">
        <v>4</v>
      </c>
      <c r="O569" s="3" t="s">
        <v>17</v>
      </c>
    </row>
    <row r="570" customFormat="false" ht="15" hidden="false" customHeight="false" outlineLevel="0" collapsed="false">
      <c r="A570" s="0" t="s">
        <v>1263</v>
      </c>
      <c r="B570" s="2" t="n">
        <v>45817</v>
      </c>
      <c r="C570" s="0" t="str">
        <f aca="false">TEXT(B570,"mmm")</f>
        <v>Jun</v>
      </c>
      <c r="D570" s="0" t="str">
        <f aca="false">TEXT(B570,"ddd")</f>
        <v>Mon</v>
      </c>
      <c r="E570" s="3" t="s">
        <v>24</v>
      </c>
      <c r="F570" s="3" t="s">
        <v>28</v>
      </c>
      <c r="G570" s="3" t="s">
        <v>21</v>
      </c>
      <c r="H570" s="3" t="s">
        <v>16</v>
      </c>
      <c r="I570" s="4" t="n">
        <v>486</v>
      </c>
      <c r="J570" s="4" t="n">
        <v>0</v>
      </c>
      <c r="K570" s="4" t="n">
        <v>45</v>
      </c>
      <c r="L570" s="4" t="n">
        <f aca="false">IF(O570="Delivered",I570-J570+K570,0)</f>
        <v>531</v>
      </c>
      <c r="M570" s="0" t="n">
        <v>35</v>
      </c>
      <c r="N570" s="0" t="n">
        <v>4.6</v>
      </c>
      <c r="O570" s="3" t="s">
        <v>17</v>
      </c>
    </row>
    <row r="571" customFormat="false" ht="15" hidden="false" customHeight="false" outlineLevel="0" collapsed="false">
      <c r="A571" s="0" t="s">
        <v>1455</v>
      </c>
      <c r="B571" s="2" t="n">
        <v>45817</v>
      </c>
      <c r="C571" s="0" t="str">
        <f aca="false">TEXT(B571,"mmm")</f>
        <v>Jun</v>
      </c>
      <c r="D571" s="0" t="str">
        <f aca="false">TEXT(B571,"ddd")</f>
        <v>Mon</v>
      </c>
      <c r="E571" s="3" t="s">
        <v>13</v>
      </c>
      <c r="F571" s="3" t="s">
        <v>49</v>
      </c>
      <c r="G571" s="3" t="s">
        <v>21</v>
      </c>
      <c r="H571" s="3" t="s">
        <v>36</v>
      </c>
      <c r="I571" s="4" t="n">
        <v>596</v>
      </c>
      <c r="J571" s="4" t="n">
        <v>0</v>
      </c>
      <c r="K571" s="4" t="n">
        <v>0</v>
      </c>
      <c r="L571" s="4" t="n">
        <f aca="false">IF(O571="Delivered",I571-J571+K571,0)</f>
        <v>596</v>
      </c>
      <c r="M571" s="0" t="n">
        <v>31</v>
      </c>
      <c r="N571" s="0" t="n">
        <v>4</v>
      </c>
      <c r="O571" s="3" t="s">
        <v>17</v>
      </c>
    </row>
    <row r="572" customFormat="false" ht="15" hidden="false" customHeight="false" outlineLevel="0" collapsed="false">
      <c r="A572" s="0" t="s">
        <v>1605</v>
      </c>
      <c r="B572" s="2" t="n">
        <v>45817</v>
      </c>
      <c r="C572" s="0" t="str">
        <f aca="false">TEXT(B572,"mmm")</f>
        <v>Jun</v>
      </c>
      <c r="D572" s="0" t="str">
        <f aca="false">TEXT(B572,"ddd")</f>
        <v>Mon</v>
      </c>
      <c r="E572" s="3" t="s">
        <v>27</v>
      </c>
      <c r="F572" s="3" t="s">
        <v>56</v>
      </c>
      <c r="G572" s="3" t="s">
        <v>15</v>
      </c>
      <c r="H572" s="3" t="s">
        <v>22</v>
      </c>
      <c r="I572" s="4" t="n">
        <v>467</v>
      </c>
      <c r="J572" s="4" t="n">
        <v>59</v>
      </c>
      <c r="K572" s="4" t="n">
        <v>40</v>
      </c>
      <c r="L572" s="4" t="n">
        <f aca="false">IF(O572="Delivered",I572-J572+K572,0)</f>
        <v>448</v>
      </c>
      <c r="M572" s="0" t="n">
        <v>37</v>
      </c>
      <c r="N572" s="0" t="n">
        <v>3.8</v>
      </c>
      <c r="O572" s="3" t="s">
        <v>17</v>
      </c>
    </row>
    <row r="573" customFormat="false" ht="15" hidden="false" customHeight="false" outlineLevel="0" collapsed="false">
      <c r="A573" s="0" t="s">
        <v>349</v>
      </c>
      <c r="B573" s="2" t="n">
        <v>45818</v>
      </c>
      <c r="C573" s="0" t="str">
        <f aca="false">TEXT(B573,"mmm")</f>
        <v>Jun</v>
      </c>
      <c r="D573" s="0" t="str">
        <f aca="false">TEXT(B573,"ddd")</f>
        <v>Tue</v>
      </c>
      <c r="E573" s="3" t="s">
        <v>27</v>
      </c>
      <c r="F573" s="3" t="s">
        <v>14</v>
      </c>
      <c r="G573" s="3" t="s">
        <v>15</v>
      </c>
      <c r="H573" s="3" t="s">
        <v>36</v>
      </c>
      <c r="I573" s="4" t="n">
        <v>379</v>
      </c>
      <c r="J573" s="4" t="n">
        <v>83</v>
      </c>
      <c r="K573" s="4" t="n">
        <v>20</v>
      </c>
      <c r="L573" s="4" t="n">
        <f aca="false">IF(O573="Delivered",I573-J573+K573,0)</f>
        <v>316</v>
      </c>
      <c r="M573" s="0" t="n">
        <v>41</v>
      </c>
      <c r="O573" s="3" t="s">
        <v>17</v>
      </c>
    </row>
    <row r="574" customFormat="false" ht="15" hidden="false" customHeight="false" outlineLevel="0" collapsed="false">
      <c r="A574" s="0" t="s">
        <v>656</v>
      </c>
      <c r="B574" s="2" t="n">
        <v>45818</v>
      </c>
      <c r="C574" s="0" t="str">
        <f aca="false">TEXT(B574,"mmm")</f>
        <v>Jun</v>
      </c>
      <c r="D574" s="0" t="str">
        <f aca="false">TEXT(B574,"ddd")</f>
        <v>Tue</v>
      </c>
      <c r="E574" s="3" t="s">
        <v>27</v>
      </c>
      <c r="F574" s="3" t="s">
        <v>56</v>
      </c>
      <c r="G574" s="3" t="s">
        <v>15</v>
      </c>
      <c r="H574" s="3" t="s">
        <v>22</v>
      </c>
      <c r="I574" s="4" t="n">
        <v>426</v>
      </c>
      <c r="J574" s="4" t="n">
        <v>0</v>
      </c>
      <c r="K574" s="4" t="n">
        <v>40</v>
      </c>
      <c r="L574" s="4" t="n">
        <f aca="false">IF(O574="Delivered",I574-J574+K574,0)</f>
        <v>466</v>
      </c>
      <c r="M574" s="0" t="n">
        <v>55</v>
      </c>
      <c r="N574" s="0" t="n">
        <v>3.4</v>
      </c>
      <c r="O574" s="3" t="s">
        <v>17</v>
      </c>
    </row>
    <row r="575" customFormat="false" ht="15" hidden="false" customHeight="false" outlineLevel="0" collapsed="false">
      <c r="A575" s="0" t="s">
        <v>799</v>
      </c>
      <c r="B575" s="2" t="n">
        <v>45818</v>
      </c>
      <c r="C575" s="0" t="str">
        <f aca="false">TEXT(B575,"mmm")</f>
        <v>Jun</v>
      </c>
      <c r="D575" s="0" t="str">
        <f aca="false">TEXT(B575,"ddd")</f>
        <v>Tue</v>
      </c>
      <c r="E575" s="3" t="s">
        <v>27</v>
      </c>
      <c r="F575" s="3" t="s">
        <v>14</v>
      </c>
      <c r="G575" s="3" t="s">
        <v>15</v>
      </c>
      <c r="H575" s="3" t="s">
        <v>22</v>
      </c>
      <c r="I575" s="4" t="n">
        <v>395</v>
      </c>
      <c r="J575" s="4" t="n">
        <v>60</v>
      </c>
      <c r="K575" s="4" t="n">
        <v>20</v>
      </c>
      <c r="L575" s="4" t="n">
        <f aca="false">IF(O575="Delivered",I575-J575+K575,0)</f>
        <v>355</v>
      </c>
      <c r="M575" s="0" t="n">
        <v>43</v>
      </c>
      <c r="N575" s="0" t="n">
        <v>4</v>
      </c>
      <c r="O575" s="3" t="s">
        <v>17</v>
      </c>
    </row>
    <row r="576" customFormat="false" ht="15" hidden="false" customHeight="false" outlineLevel="0" collapsed="false">
      <c r="A576" s="0" t="s">
        <v>870</v>
      </c>
      <c r="B576" s="2" t="n">
        <v>45818</v>
      </c>
      <c r="C576" s="0" t="str">
        <f aca="false">TEXT(B576,"mmm")</f>
        <v>Jun</v>
      </c>
      <c r="D576" s="0" t="str">
        <f aca="false">TEXT(B576,"ddd")</f>
        <v>Tue</v>
      </c>
      <c r="E576" s="3" t="s">
        <v>24</v>
      </c>
      <c r="F576" s="3" t="s">
        <v>14</v>
      </c>
      <c r="G576" s="3" t="s">
        <v>21</v>
      </c>
      <c r="H576" s="3" t="s">
        <v>36</v>
      </c>
      <c r="I576" s="4" t="n">
        <v>395</v>
      </c>
      <c r="J576" s="4" t="n">
        <v>0</v>
      </c>
      <c r="K576" s="4" t="n">
        <v>45</v>
      </c>
      <c r="L576" s="4" t="n">
        <f aca="false">IF(O576="Delivered",I576-J576+K576,0)</f>
        <v>440</v>
      </c>
      <c r="M576" s="0" t="n">
        <v>42</v>
      </c>
      <c r="N576" s="0" t="n">
        <v>4.2</v>
      </c>
      <c r="O576" s="3" t="s">
        <v>17</v>
      </c>
    </row>
    <row r="577" customFormat="false" ht="15" hidden="false" customHeight="false" outlineLevel="0" collapsed="false">
      <c r="A577" s="0" t="s">
        <v>1018</v>
      </c>
      <c r="B577" s="2" t="n">
        <v>45818</v>
      </c>
      <c r="C577" s="0" t="str">
        <f aca="false">TEXT(B577,"mmm")</f>
        <v>Jun</v>
      </c>
      <c r="D577" s="0" t="str">
        <f aca="false">TEXT(B577,"ddd")</f>
        <v>Tue</v>
      </c>
      <c r="E577" s="3" t="s">
        <v>45</v>
      </c>
      <c r="F577" s="3" t="s">
        <v>31</v>
      </c>
      <c r="G577" s="3" t="s">
        <v>15</v>
      </c>
      <c r="H577" s="3" t="s">
        <v>22</v>
      </c>
      <c r="I577" s="4" t="n">
        <v>593</v>
      </c>
      <c r="J577" s="4" t="n">
        <v>86</v>
      </c>
      <c r="K577" s="4" t="n">
        <v>0</v>
      </c>
      <c r="L577" s="4" t="n">
        <f aca="false">IF(O577="Delivered",I577-J577+K577,0)</f>
        <v>507</v>
      </c>
      <c r="M577" s="0" t="n">
        <v>41</v>
      </c>
      <c r="N577" s="0" t="n">
        <v>4.8</v>
      </c>
      <c r="O577" s="3" t="s">
        <v>17</v>
      </c>
    </row>
    <row r="578" customFormat="false" ht="15" hidden="false" customHeight="false" outlineLevel="0" collapsed="false">
      <c r="A578" s="0" t="s">
        <v>1028</v>
      </c>
      <c r="B578" s="2" t="n">
        <v>45818</v>
      </c>
      <c r="C578" s="0" t="str">
        <f aca="false">TEXT(B578,"mmm")</f>
        <v>Jun</v>
      </c>
      <c r="D578" s="0" t="str">
        <f aca="false">TEXT(B578,"ddd")</f>
        <v>Tue</v>
      </c>
      <c r="E578" s="3" t="s">
        <v>19</v>
      </c>
      <c r="F578" s="3" t="s">
        <v>78</v>
      </c>
      <c r="G578" s="3" t="s">
        <v>15</v>
      </c>
      <c r="H578" s="3" t="s">
        <v>16</v>
      </c>
      <c r="I578" s="4" t="n">
        <v>396</v>
      </c>
      <c r="J578" s="4" t="n">
        <v>0</v>
      </c>
      <c r="K578" s="4" t="n">
        <v>20</v>
      </c>
      <c r="L578" s="4" t="n">
        <f aca="false">IF(O578="Delivered",I578-J578+K578,0)</f>
        <v>416</v>
      </c>
      <c r="M578" s="0" t="n">
        <v>30</v>
      </c>
      <c r="N578" s="0" t="n">
        <v>4.1</v>
      </c>
      <c r="O578" s="3" t="s">
        <v>17</v>
      </c>
    </row>
    <row r="579" customFormat="false" ht="15" hidden="false" customHeight="false" outlineLevel="0" collapsed="false">
      <c r="A579" s="0" t="s">
        <v>1157</v>
      </c>
      <c r="B579" s="2" t="n">
        <v>45818</v>
      </c>
      <c r="C579" s="0" t="str">
        <f aca="false">TEXT(B579,"mmm")</f>
        <v>Jun</v>
      </c>
      <c r="D579" s="0" t="str">
        <f aca="false">TEXT(B579,"ddd")</f>
        <v>Tue</v>
      </c>
      <c r="E579" s="3" t="s">
        <v>40</v>
      </c>
      <c r="F579" s="3" t="s">
        <v>31</v>
      </c>
      <c r="G579" s="3" t="s">
        <v>21</v>
      </c>
      <c r="H579" s="3" t="s">
        <v>16</v>
      </c>
      <c r="I579" s="4" t="n">
        <v>553</v>
      </c>
      <c r="J579" s="4" t="n">
        <v>0</v>
      </c>
      <c r="K579" s="4" t="n">
        <v>0</v>
      </c>
      <c r="L579" s="4" t="n">
        <f aca="false">IF(O579="Delivered",I579-J579+K579,0)</f>
        <v>553</v>
      </c>
      <c r="M579" s="0" t="n">
        <v>49</v>
      </c>
      <c r="O579" s="3" t="s">
        <v>17</v>
      </c>
    </row>
    <row r="580" customFormat="false" ht="15" hidden="false" customHeight="false" outlineLevel="0" collapsed="false">
      <c r="A580" s="0" t="s">
        <v>1330</v>
      </c>
      <c r="B580" s="2" t="n">
        <v>45818</v>
      </c>
      <c r="C580" s="0" t="str">
        <f aca="false">TEXT(B580,"mmm")</f>
        <v>Jun</v>
      </c>
      <c r="D580" s="0" t="str">
        <f aca="false">TEXT(B580,"ddd")</f>
        <v>Tue</v>
      </c>
      <c r="E580" s="3" t="s">
        <v>27</v>
      </c>
      <c r="F580" s="3" t="s">
        <v>78</v>
      </c>
      <c r="G580" s="3" t="s">
        <v>21</v>
      </c>
      <c r="H580" s="3" t="s">
        <v>16</v>
      </c>
      <c r="I580" s="4" t="n">
        <v>240</v>
      </c>
      <c r="J580" s="4" t="n">
        <v>0</v>
      </c>
      <c r="K580" s="4" t="n">
        <v>30</v>
      </c>
      <c r="L580" s="4" t="n">
        <f aca="false">IF(O580="Delivered",I580-J580+K580,0)</f>
        <v>270</v>
      </c>
      <c r="M580" s="0" t="n">
        <v>38</v>
      </c>
      <c r="N580" s="0" t="n">
        <v>4.2</v>
      </c>
      <c r="O580" s="3" t="s">
        <v>17</v>
      </c>
    </row>
    <row r="581" customFormat="false" ht="15" hidden="false" customHeight="false" outlineLevel="0" collapsed="false">
      <c r="A581" s="0" t="s">
        <v>1355</v>
      </c>
      <c r="B581" s="2" t="n">
        <v>45818</v>
      </c>
      <c r="C581" s="0" t="str">
        <f aca="false">TEXT(B581,"mmm")</f>
        <v>Jun</v>
      </c>
      <c r="D581" s="0" t="str">
        <f aca="false">TEXT(B581,"ddd")</f>
        <v>Tue</v>
      </c>
      <c r="E581" s="3" t="s">
        <v>24</v>
      </c>
      <c r="F581" s="3" t="s">
        <v>28</v>
      </c>
      <c r="G581" s="3" t="s">
        <v>15</v>
      </c>
      <c r="H581" s="3" t="s">
        <v>22</v>
      </c>
      <c r="I581" s="4" t="n">
        <v>523</v>
      </c>
      <c r="J581" s="4" t="n">
        <v>0</v>
      </c>
      <c r="K581" s="4" t="n">
        <v>0</v>
      </c>
      <c r="L581" s="4" t="n">
        <f aca="false">IF(O581="Delivered",I581-J581+K581,0)</f>
        <v>523</v>
      </c>
      <c r="M581" s="0" t="n">
        <v>51</v>
      </c>
      <c r="N581" s="0" t="n">
        <v>4.2</v>
      </c>
      <c r="O581" s="3" t="s">
        <v>17</v>
      </c>
    </row>
    <row r="582" customFormat="false" ht="15" hidden="false" customHeight="false" outlineLevel="0" collapsed="false">
      <c r="A582" s="0" t="s">
        <v>1479</v>
      </c>
      <c r="B582" s="2" t="n">
        <v>45818</v>
      </c>
      <c r="C582" s="0" t="str">
        <f aca="false">TEXT(B582,"mmm")</f>
        <v>Jun</v>
      </c>
      <c r="D582" s="0" t="str">
        <f aca="false">TEXT(B582,"ddd")</f>
        <v>Tue</v>
      </c>
      <c r="E582" s="3" t="s">
        <v>40</v>
      </c>
      <c r="F582" s="3" t="s">
        <v>56</v>
      </c>
      <c r="G582" s="3" t="s">
        <v>21</v>
      </c>
      <c r="H582" s="3" t="s">
        <v>22</v>
      </c>
      <c r="I582" s="4" t="n">
        <v>383</v>
      </c>
      <c r="J582" s="4" t="n">
        <v>0</v>
      </c>
      <c r="K582" s="4" t="n">
        <v>20</v>
      </c>
      <c r="L582" s="4" t="n">
        <f aca="false">IF(O582="Delivered",I582-J582+K582,0)</f>
        <v>403</v>
      </c>
      <c r="M582" s="0" t="n">
        <v>28</v>
      </c>
      <c r="N582" s="0" t="n">
        <v>4.2</v>
      </c>
      <c r="O582" s="3" t="s">
        <v>17</v>
      </c>
    </row>
    <row r="583" customFormat="false" ht="15" hidden="false" customHeight="false" outlineLevel="0" collapsed="false">
      <c r="A583" s="0" t="s">
        <v>782</v>
      </c>
      <c r="B583" s="2" t="n">
        <v>45819</v>
      </c>
      <c r="C583" s="0" t="str">
        <f aca="false">TEXT(B583,"mmm")</f>
        <v>Jun</v>
      </c>
      <c r="D583" s="0" t="str">
        <f aca="false">TEXT(B583,"ddd")</f>
        <v>Wed</v>
      </c>
      <c r="E583" s="3" t="s">
        <v>40</v>
      </c>
      <c r="F583" s="3" t="s">
        <v>31</v>
      </c>
      <c r="G583" s="3" t="s">
        <v>15</v>
      </c>
      <c r="H583" s="3" t="s">
        <v>16</v>
      </c>
      <c r="I583" s="4" t="n">
        <v>597</v>
      </c>
      <c r="J583" s="4" t="n">
        <v>114</v>
      </c>
      <c r="K583" s="4" t="n">
        <v>0</v>
      </c>
      <c r="L583" s="4" t="n">
        <f aca="false">IF(O583="Delivered",I583-J583+K583,0)</f>
        <v>483</v>
      </c>
      <c r="M583" s="0" t="n">
        <v>34</v>
      </c>
      <c r="N583" s="0" t="n">
        <v>4.9</v>
      </c>
      <c r="O583" s="3" t="s">
        <v>17</v>
      </c>
    </row>
    <row r="584" customFormat="false" ht="15" hidden="false" customHeight="false" outlineLevel="0" collapsed="false">
      <c r="A584" s="0" t="s">
        <v>970</v>
      </c>
      <c r="B584" s="2" t="n">
        <v>45819</v>
      </c>
      <c r="C584" s="0" t="str">
        <f aca="false">TEXT(B584,"mmm")</f>
        <v>Jun</v>
      </c>
      <c r="D584" s="0" t="str">
        <f aca="false">TEXT(B584,"ddd")</f>
        <v>Wed</v>
      </c>
      <c r="E584" s="3" t="s">
        <v>30</v>
      </c>
      <c r="F584" s="3" t="s">
        <v>56</v>
      </c>
      <c r="G584" s="3" t="s">
        <v>15</v>
      </c>
      <c r="H584" s="3" t="s">
        <v>22</v>
      </c>
      <c r="I584" s="4" t="n">
        <v>465</v>
      </c>
      <c r="J584" s="4" t="n">
        <v>69</v>
      </c>
      <c r="K584" s="4" t="n">
        <v>40</v>
      </c>
      <c r="L584" s="4" t="n">
        <f aca="false">IF(O584="Delivered",I584-J584+K584,0)</f>
        <v>436</v>
      </c>
      <c r="M584" s="0" t="n">
        <v>24</v>
      </c>
      <c r="N584" s="0" t="n">
        <v>5</v>
      </c>
      <c r="O584" s="3" t="s">
        <v>17</v>
      </c>
    </row>
    <row r="585" customFormat="false" ht="15" hidden="false" customHeight="false" outlineLevel="0" collapsed="false">
      <c r="A585" s="0" t="s">
        <v>985</v>
      </c>
      <c r="B585" s="2" t="n">
        <v>45819</v>
      </c>
      <c r="C585" s="0" t="str">
        <f aca="false">TEXT(B585,"mmm")</f>
        <v>Jun</v>
      </c>
      <c r="D585" s="0" t="str">
        <f aca="false">TEXT(B585,"ddd")</f>
        <v>Wed</v>
      </c>
      <c r="E585" s="3" t="s">
        <v>45</v>
      </c>
      <c r="F585" s="3" t="s">
        <v>28</v>
      </c>
      <c r="G585" s="3" t="s">
        <v>21</v>
      </c>
      <c r="H585" s="3" t="s">
        <v>22</v>
      </c>
      <c r="I585" s="4" t="n">
        <v>393</v>
      </c>
      <c r="J585" s="4" t="n">
        <v>62</v>
      </c>
      <c r="K585" s="4" t="n">
        <v>20</v>
      </c>
      <c r="L585" s="4" t="n">
        <f aca="false">IF(O585="Delivered",I585-J585+K585,0)</f>
        <v>351</v>
      </c>
      <c r="M585" s="0" t="n">
        <v>47</v>
      </c>
      <c r="N585" s="0" t="n">
        <v>4.5</v>
      </c>
      <c r="O585" s="3" t="s">
        <v>17</v>
      </c>
    </row>
    <row r="586" customFormat="false" ht="15" hidden="false" customHeight="false" outlineLevel="0" collapsed="false">
      <c r="A586" s="0" t="s">
        <v>289</v>
      </c>
      <c r="B586" s="2" t="n">
        <v>45820</v>
      </c>
      <c r="C586" s="0" t="str">
        <f aca="false">TEXT(B586,"mmm")</f>
        <v>Jun</v>
      </c>
      <c r="D586" s="0" t="str">
        <f aca="false">TEXT(B586,"ddd")</f>
        <v>Thu</v>
      </c>
      <c r="E586" s="3" t="s">
        <v>30</v>
      </c>
      <c r="F586" s="3" t="s">
        <v>25</v>
      </c>
      <c r="G586" s="3" t="s">
        <v>15</v>
      </c>
      <c r="H586" s="3" t="s">
        <v>16</v>
      </c>
      <c r="I586" s="4" t="n">
        <v>439</v>
      </c>
      <c r="J586" s="4" t="n">
        <v>94</v>
      </c>
      <c r="K586" s="4" t="n">
        <v>40</v>
      </c>
      <c r="L586" s="4" t="n">
        <f aca="false">IF(O586="Delivered",I586-J586+K586,0)</f>
        <v>385</v>
      </c>
      <c r="M586" s="0" t="n">
        <v>24</v>
      </c>
      <c r="N586" s="0" t="n">
        <v>4.5</v>
      </c>
      <c r="O586" s="3" t="s">
        <v>17</v>
      </c>
    </row>
    <row r="587" customFormat="false" ht="15" hidden="false" customHeight="false" outlineLevel="0" collapsed="false">
      <c r="A587" s="0" t="s">
        <v>702</v>
      </c>
      <c r="B587" s="2" t="n">
        <v>45820</v>
      </c>
      <c r="C587" s="0" t="str">
        <f aca="false">TEXT(B587,"mmm")</f>
        <v>Jun</v>
      </c>
      <c r="D587" s="0" t="str">
        <f aca="false">TEXT(B587,"ddd")</f>
        <v>Thu</v>
      </c>
      <c r="E587" s="3" t="s">
        <v>40</v>
      </c>
      <c r="F587" s="3" t="s">
        <v>28</v>
      </c>
      <c r="G587" s="3" t="s">
        <v>15</v>
      </c>
      <c r="H587" s="3" t="s">
        <v>22</v>
      </c>
      <c r="I587" s="4" t="n">
        <v>488</v>
      </c>
      <c r="J587" s="4" t="n">
        <v>81</v>
      </c>
      <c r="K587" s="4" t="n">
        <v>30</v>
      </c>
      <c r="L587" s="4" t="n">
        <f aca="false">IF(O587="Delivered",I587-J587+K587,0)</f>
        <v>0</v>
      </c>
      <c r="O587" s="3" t="s">
        <v>68</v>
      </c>
    </row>
    <row r="588" customFormat="false" ht="15" hidden="false" customHeight="false" outlineLevel="0" collapsed="false">
      <c r="A588" s="0" t="s">
        <v>1348</v>
      </c>
      <c r="B588" s="2" t="n">
        <v>45820</v>
      </c>
      <c r="C588" s="0" t="str">
        <f aca="false">TEXT(B588,"mmm")</f>
        <v>Jun</v>
      </c>
      <c r="D588" s="0" t="str">
        <f aca="false">TEXT(B588,"ddd")</f>
        <v>Thu</v>
      </c>
      <c r="E588" s="3" t="s">
        <v>24</v>
      </c>
      <c r="F588" s="3" t="s">
        <v>31</v>
      </c>
      <c r="G588" s="3" t="s">
        <v>15</v>
      </c>
      <c r="H588" s="3" t="s">
        <v>22</v>
      </c>
      <c r="I588" s="4" t="n">
        <v>626</v>
      </c>
      <c r="J588" s="4" t="n">
        <v>0</v>
      </c>
      <c r="K588" s="4" t="n">
        <v>0</v>
      </c>
      <c r="L588" s="4" t="n">
        <f aca="false">IF(O588="Delivered",I588-J588+K588,0)</f>
        <v>626</v>
      </c>
      <c r="M588" s="0" t="n">
        <v>34</v>
      </c>
      <c r="N588" s="0" t="n">
        <v>4.6</v>
      </c>
      <c r="O588" s="3" t="s">
        <v>17</v>
      </c>
    </row>
    <row r="589" customFormat="false" ht="15" hidden="false" customHeight="false" outlineLevel="0" collapsed="false">
      <c r="A589" s="0" t="s">
        <v>1441</v>
      </c>
      <c r="B589" s="2" t="n">
        <v>45820</v>
      </c>
      <c r="C589" s="0" t="str">
        <f aca="false">TEXT(B589,"mmm")</f>
        <v>Jun</v>
      </c>
      <c r="D589" s="0" t="str">
        <f aca="false">TEXT(B589,"ddd")</f>
        <v>Thu</v>
      </c>
      <c r="E589" s="3" t="s">
        <v>45</v>
      </c>
      <c r="F589" s="3" t="s">
        <v>14</v>
      </c>
      <c r="G589" s="3" t="s">
        <v>15</v>
      </c>
      <c r="H589" s="3" t="s">
        <v>22</v>
      </c>
      <c r="I589" s="4" t="n">
        <v>427</v>
      </c>
      <c r="J589" s="4" t="n">
        <v>0</v>
      </c>
      <c r="K589" s="4" t="n">
        <v>40</v>
      </c>
      <c r="L589" s="4" t="n">
        <f aca="false">IF(O589="Delivered",I589-J589+K589,0)</f>
        <v>467</v>
      </c>
      <c r="M589" s="0" t="n">
        <v>31</v>
      </c>
      <c r="N589" s="0" t="n">
        <v>3.5</v>
      </c>
      <c r="O589" s="3" t="s">
        <v>17</v>
      </c>
    </row>
    <row r="590" customFormat="false" ht="15" hidden="false" customHeight="false" outlineLevel="0" collapsed="false">
      <c r="A590" s="0" t="s">
        <v>1576</v>
      </c>
      <c r="B590" s="2" t="n">
        <v>45820</v>
      </c>
      <c r="C590" s="0" t="str">
        <f aca="false">TEXT(B590,"mmm")</f>
        <v>Jun</v>
      </c>
      <c r="D590" s="0" t="str">
        <f aca="false">TEXT(B590,"ddd")</f>
        <v>Thu</v>
      </c>
      <c r="E590" s="3" t="s">
        <v>27</v>
      </c>
      <c r="F590" s="3" t="s">
        <v>28</v>
      </c>
      <c r="G590" s="3" t="s">
        <v>15</v>
      </c>
      <c r="H590" s="3" t="s">
        <v>36</v>
      </c>
      <c r="I590" s="4" t="n">
        <v>478</v>
      </c>
      <c r="J590" s="4" t="n">
        <v>0</v>
      </c>
      <c r="K590" s="4" t="n">
        <v>20</v>
      </c>
      <c r="L590" s="4" t="n">
        <f aca="false">IF(O590="Delivered",I590-J590+K590,0)</f>
        <v>498</v>
      </c>
      <c r="M590" s="0" t="n">
        <v>39</v>
      </c>
      <c r="N590" s="0" t="n">
        <v>4.2</v>
      </c>
      <c r="O590" s="3" t="s">
        <v>17</v>
      </c>
    </row>
    <row r="591" customFormat="false" ht="15" hidden="false" customHeight="false" outlineLevel="0" collapsed="false">
      <c r="A591" s="0" t="s">
        <v>773</v>
      </c>
      <c r="B591" s="2" t="n">
        <v>45821</v>
      </c>
      <c r="C591" s="0" t="str">
        <f aca="false">TEXT(B591,"mmm")</f>
        <v>Jun</v>
      </c>
      <c r="D591" s="0" t="str">
        <f aca="false">TEXT(B591,"ddd")</f>
        <v>Fri</v>
      </c>
      <c r="E591" s="3" t="s">
        <v>13</v>
      </c>
      <c r="F591" s="3" t="s">
        <v>25</v>
      </c>
      <c r="G591" s="3" t="s">
        <v>21</v>
      </c>
      <c r="H591" s="3" t="s">
        <v>34</v>
      </c>
      <c r="I591" s="4" t="n">
        <v>372</v>
      </c>
      <c r="J591" s="4" t="n">
        <v>0</v>
      </c>
      <c r="K591" s="4" t="n">
        <v>40</v>
      </c>
      <c r="L591" s="4" t="n">
        <f aca="false">IF(O591="Delivered",I591-J591+K591,0)</f>
        <v>412</v>
      </c>
      <c r="M591" s="0" t="n">
        <v>27</v>
      </c>
      <c r="N591" s="0" t="n">
        <v>4.8</v>
      </c>
      <c r="O591" s="3" t="s">
        <v>17</v>
      </c>
    </row>
    <row r="592" customFormat="false" ht="15" hidden="false" customHeight="false" outlineLevel="0" collapsed="false">
      <c r="A592" s="0" t="s">
        <v>1127</v>
      </c>
      <c r="B592" s="2" t="n">
        <v>45821</v>
      </c>
      <c r="C592" s="0" t="str">
        <f aca="false">TEXT(B592,"mmm")</f>
        <v>Jun</v>
      </c>
      <c r="D592" s="0" t="str">
        <f aca="false">TEXT(B592,"ddd")</f>
        <v>Fri</v>
      </c>
      <c r="E592" s="3" t="s">
        <v>40</v>
      </c>
      <c r="F592" s="3" t="s">
        <v>31</v>
      </c>
      <c r="G592" s="3" t="s">
        <v>21</v>
      </c>
      <c r="H592" s="3" t="s">
        <v>22</v>
      </c>
      <c r="I592" s="4" t="n">
        <v>453</v>
      </c>
      <c r="J592" s="4" t="n">
        <v>0</v>
      </c>
      <c r="K592" s="4" t="n">
        <v>20</v>
      </c>
      <c r="L592" s="4" t="n">
        <f aca="false">IF(O592="Delivered",I592-J592+K592,0)</f>
        <v>473</v>
      </c>
      <c r="M592" s="0" t="n">
        <v>37</v>
      </c>
      <c r="N592" s="0" t="n">
        <v>4.1</v>
      </c>
      <c r="O592" s="3" t="s">
        <v>17</v>
      </c>
    </row>
    <row r="593" customFormat="false" ht="15" hidden="false" customHeight="false" outlineLevel="0" collapsed="false">
      <c r="A593" s="0" t="s">
        <v>1221</v>
      </c>
      <c r="B593" s="2" t="n">
        <v>45821</v>
      </c>
      <c r="C593" s="0" t="str">
        <f aca="false">TEXT(B593,"mmm")</f>
        <v>Jun</v>
      </c>
      <c r="D593" s="0" t="str">
        <f aca="false">TEXT(B593,"ddd")</f>
        <v>Fri</v>
      </c>
      <c r="E593" s="3" t="s">
        <v>40</v>
      </c>
      <c r="F593" s="3" t="s">
        <v>25</v>
      </c>
      <c r="G593" s="3" t="s">
        <v>21</v>
      </c>
      <c r="H593" s="3" t="s">
        <v>36</v>
      </c>
      <c r="I593" s="4" t="n">
        <v>542</v>
      </c>
      <c r="J593" s="4" t="n">
        <v>0</v>
      </c>
      <c r="K593" s="4" t="n">
        <v>0</v>
      </c>
      <c r="L593" s="4" t="n">
        <f aca="false">IF(O593="Delivered",I593-J593+K593,0)</f>
        <v>542</v>
      </c>
      <c r="M593" s="0" t="n">
        <v>31</v>
      </c>
      <c r="N593" s="0" t="n">
        <v>4.3</v>
      </c>
      <c r="O593" s="3" t="s">
        <v>17</v>
      </c>
    </row>
    <row r="594" customFormat="false" ht="15" hidden="false" customHeight="false" outlineLevel="0" collapsed="false">
      <c r="A594" s="0" t="s">
        <v>1224</v>
      </c>
      <c r="B594" s="2" t="n">
        <v>45821</v>
      </c>
      <c r="C594" s="0" t="str">
        <f aca="false">TEXT(B594,"mmm")</f>
        <v>Jun</v>
      </c>
      <c r="D594" s="0" t="str">
        <f aca="false">TEXT(B594,"ddd")</f>
        <v>Fri</v>
      </c>
      <c r="E594" s="3" t="s">
        <v>19</v>
      </c>
      <c r="F594" s="3" t="s">
        <v>31</v>
      </c>
      <c r="G594" s="3" t="s">
        <v>21</v>
      </c>
      <c r="H594" s="3" t="s">
        <v>36</v>
      </c>
      <c r="I594" s="4" t="n">
        <v>604</v>
      </c>
      <c r="J594" s="4" t="n">
        <v>0</v>
      </c>
      <c r="K594" s="4" t="n">
        <v>0</v>
      </c>
      <c r="L594" s="4" t="n">
        <f aca="false">IF(O594="Delivered",I594-J594+K594,0)</f>
        <v>604</v>
      </c>
      <c r="M594" s="0" t="n">
        <v>15</v>
      </c>
      <c r="N594" s="0" t="n">
        <v>4.4</v>
      </c>
      <c r="O594" s="3" t="s">
        <v>17</v>
      </c>
    </row>
    <row r="595" customFormat="false" ht="15" hidden="false" customHeight="false" outlineLevel="0" collapsed="false">
      <c r="A595" s="0" t="s">
        <v>1430</v>
      </c>
      <c r="B595" s="2" t="n">
        <v>45821</v>
      </c>
      <c r="C595" s="0" t="str">
        <f aca="false">TEXT(B595,"mmm")</f>
        <v>Jun</v>
      </c>
      <c r="D595" s="0" t="str">
        <f aca="false">TEXT(B595,"ddd")</f>
        <v>Fri</v>
      </c>
      <c r="E595" s="3" t="s">
        <v>51</v>
      </c>
      <c r="F595" s="3" t="s">
        <v>14</v>
      </c>
      <c r="G595" s="3" t="s">
        <v>21</v>
      </c>
      <c r="H595" s="3" t="s">
        <v>36</v>
      </c>
      <c r="I595" s="4" t="n">
        <v>399</v>
      </c>
      <c r="J595" s="4" t="n">
        <v>0</v>
      </c>
      <c r="K595" s="4" t="n">
        <v>30</v>
      </c>
      <c r="L595" s="4" t="n">
        <f aca="false">IF(O595="Delivered",I595-J595+K595,0)</f>
        <v>429</v>
      </c>
      <c r="M595" s="0" t="n">
        <v>43</v>
      </c>
      <c r="N595" s="0" t="n">
        <v>3.4</v>
      </c>
      <c r="O595" s="3" t="s">
        <v>17</v>
      </c>
    </row>
    <row r="596" customFormat="false" ht="15" hidden="false" customHeight="false" outlineLevel="0" collapsed="false">
      <c r="A596" s="0" t="s">
        <v>572</v>
      </c>
      <c r="B596" s="2" t="n">
        <v>45822</v>
      </c>
      <c r="C596" s="0" t="str">
        <f aca="false">TEXT(B596,"mmm")</f>
        <v>Jun</v>
      </c>
      <c r="D596" s="0" t="str">
        <f aca="false">TEXT(B596,"ddd")</f>
        <v>Sat</v>
      </c>
      <c r="E596" s="3" t="s">
        <v>24</v>
      </c>
      <c r="F596" s="3" t="s">
        <v>56</v>
      </c>
      <c r="G596" s="3" t="s">
        <v>21</v>
      </c>
      <c r="H596" s="3" t="s">
        <v>22</v>
      </c>
      <c r="I596" s="4" t="n">
        <v>373</v>
      </c>
      <c r="J596" s="4" t="n">
        <v>0</v>
      </c>
      <c r="K596" s="4" t="n">
        <v>30</v>
      </c>
      <c r="L596" s="4" t="n">
        <f aca="false">IF(O596="Delivered",I596-J596+K596,0)</f>
        <v>403</v>
      </c>
      <c r="M596" s="0" t="n">
        <v>46</v>
      </c>
      <c r="O596" s="3" t="s">
        <v>17</v>
      </c>
    </row>
    <row r="597" customFormat="false" ht="15" hidden="false" customHeight="false" outlineLevel="0" collapsed="false">
      <c r="A597" s="0" t="s">
        <v>1077</v>
      </c>
      <c r="B597" s="2" t="n">
        <v>45822</v>
      </c>
      <c r="C597" s="0" t="str">
        <f aca="false">TEXT(B597,"mmm")</f>
        <v>Jun</v>
      </c>
      <c r="D597" s="0" t="str">
        <f aca="false">TEXT(B597,"ddd")</f>
        <v>Sat</v>
      </c>
      <c r="E597" s="3" t="s">
        <v>27</v>
      </c>
      <c r="F597" s="3" t="s">
        <v>56</v>
      </c>
      <c r="G597" s="3" t="s">
        <v>21</v>
      </c>
      <c r="H597" s="3" t="s">
        <v>34</v>
      </c>
      <c r="I597" s="4" t="n">
        <v>402</v>
      </c>
      <c r="J597" s="4" t="n">
        <v>0</v>
      </c>
      <c r="K597" s="4" t="n">
        <v>45</v>
      </c>
      <c r="L597" s="4" t="n">
        <f aca="false">IF(O597="Delivered",I597-J597+K597,0)</f>
        <v>447</v>
      </c>
      <c r="M597" s="0" t="n">
        <v>50</v>
      </c>
      <c r="N597" s="0" t="n">
        <v>4.4</v>
      </c>
      <c r="O597" s="3" t="s">
        <v>17</v>
      </c>
    </row>
    <row r="598" customFormat="false" ht="15" hidden="false" customHeight="false" outlineLevel="0" collapsed="false">
      <c r="A598" s="0" t="s">
        <v>1181</v>
      </c>
      <c r="B598" s="2" t="n">
        <v>45822</v>
      </c>
      <c r="C598" s="0" t="str">
        <f aca="false">TEXT(B598,"mmm")</f>
        <v>Jun</v>
      </c>
      <c r="D598" s="0" t="str">
        <f aca="false">TEXT(B598,"ddd")</f>
        <v>Sat</v>
      </c>
      <c r="E598" s="3" t="s">
        <v>13</v>
      </c>
      <c r="F598" s="3" t="s">
        <v>49</v>
      </c>
      <c r="G598" s="3" t="s">
        <v>21</v>
      </c>
      <c r="H598" s="3" t="s">
        <v>54</v>
      </c>
      <c r="I598" s="4" t="n">
        <v>499</v>
      </c>
      <c r="J598" s="4" t="n">
        <v>0</v>
      </c>
      <c r="K598" s="4" t="n">
        <v>20</v>
      </c>
      <c r="L598" s="4" t="n">
        <f aca="false">IF(O598="Delivered",I598-J598+K598,0)</f>
        <v>0</v>
      </c>
      <c r="O598" s="3" t="s">
        <v>68</v>
      </c>
    </row>
    <row r="599" customFormat="false" ht="15" hidden="false" customHeight="false" outlineLevel="0" collapsed="false">
      <c r="A599" s="0" t="s">
        <v>1547</v>
      </c>
      <c r="B599" s="2" t="n">
        <v>45822</v>
      </c>
      <c r="C599" s="0" t="str">
        <f aca="false">TEXT(B599,"mmm")</f>
        <v>Jun</v>
      </c>
      <c r="D599" s="0" t="str">
        <f aca="false">TEXT(B599,"ddd")</f>
        <v>Sat</v>
      </c>
      <c r="E599" s="3" t="s">
        <v>40</v>
      </c>
      <c r="F599" s="3" t="s">
        <v>56</v>
      </c>
      <c r="G599" s="3" t="s">
        <v>15</v>
      </c>
      <c r="H599" s="3" t="s">
        <v>16</v>
      </c>
      <c r="I599" s="4" t="n">
        <v>367</v>
      </c>
      <c r="J599" s="4" t="n">
        <v>0</v>
      </c>
      <c r="K599" s="4" t="n">
        <v>40</v>
      </c>
      <c r="L599" s="4" t="n">
        <f aca="false">IF(O599="Delivered",I599-J599+K599,0)</f>
        <v>407</v>
      </c>
      <c r="M599" s="0" t="n">
        <v>39</v>
      </c>
      <c r="N599" s="0" t="n">
        <v>4.1</v>
      </c>
      <c r="O599" s="3" t="s">
        <v>17</v>
      </c>
    </row>
    <row r="600" customFormat="false" ht="15" hidden="false" customHeight="false" outlineLevel="0" collapsed="false">
      <c r="A600" s="0" t="s">
        <v>121</v>
      </c>
      <c r="B600" s="2" t="n">
        <v>45823</v>
      </c>
      <c r="C600" s="0" t="str">
        <f aca="false">TEXT(B600,"mmm")</f>
        <v>Jun</v>
      </c>
      <c r="D600" s="0" t="str">
        <f aca="false">TEXT(B600,"ddd")</f>
        <v>Sun</v>
      </c>
      <c r="E600" s="3" t="s">
        <v>27</v>
      </c>
      <c r="F600" s="3" t="s">
        <v>78</v>
      </c>
      <c r="G600" s="3" t="s">
        <v>21</v>
      </c>
      <c r="H600" s="3" t="s">
        <v>22</v>
      </c>
      <c r="I600" s="4" t="n">
        <v>290</v>
      </c>
      <c r="J600" s="4" t="n">
        <v>0</v>
      </c>
      <c r="K600" s="4" t="n">
        <v>30</v>
      </c>
      <c r="L600" s="4" t="n">
        <f aca="false">IF(O600="Delivered",I600-J600+K600,0)</f>
        <v>320</v>
      </c>
      <c r="M600" s="0" t="n">
        <v>34</v>
      </c>
      <c r="N600" s="0" t="n">
        <v>5</v>
      </c>
      <c r="O600" s="3" t="s">
        <v>17</v>
      </c>
    </row>
    <row r="601" customFormat="false" ht="15" hidden="false" customHeight="false" outlineLevel="0" collapsed="false">
      <c r="A601" s="0" t="s">
        <v>133</v>
      </c>
      <c r="B601" s="2" t="n">
        <v>45823</v>
      </c>
      <c r="C601" s="0" t="str">
        <f aca="false">TEXT(B601,"mmm")</f>
        <v>Jun</v>
      </c>
      <c r="D601" s="0" t="str">
        <f aca="false">TEXT(B601,"ddd")</f>
        <v>Sun</v>
      </c>
      <c r="E601" s="3" t="s">
        <v>24</v>
      </c>
      <c r="F601" s="3" t="s">
        <v>31</v>
      </c>
      <c r="G601" s="3" t="s">
        <v>21</v>
      </c>
      <c r="H601" s="3" t="s">
        <v>22</v>
      </c>
      <c r="I601" s="4" t="n">
        <v>408</v>
      </c>
      <c r="J601" s="4" t="n">
        <v>99</v>
      </c>
      <c r="K601" s="4" t="n">
        <v>40</v>
      </c>
      <c r="L601" s="4" t="n">
        <f aca="false">IF(O601="Delivered",I601-J601+K601,0)</f>
        <v>349</v>
      </c>
      <c r="M601" s="0" t="n">
        <v>32</v>
      </c>
      <c r="N601" s="0" t="n">
        <v>5</v>
      </c>
      <c r="O601" s="3" t="s">
        <v>17</v>
      </c>
    </row>
    <row r="602" customFormat="false" ht="15" hidden="false" customHeight="false" outlineLevel="0" collapsed="false">
      <c r="A602" s="0" t="s">
        <v>584</v>
      </c>
      <c r="B602" s="2" t="n">
        <v>45823</v>
      </c>
      <c r="C602" s="0" t="str">
        <f aca="false">TEXT(B602,"mmm")</f>
        <v>Jun</v>
      </c>
      <c r="D602" s="0" t="str">
        <f aca="false">TEXT(B602,"ddd")</f>
        <v>Sun</v>
      </c>
      <c r="E602" s="3" t="s">
        <v>45</v>
      </c>
      <c r="F602" s="3" t="s">
        <v>56</v>
      </c>
      <c r="G602" s="3" t="s">
        <v>21</v>
      </c>
      <c r="H602" s="3" t="s">
        <v>36</v>
      </c>
      <c r="I602" s="4" t="n">
        <v>400</v>
      </c>
      <c r="J602" s="4" t="n">
        <v>0</v>
      </c>
      <c r="K602" s="4" t="n">
        <v>40</v>
      </c>
      <c r="L602" s="4" t="n">
        <f aca="false">IF(O602="Delivered",I602-J602+K602,0)</f>
        <v>440</v>
      </c>
      <c r="M602" s="0" t="n">
        <v>30</v>
      </c>
      <c r="N602" s="0" t="n">
        <v>3.7</v>
      </c>
      <c r="O602" s="3" t="s">
        <v>17</v>
      </c>
    </row>
    <row r="603" customFormat="false" ht="15" hidden="false" customHeight="false" outlineLevel="0" collapsed="false">
      <c r="A603" s="0" t="s">
        <v>793</v>
      </c>
      <c r="B603" s="2" t="n">
        <v>45823</v>
      </c>
      <c r="C603" s="0" t="str">
        <f aca="false">TEXT(B603,"mmm")</f>
        <v>Jun</v>
      </c>
      <c r="D603" s="0" t="str">
        <f aca="false">TEXT(B603,"ddd")</f>
        <v>Sun</v>
      </c>
      <c r="E603" s="3" t="s">
        <v>27</v>
      </c>
      <c r="F603" s="3" t="s">
        <v>20</v>
      </c>
      <c r="G603" s="3" t="s">
        <v>15</v>
      </c>
      <c r="H603" s="3" t="s">
        <v>36</v>
      </c>
      <c r="I603" s="4" t="n">
        <v>670</v>
      </c>
      <c r="J603" s="4" t="n">
        <v>0</v>
      </c>
      <c r="K603" s="4" t="n">
        <v>0</v>
      </c>
      <c r="L603" s="4" t="n">
        <f aca="false">IF(O603="Delivered",I603-J603+K603,0)</f>
        <v>670</v>
      </c>
      <c r="M603" s="0" t="n">
        <v>47</v>
      </c>
      <c r="N603" s="0" t="n">
        <v>3.5</v>
      </c>
      <c r="O603" s="3" t="s">
        <v>17</v>
      </c>
    </row>
    <row r="604" customFormat="false" ht="15" hidden="false" customHeight="false" outlineLevel="0" collapsed="false">
      <c r="A604" s="0" t="s">
        <v>982</v>
      </c>
      <c r="B604" s="2" t="n">
        <v>45823</v>
      </c>
      <c r="C604" s="0" t="str">
        <f aca="false">TEXT(B604,"mmm")</f>
        <v>Jun</v>
      </c>
      <c r="D604" s="0" t="str">
        <f aca="false">TEXT(B604,"ddd")</f>
        <v>Sun</v>
      </c>
      <c r="E604" s="3" t="s">
        <v>24</v>
      </c>
      <c r="F604" s="3" t="s">
        <v>20</v>
      </c>
      <c r="G604" s="3" t="s">
        <v>21</v>
      </c>
      <c r="H604" s="3" t="s">
        <v>22</v>
      </c>
      <c r="I604" s="4" t="n">
        <v>528</v>
      </c>
      <c r="J604" s="4" t="n">
        <v>0</v>
      </c>
      <c r="K604" s="4" t="n">
        <v>0</v>
      </c>
      <c r="L604" s="4" t="n">
        <f aca="false">IF(O604="Delivered",I604-J604+K604,0)</f>
        <v>528</v>
      </c>
      <c r="M604" s="0" t="n">
        <v>35</v>
      </c>
      <c r="N604" s="0" t="n">
        <v>3.6</v>
      </c>
      <c r="O604" s="3" t="s">
        <v>17</v>
      </c>
    </row>
    <row r="605" customFormat="false" ht="15" hidden="false" customHeight="false" outlineLevel="0" collapsed="false">
      <c r="A605" s="0" t="s">
        <v>1189</v>
      </c>
      <c r="B605" s="2" t="n">
        <v>45823</v>
      </c>
      <c r="C605" s="0" t="str">
        <f aca="false">TEXT(B605,"mmm")</f>
        <v>Jun</v>
      </c>
      <c r="D605" s="0" t="str">
        <f aca="false">TEXT(B605,"ddd")</f>
        <v>Sun</v>
      </c>
      <c r="E605" s="3" t="s">
        <v>24</v>
      </c>
      <c r="F605" s="3" t="s">
        <v>14</v>
      </c>
      <c r="G605" s="3" t="s">
        <v>21</v>
      </c>
      <c r="H605" s="3" t="s">
        <v>36</v>
      </c>
      <c r="I605" s="4" t="n">
        <v>414</v>
      </c>
      <c r="J605" s="4" t="n">
        <v>89</v>
      </c>
      <c r="K605" s="4" t="n">
        <v>30</v>
      </c>
      <c r="L605" s="4" t="n">
        <f aca="false">IF(O605="Delivered",I605-J605+K605,0)</f>
        <v>355</v>
      </c>
      <c r="M605" s="0" t="n">
        <v>35</v>
      </c>
      <c r="N605" s="0" t="n">
        <v>4.2</v>
      </c>
      <c r="O605" s="3" t="s">
        <v>17</v>
      </c>
    </row>
    <row r="606" customFormat="false" ht="15" hidden="false" customHeight="false" outlineLevel="0" collapsed="false">
      <c r="A606" s="0" t="s">
        <v>1450</v>
      </c>
      <c r="B606" s="2" t="n">
        <v>45823</v>
      </c>
      <c r="C606" s="0" t="str">
        <f aca="false">TEXT(B606,"mmm")</f>
        <v>Jun</v>
      </c>
      <c r="D606" s="0" t="str">
        <f aca="false">TEXT(B606,"ddd")</f>
        <v>Sun</v>
      </c>
      <c r="E606" s="3" t="s">
        <v>40</v>
      </c>
      <c r="F606" s="3" t="s">
        <v>25</v>
      </c>
      <c r="G606" s="3" t="s">
        <v>21</v>
      </c>
      <c r="H606" s="3" t="s">
        <v>22</v>
      </c>
      <c r="I606" s="4" t="n">
        <v>428</v>
      </c>
      <c r="J606" s="4" t="n">
        <v>79</v>
      </c>
      <c r="K606" s="4" t="n">
        <v>45</v>
      </c>
      <c r="L606" s="4" t="n">
        <f aca="false">IF(O606="Delivered",I606-J606+K606,0)</f>
        <v>394</v>
      </c>
      <c r="M606" s="0" t="n">
        <v>40</v>
      </c>
      <c r="N606" s="0" t="n">
        <v>4.6</v>
      </c>
      <c r="O606" s="3" t="s">
        <v>17</v>
      </c>
    </row>
    <row r="607" customFormat="false" ht="15" hidden="false" customHeight="false" outlineLevel="0" collapsed="false">
      <c r="A607" s="0" t="s">
        <v>1022</v>
      </c>
      <c r="B607" s="2" t="n">
        <v>45824</v>
      </c>
      <c r="C607" s="0" t="str">
        <f aca="false">TEXT(B607,"mmm")</f>
        <v>Jun</v>
      </c>
      <c r="D607" s="0" t="str">
        <f aca="false">TEXT(B607,"ddd")</f>
        <v>Mon</v>
      </c>
      <c r="E607" s="3" t="s">
        <v>45</v>
      </c>
      <c r="F607" s="3" t="s">
        <v>28</v>
      </c>
      <c r="G607" s="3" t="s">
        <v>15</v>
      </c>
      <c r="H607" s="3" t="s">
        <v>22</v>
      </c>
      <c r="I607" s="4" t="n">
        <v>356</v>
      </c>
      <c r="J607" s="4" t="n">
        <v>63</v>
      </c>
      <c r="K607" s="4" t="n">
        <v>45</v>
      </c>
      <c r="L607" s="4" t="n">
        <f aca="false">IF(O607="Delivered",I607-J607+K607,0)</f>
        <v>338</v>
      </c>
      <c r="M607" s="0" t="n">
        <v>30</v>
      </c>
      <c r="N607" s="0" t="n">
        <v>3.2</v>
      </c>
      <c r="O607" s="3" t="s">
        <v>17</v>
      </c>
    </row>
    <row r="608" customFormat="false" ht="15" hidden="false" customHeight="false" outlineLevel="0" collapsed="false">
      <c r="A608" s="0" t="s">
        <v>1251</v>
      </c>
      <c r="B608" s="2" t="n">
        <v>45824</v>
      </c>
      <c r="C608" s="0" t="str">
        <f aca="false">TEXT(B608,"mmm")</f>
        <v>Jun</v>
      </c>
      <c r="D608" s="0" t="str">
        <f aca="false">TEXT(B608,"ddd")</f>
        <v>Mon</v>
      </c>
      <c r="E608" s="3" t="s">
        <v>51</v>
      </c>
      <c r="F608" s="3" t="s">
        <v>25</v>
      </c>
      <c r="G608" s="3" t="s">
        <v>21</v>
      </c>
      <c r="H608" s="3" t="s">
        <v>22</v>
      </c>
      <c r="I608" s="4" t="n">
        <v>459</v>
      </c>
      <c r="J608" s="4" t="n">
        <v>0</v>
      </c>
      <c r="K608" s="4" t="n">
        <v>20</v>
      </c>
      <c r="L608" s="4" t="n">
        <f aca="false">IF(O608="Delivered",I608-J608+K608,0)</f>
        <v>479</v>
      </c>
      <c r="M608" s="0" t="n">
        <v>39</v>
      </c>
      <c r="N608" s="0" t="n">
        <v>4.1</v>
      </c>
      <c r="O608" s="3" t="s">
        <v>17</v>
      </c>
    </row>
    <row r="609" customFormat="false" ht="15" hidden="false" customHeight="false" outlineLevel="0" collapsed="false">
      <c r="A609" s="0" t="s">
        <v>321</v>
      </c>
      <c r="B609" s="2" t="n">
        <v>45825</v>
      </c>
      <c r="C609" s="0" t="str">
        <f aca="false">TEXT(B609,"mmm")</f>
        <v>Jun</v>
      </c>
      <c r="D609" s="0" t="str">
        <f aca="false">TEXT(B609,"ddd")</f>
        <v>Tue</v>
      </c>
      <c r="E609" s="3" t="s">
        <v>27</v>
      </c>
      <c r="F609" s="3" t="s">
        <v>14</v>
      </c>
      <c r="G609" s="3" t="s">
        <v>21</v>
      </c>
      <c r="H609" s="3" t="s">
        <v>54</v>
      </c>
      <c r="I609" s="4" t="n">
        <v>183</v>
      </c>
      <c r="J609" s="4" t="n">
        <v>45</v>
      </c>
      <c r="K609" s="4" t="n">
        <v>45</v>
      </c>
      <c r="L609" s="4" t="n">
        <f aca="false">IF(O609="Delivered",I609-J609+K609,0)</f>
        <v>183</v>
      </c>
      <c r="M609" s="0" t="n">
        <v>40</v>
      </c>
      <c r="N609" s="0" t="n">
        <v>4</v>
      </c>
      <c r="O609" s="3" t="s">
        <v>17</v>
      </c>
    </row>
    <row r="610" customFormat="false" ht="15" hidden="false" customHeight="false" outlineLevel="0" collapsed="false">
      <c r="A610" s="0" t="s">
        <v>583</v>
      </c>
      <c r="B610" s="2" t="n">
        <v>45825</v>
      </c>
      <c r="C610" s="0" t="str">
        <f aca="false">TEXT(B610,"mmm")</f>
        <v>Jun</v>
      </c>
      <c r="D610" s="0" t="str">
        <f aca="false">TEXT(B610,"ddd")</f>
        <v>Tue</v>
      </c>
      <c r="E610" s="3" t="s">
        <v>24</v>
      </c>
      <c r="F610" s="3" t="s">
        <v>20</v>
      </c>
      <c r="G610" s="3" t="s">
        <v>21</v>
      </c>
      <c r="H610" s="3" t="s">
        <v>22</v>
      </c>
      <c r="I610" s="4" t="n">
        <v>721</v>
      </c>
      <c r="J610" s="4" t="n">
        <v>0</v>
      </c>
      <c r="K610" s="4" t="n">
        <v>0</v>
      </c>
      <c r="L610" s="4" t="n">
        <f aca="false">IF(O610="Delivered",I610-J610+K610,0)</f>
        <v>721</v>
      </c>
      <c r="M610" s="0" t="n">
        <v>27</v>
      </c>
      <c r="N610" s="0" t="n">
        <v>4.2</v>
      </c>
      <c r="O610" s="3" t="s">
        <v>17</v>
      </c>
    </row>
    <row r="611" customFormat="false" ht="15" hidden="false" customHeight="false" outlineLevel="0" collapsed="false">
      <c r="A611" s="0" t="s">
        <v>747</v>
      </c>
      <c r="B611" s="2" t="n">
        <v>45825</v>
      </c>
      <c r="C611" s="0" t="str">
        <f aca="false">TEXT(B611,"mmm")</f>
        <v>Jun</v>
      </c>
      <c r="D611" s="0" t="str">
        <f aca="false">TEXT(B611,"ddd")</f>
        <v>Tue</v>
      </c>
      <c r="E611" s="3" t="s">
        <v>24</v>
      </c>
      <c r="F611" s="3" t="s">
        <v>20</v>
      </c>
      <c r="G611" s="3" t="s">
        <v>15</v>
      </c>
      <c r="H611" s="3" t="s">
        <v>54</v>
      </c>
      <c r="I611" s="4" t="n">
        <v>810</v>
      </c>
      <c r="J611" s="4" t="n">
        <v>0</v>
      </c>
      <c r="K611" s="4" t="n">
        <v>0</v>
      </c>
      <c r="L611" s="4" t="n">
        <f aca="false">IF(O611="Delivered",I611-J611+K611,0)</f>
        <v>810</v>
      </c>
      <c r="M611" s="0" t="n">
        <v>34</v>
      </c>
      <c r="N611" s="0" t="n">
        <v>3.5</v>
      </c>
      <c r="O611" s="3" t="s">
        <v>17</v>
      </c>
    </row>
    <row r="612" customFormat="false" ht="15" hidden="false" customHeight="false" outlineLevel="0" collapsed="false">
      <c r="A612" s="0" t="s">
        <v>179</v>
      </c>
      <c r="B612" s="2" t="n">
        <v>45826</v>
      </c>
      <c r="C612" s="0" t="str">
        <f aca="false">TEXT(B612,"mmm")</f>
        <v>Jun</v>
      </c>
      <c r="D612" s="0" t="str">
        <f aca="false">TEXT(B612,"ddd")</f>
        <v>Wed</v>
      </c>
      <c r="E612" s="3" t="s">
        <v>40</v>
      </c>
      <c r="F612" s="3" t="s">
        <v>56</v>
      </c>
      <c r="G612" s="3" t="s">
        <v>21</v>
      </c>
      <c r="H612" s="3" t="s">
        <v>22</v>
      </c>
      <c r="I612" s="4" t="n">
        <v>398</v>
      </c>
      <c r="J612" s="4" t="n">
        <v>97</v>
      </c>
      <c r="K612" s="4" t="n">
        <v>40</v>
      </c>
      <c r="L612" s="4" t="n">
        <f aca="false">IF(O612="Delivered",I612-J612+K612,0)</f>
        <v>341</v>
      </c>
      <c r="M612" s="0" t="n">
        <v>43</v>
      </c>
      <c r="N612" s="0" t="n">
        <v>3.9</v>
      </c>
      <c r="O612" s="3" t="s">
        <v>17</v>
      </c>
    </row>
    <row r="613" customFormat="false" ht="15" hidden="false" customHeight="false" outlineLevel="0" collapsed="false">
      <c r="A613" s="0" t="s">
        <v>925</v>
      </c>
      <c r="B613" s="2" t="n">
        <v>45826</v>
      </c>
      <c r="C613" s="0" t="str">
        <f aca="false">TEXT(B613,"mmm")</f>
        <v>Jun</v>
      </c>
      <c r="D613" s="0" t="str">
        <f aca="false">TEXT(B613,"ddd")</f>
        <v>Wed</v>
      </c>
      <c r="E613" s="3" t="s">
        <v>13</v>
      </c>
      <c r="F613" s="3" t="s">
        <v>25</v>
      </c>
      <c r="G613" s="3" t="s">
        <v>21</v>
      </c>
      <c r="H613" s="3" t="s">
        <v>22</v>
      </c>
      <c r="I613" s="4" t="n">
        <v>419</v>
      </c>
      <c r="J613" s="4" t="n">
        <v>0</v>
      </c>
      <c r="K613" s="4" t="n">
        <v>20</v>
      </c>
      <c r="L613" s="4" t="n">
        <f aca="false">IF(O613="Delivered",I613-J613+K613,0)</f>
        <v>439</v>
      </c>
      <c r="M613" s="0" t="n">
        <v>44</v>
      </c>
      <c r="N613" s="0" t="n">
        <v>4.8</v>
      </c>
      <c r="O613" s="3" t="s">
        <v>17</v>
      </c>
    </row>
    <row r="614" customFormat="false" ht="15" hidden="false" customHeight="false" outlineLevel="0" collapsed="false">
      <c r="A614" s="0" t="s">
        <v>1089</v>
      </c>
      <c r="B614" s="2" t="n">
        <v>45826</v>
      </c>
      <c r="C614" s="0" t="str">
        <f aca="false">TEXT(B614,"mmm")</f>
        <v>Jun</v>
      </c>
      <c r="D614" s="0" t="str">
        <f aca="false">TEXT(B614,"ddd")</f>
        <v>Wed</v>
      </c>
      <c r="E614" s="3" t="s">
        <v>27</v>
      </c>
      <c r="F614" s="3" t="s">
        <v>20</v>
      </c>
      <c r="G614" s="3" t="s">
        <v>21</v>
      </c>
      <c r="H614" s="3" t="s">
        <v>34</v>
      </c>
      <c r="I614" s="4" t="n">
        <v>507</v>
      </c>
      <c r="J614" s="4" t="n">
        <v>80</v>
      </c>
      <c r="K614" s="4" t="n">
        <v>0</v>
      </c>
      <c r="L614" s="4" t="n">
        <f aca="false">IF(O614="Delivered",I614-J614+K614,0)</f>
        <v>427</v>
      </c>
      <c r="M614" s="0" t="n">
        <v>41</v>
      </c>
      <c r="N614" s="0" t="n">
        <v>3.7</v>
      </c>
      <c r="O614" s="3" t="s">
        <v>17</v>
      </c>
    </row>
    <row r="615" customFormat="false" ht="15" hidden="false" customHeight="false" outlineLevel="0" collapsed="false">
      <c r="A615" s="0" t="s">
        <v>361</v>
      </c>
      <c r="B615" s="2" t="n">
        <v>45827</v>
      </c>
      <c r="C615" s="0" t="str">
        <f aca="false">TEXT(B615,"mmm")</f>
        <v>Jun</v>
      </c>
      <c r="D615" s="0" t="str">
        <f aca="false">TEXT(B615,"ddd")</f>
        <v>Thu</v>
      </c>
      <c r="E615" s="3" t="s">
        <v>45</v>
      </c>
      <c r="F615" s="3" t="s">
        <v>20</v>
      </c>
      <c r="G615" s="3" t="s">
        <v>21</v>
      </c>
      <c r="H615" s="3" t="s">
        <v>16</v>
      </c>
      <c r="I615" s="4" t="n">
        <v>406</v>
      </c>
      <c r="J615" s="4" t="n">
        <v>0</v>
      </c>
      <c r="K615" s="4" t="n">
        <v>30</v>
      </c>
      <c r="L615" s="4" t="n">
        <f aca="false">IF(O615="Delivered",I615-J615+K615,0)</f>
        <v>436</v>
      </c>
      <c r="M615" s="0" t="n">
        <v>35</v>
      </c>
      <c r="N615" s="0" t="n">
        <v>5</v>
      </c>
      <c r="O615" s="3" t="s">
        <v>17</v>
      </c>
    </row>
    <row r="616" customFormat="false" ht="15" hidden="false" customHeight="false" outlineLevel="0" collapsed="false">
      <c r="A616" s="0" t="s">
        <v>390</v>
      </c>
      <c r="B616" s="2" t="n">
        <v>45827</v>
      </c>
      <c r="C616" s="0" t="str">
        <f aca="false">TEXT(B616,"mmm")</f>
        <v>Jun</v>
      </c>
      <c r="D616" s="0" t="str">
        <f aca="false">TEXT(B616,"ddd")</f>
        <v>Thu</v>
      </c>
      <c r="E616" s="3" t="s">
        <v>27</v>
      </c>
      <c r="F616" s="3" t="s">
        <v>49</v>
      </c>
      <c r="G616" s="3" t="s">
        <v>21</v>
      </c>
      <c r="H616" s="3" t="s">
        <v>36</v>
      </c>
      <c r="I616" s="4" t="n">
        <v>641</v>
      </c>
      <c r="J616" s="4" t="n">
        <v>0</v>
      </c>
      <c r="K616" s="4" t="n">
        <v>0</v>
      </c>
      <c r="L616" s="4" t="n">
        <f aca="false">IF(O616="Delivered",I616-J616+K616,0)</f>
        <v>641</v>
      </c>
      <c r="M616" s="0" t="n">
        <v>42</v>
      </c>
      <c r="N616" s="0" t="n">
        <v>4.2</v>
      </c>
      <c r="O616" s="3" t="s">
        <v>17</v>
      </c>
    </row>
    <row r="617" customFormat="false" ht="15" hidden="false" customHeight="false" outlineLevel="0" collapsed="false">
      <c r="A617" s="0" t="s">
        <v>871</v>
      </c>
      <c r="B617" s="2" t="n">
        <v>45827</v>
      </c>
      <c r="C617" s="0" t="str">
        <f aca="false">TEXT(B617,"mmm")</f>
        <v>Jun</v>
      </c>
      <c r="D617" s="0" t="str">
        <f aca="false">TEXT(B617,"ddd")</f>
        <v>Thu</v>
      </c>
      <c r="E617" s="3" t="s">
        <v>27</v>
      </c>
      <c r="F617" s="3" t="s">
        <v>56</v>
      </c>
      <c r="G617" s="3" t="s">
        <v>21</v>
      </c>
      <c r="H617" s="3" t="s">
        <v>22</v>
      </c>
      <c r="I617" s="4" t="n">
        <v>247</v>
      </c>
      <c r="J617" s="4" t="n">
        <v>0</v>
      </c>
      <c r="K617" s="4" t="n">
        <v>40</v>
      </c>
      <c r="L617" s="4" t="n">
        <f aca="false">IF(O617="Delivered",I617-J617+K617,0)</f>
        <v>0</v>
      </c>
      <c r="O617" s="3" t="s">
        <v>68</v>
      </c>
    </row>
    <row r="618" customFormat="false" ht="15" hidden="false" customHeight="false" outlineLevel="0" collapsed="false">
      <c r="A618" s="0" t="s">
        <v>1303</v>
      </c>
      <c r="B618" s="2" t="n">
        <v>45827</v>
      </c>
      <c r="C618" s="0" t="str">
        <f aca="false">TEXT(B618,"mmm")</f>
        <v>Jun</v>
      </c>
      <c r="D618" s="0" t="str">
        <f aca="false">TEXT(B618,"ddd")</f>
        <v>Thu</v>
      </c>
      <c r="E618" s="3" t="s">
        <v>24</v>
      </c>
      <c r="F618" s="3" t="s">
        <v>56</v>
      </c>
      <c r="G618" s="3" t="s">
        <v>21</v>
      </c>
      <c r="H618" s="3" t="s">
        <v>36</v>
      </c>
      <c r="I618" s="4" t="n">
        <v>551</v>
      </c>
      <c r="J618" s="4" t="n">
        <v>0</v>
      </c>
      <c r="K618" s="4" t="n">
        <v>0</v>
      </c>
      <c r="L618" s="4" t="n">
        <f aca="false">IF(O618="Delivered",I618-J618+K618,0)</f>
        <v>551</v>
      </c>
      <c r="M618" s="0" t="n">
        <v>42</v>
      </c>
      <c r="N618" s="0" t="n">
        <v>2.9</v>
      </c>
      <c r="O618" s="3" t="s">
        <v>17</v>
      </c>
    </row>
    <row r="619" customFormat="false" ht="15" hidden="false" customHeight="false" outlineLevel="0" collapsed="false">
      <c r="A619" s="0" t="s">
        <v>1522</v>
      </c>
      <c r="B619" s="2" t="n">
        <v>45827</v>
      </c>
      <c r="C619" s="0" t="str">
        <f aca="false">TEXT(B619,"mmm")</f>
        <v>Jun</v>
      </c>
      <c r="D619" s="0" t="str">
        <f aca="false">TEXT(B619,"ddd")</f>
        <v>Thu</v>
      </c>
      <c r="E619" s="3" t="s">
        <v>30</v>
      </c>
      <c r="F619" s="3" t="s">
        <v>56</v>
      </c>
      <c r="G619" s="3" t="s">
        <v>15</v>
      </c>
      <c r="H619" s="3" t="s">
        <v>22</v>
      </c>
      <c r="I619" s="4" t="n">
        <v>337</v>
      </c>
      <c r="J619" s="4" t="n">
        <v>66</v>
      </c>
      <c r="K619" s="4" t="n">
        <v>30</v>
      </c>
      <c r="L619" s="4" t="n">
        <f aca="false">IF(O619="Delivered",I619-J619+K619,0)</f>
        <v>301</v>
      </c>
      <c r="M619" s="0" t="n">
        <v>37</v>
      </c>
      <c r="N619" s="0" t="n">
        <v>4.4</v>
      </c>
      <c r="O619" s="3" t="s">
        <v>17</v>
      </c>
    </row>
    <row r="620" customFormat="false" ht="15" hidden="false" customHeight="false" outlineLevel="0" collapsed="false">
      <c r="A620" s="0" t="s">
        <v>303</v>
      </c>
      <c r="B620" s="2" t="n">
        <v>45828</v>
      </c>
      <c r="C620" s="0" t="str">
        <f aca="false">TEXT(B620,"mmm")</f>
        <v>Jun</v>
      </c>
      <c r="D620" s="0" t="str">
        <f aca="false">TEXT(B620,"ddd")</f>
        <v>Fri</v>
      </c>
      <c r="E620" s="3" t="s">
        <v>40</v>
      </c>
      <c r="F620" s="3" t="s">
        <v>31</v>
      </c>
      <c r="G620" s="3" t="s">
        <v>21</v>
      </c>
      <c r="H620" s="3" t="s">
        <v>16</v>
      </c>
      <c r="I620" s="4" t="n">
        <v>424</v>
      </c>
      <c r="J620" s="4" t="n">
        <v>82</v>
      </c>
      <c r="K620" s="4" t="n">
        <v>45</v>
      </c>
      <c r="L620" s="4" t="n">
        <f aca="false">IF(O620="Delivered",I620-J620+K620,0)</f>
        <v>387</v>
      </c>
      <c r="M620" s="0" t="n">
        <v>36</v>
      </c>
      <c r="N620" s="0" t="n">
        <v>4.4</v>
      </c>
      <c r="O620" s="3" t="s">
        <v>17</v>
      </c>
    </row>
    <row r="621" customFormat="false" ht="15" hidden="false" customHeight="false" outlineLevel="0" collapsed="false">
      <c r="A621" s="0" t="s">
        <v>453</v>
      </c>
      <c r="B621" s="2" t="n">
        <v>45828</v>
      </c>
      <c r="C621" s="0" t="str">
        <f aca="false">TEXT(B621,"mmm")</f>
        <v>Jun</v>
      </c>
      <c r="D621" s="0" t="str">
        <f aca="false">TEXT(B621,"ddd")</f>
        <v>Fri</v>
      </c>
      <c r="E621" s="3" t="s">
        <v>45</v>
      </c>
      <c r="F621" s="3" t="s">
        <v>25</v>
      </c>
      <c r="G621" s="3" t="s">
        <v>15</v>
      </c>
      <c r="H621" s="3" t="s">
        <v>22</v>
      </c>
      <c r="I621" s="4" t="n">
        <v>543</v>
      </c>
      <c r="J621" s="4" t="n">
        <v>66</v>
      </c>
      <c r="K621" s="4" t="n">
        <v>0</v>
      </c>
      <c r="L621" s="4" t="n">
        <f aca="false">IF(O621="Delivered",I621-J621+K621,0)</f>
        <v>477</v>
      </c>
      <c r="M621" s="0" t="n">
        <v>30</v>
      </c>
      <c r="N621" s="0" t="n">
        <v>4</v>
      </c>
      <c r="O621" s="3" t="s">
        <v>17</v>
      </c>
    </row>
    <row r="622" customFormat="false" ht="15" hidden="false" customHeight="false" outlineLevel="0" collapsed="false">
      <c r="A622" s="0" t="s">
        <v>591</v>
      </c>
      <c r="B622" s="2" t="n">
        <v>45828</v>
      </c>
      <c r="C622" s="0" t="str">
        <f aca="false">TEXT(B622,"mmm")</f>
        <v>Jun</v>
      </c>
      <c r="D622" s="0" t="str">
        <f aca="false">TEXT(B622,"ddd")</f>
        <v>Fri</v>
      </c>
      <c r="E622" s="3" t="s">
        <v>51</v>
      </c>
      <c r="F622" s="3" t="s">
        <v>28</v>
      </c>
      <c r="G622" s="3" t="s">
        <v>15</v>
      </c>
      <c r="H622" s="3" t="s">
        <v>54</v>
      </c>
      <c r="I622" s="4" t="n">
        <v>508</v>
      </c>
      <c r="J622" s="4" t="n">
        <v>120</v>
      </c>
      <c r="K622" s="4" t="n">
        <v>0</v>
      </c>
      <c r="L622" s="4" t="n">
        <f aca="false">IF(O622="Delivered",I622-J622+K622,0)</f>
        <v>388</v>
      </c>
      <c r="M622" s="0" t="n">
        <v>38</v>
      </c>
      <c r="N622" s="0" t="n">
        <v>3.2</v>
      </c>
      <c r="O622" s="3" t="s">
        <v>17</v>
      </c>
    </row>
    <row r="623" customFormat="false" ht="15" hidden="false" customHeight="false" outlineLevel="0" collapsed="false">
      <c r="A623" s="0" t="s">
        <v>814</v>
      </c>
      <c r="B623" s="2" t="n">
        <v>45828</v>
      </c>
      <c r="C623" s="0" t="str">
        <f aca="false">TEXT(B623,"mmm")</f>
        <v>Jun</v>
      </c>
      <c r="D623" s="0" t="str">
        <f aca="false">TEXT(B623,"ddd")</f>
        <v>Fri</v>
      </c>
      <c r="E623" s="3" t="s">
        <v>30</v>
      </c>
      <c r="F623" s="3" t="s">
        <v>25</v>
      </c>
      <c r="G623" s="3" t="s">
        <v>15</v>
      </c>
      <c r="H623" s="3" t="s">
        <v>54</v>
      </c>
      <c r="I623" s="4" t="n">
        <v>381</v>
      </c>
      <c r="J623" s="4" t="n">
        <v>89</v>
      </c>
      <c r="K623" s="4" t="n">
        <v>30</v>
      </c>
      <c r="L623" s="4" t="n">
        <f aca="false">IF(O623="Delivered",I623-J623+K623,0)</f>
        <v>322</v>
      </c>
      <c r="M623" s="0" t="n">
        <v>37</v>
      </c>
      <c r="N623" s="0" t="n">
        <v>4.7</v>
      </c>
      <c r="O623" s="3" t="s">
        <v>17</v>
      </c>
    </row>
    <row r="624" customFormat="false" ht="15" hidden="false" customHeight="false" outlineLevel="0" collapsed="false">
      <c r="A624" s="0" t="s">
        <v>977</v>
      </c>
      <c r="B624" s="2" t="n">
        <v>45828</v>
      </c>
      <c r="C624" s="0" t="str">
        <f aca="false">TEXT(B624,"mmm")</f>
        <v>Jun</v>
      </c>
      <c r="D624" s="0" t="str">
        <f aca="false">TEXT(B624,"ddd")</f>
        <v>Fri</v>
      </c>
      <c r="E624" s="3" t="s">
        <v>27</v>
      </c>
      <c r="F624" s="3" t="s">
        <v>14</v>
      </c>
      <c r="G624" s="3" t="s">
        <v>21</v>
      </c>
      <c r="H624" s="3" t="s">
        <v>54</v>
      </c>
      <c r="I624" s="4" t="n">
        <v>206</v>
      </c>
      <c r="J624" s="4" t="n">
        <v>23</v>
      </c>
      <c r="K624" s="4" t="n">
        <v>40</v>
      </c>
      <c r="L624" s="4" t="n">
        <f aca="false">IF(O624="Delivered",I624-J624+K624,0)</f>
        <v>223</v>
      </c>
      <c r="M624" s="0" t="n">
        <v>39</v>
      </c>
      <c r="N624" s="0" t="n">
        <v>3.8</v>
      </c>
      <c r="O624" s="3" t="s">
        <v>17</v>
      </c>
    </row>
    <row r="625" customFormat="false" ht="15" hidden="false" customHeight="false" outlineLevel="0" collapsed="false">
      <c r="A625" s="0" t="s">
        <v>1186</v>
      </c>
      <c r="B625" s="2" t="n">
        <v>45828</v>
      </c>
      <c r="C625" s="0" t="str">
        <f aca="false">TEXT(B625,"mmm")</f>
        <v>Jun</v>
      </c>
      <c r="D625" s="0" t="str">
        <f aca="false">TEXT(B625,"ddd")</f>
        <v>Fri</v>
      </c>
      <c r="E625" s="3" t="s">
        <v>51</v>
      </c>
      <c r="F625" s="3" t="s">
        <v>31</v>
      </c>
      <c r="G625" s="3" t="s">
        <v>21</v>
      </c>
      <c r="H625" s="3" t="s">
        <v>22</v>
      </c>
      <c r="I625" s="4" t="n">
        <v>477</v>
      </c>
      <c r="J625" s="4" t="n">
        <v>0</v>
      </c>
      <c r="K625" s="4" t="n">
        <v>45</v>
      </c>
      <c r="L625" s="4" t="n">
        <f aca="false">IF(O625="Delivered",I625-J625+K625,0)</f>
        <v>522</v>
      </c>
      <c r="M625" s="0" t="n">
        <v>24</v>
      </c>
      <c r="N625" s="0" t="n">
        <v>4.1</v>
      </c>
      <c r="O625" s="3" t="s">
        <v>17</v>
      </c>
    </row>
    <row r="626" customFormat="false" ht="15" hidden="false" customHeight="false" outlineLevel="0" collapsed="false">
      <c r="A626" s="0" t="s">
        <v>1374</v>
      </c>
      <c r="B626" s="2" t="n">
        <v>45828</v>
      </c>
      <c r="C626" s="0" t="str">
        <f aca="false">TEXT(B626,"mmm")</f>
        <v>Jun</v>
      </c>
      <c r="D626" s="0" t="str">
        <f aca="false">TEXT(B626,"ddd")</f>
        <v>Fri</v>
      </c>
      <c r="E626" s="3" t="s">
        <v>13</v>
      </c>
      <c r="F626" s="3" t="s">
        <v>25</v>
      </c>
      <c r="G626" s="3" t="s">
        <v>21</v>
      </c>
      <c r="H626" s="3" t="s">
        <v>34</v>
      </c>
      <c r="I626" s="4" t="n">
        <v>355</v>
      </c>
      <c r="J626" s="4" t="n">
        <v>0</v>
      </c>
      <c r="K626" s="4" t="n">
        <v>45</v>
      </c>
      <c r="L626" s="4" t="n">
        <f aca="false">IF(O626="Delivered",I626-J626+K626,0)</f>
        <v>400</v>
      </c>
      <c r="M626" s="0" t="n">
        <v>32</v>
      </c>
      <c r="N626" s="0" t="n">
        <v>4.9</v>
      </c>
      <c r="O626" s="3" t="s">
        <v>17</v>
      </c>
    </row>
    <row r="627" customFormat="false" ht="15" hidden="false" customHeight="false" outlineLevel="0" collapsed="false">
      <c r="A627" s="0" t="s">
        <v>1268</v>
      </c>
      <c r="B627" s="2" t="n">
        <v>45829</v>
      </c>
      <c r="C627" s="0" t="str">
        <f aca="false">TEXT(B627,"mmm")</f>
        <v>Jun</v>
      </c>
      <c r="D627" s="0" t="str">
        <f aca="false">TEXT(B627,"ddd")</f>
        <v>Sat</v>
      </c>
      <c r="E627" s="3" t="s">
        <v>30</v>
      </c>
      <c r="F627" s="3" t="s">
        <v>14</v>
      </c>
      <c r="G627" s="3" t="s">
        <v>21</v>
      </c>
      <c r="H627" s="3" t="s">
        <v>34</v>
      </c>
      <c r="I627" s="4" t="n">
        <v>278</v>
      </c>
      <c r="J627" s="4" t="n">
        <v>0</v>
      </c>
      <c r="K627" s="4" t="n">
        <v>20</v>
      </c>
      <c r="L627" s="4" t="n">
        <f aca="false">IF(O627="Delivered",I627-J627+K627,0)</f>
        <v>298</v>
      </c>
      <c r="M627" s="0" t="n">
        <v>22</v>
      </c>
      <c r="N627" s="0" t="n">
        <v>4.5</v>
      </c>
      <c r="O627" s="3" t="s">
        <v>17</v>
      </c>
    </row>
    <row r="628" customFormat="false" ht="15" hidden="false" customHeight="false" outlineLevel="0" collapsed="false">
      <c r="A628" s="0" t="s">
        <v>1281</v>
      </c>
      <c r="B628" s="2" t="n">
        <v>45829</v>
      </c>
      <c r="C628" s="0" t="str">
        <f aca="false">TEXT(B628,"mmm")</f>
        <v>Jun</v>
      </c>
      <c r="D628" s="0" t="str">
        <f aca="false">TEXT(B628,"ddd")</f>
        <v>Sat</v>
      </c>
      <c r="E628" s="3" t="s">
        <v>27</v>
      </c>
      <c r="F628" s="3" t="s">
        <v>78</v>
      </c>
      <c r="G628" s="3" t="s">
        <v>15</v>
      </c>
      <c r="H628" s="3" t="s">
        <v>22</v>
      </c>
      <c r="I628" s="4" t="n">
        <v>433</v>
      </c>
      <c r="J628" s="4" t="n">
        <v>0</v>
      </c>
      <c r="K628" s="4" t="n">
        <v>30</v>
      </c>
      <c r="L628" s="4" t="n">
        <f aca="false">IF(O628="Delivered",I628-J628+K628,0)</f>
        <v>463</v>
      </c>
      <c r="M628" s="0" t="n">
        <v>30</v>
      </c>
      <c r="N628" s="0" t="n">
        <v>4.1</v>
      </c>
      <c r="O628" s="3" t="s">
        <v>17</v>
      </c>
    </row>
    <row r="629" customFormat="false" ht="15" hidden="false" customHeight="false" outlineLevel="0" collapsed="false">
      <c r="A629" s="0" t="s">
        <v>1403</v>
      </c>
      <c r="B629" s="2" t="n">
        <v>45829</v>
      </c>
      <c r="C629" s="0" t="str">
        <f aca="false">TEXT(B629,"mmm")</f>
        <v>Jun</v>
      </c>
      <c r="D629" s="0" t="str">
        <f aca="false">TEXT(B629,"ddd")</f>
        <v>Sat</v>
      </c>
      <c r="E629" s="3" t="s">
        <v>27</v>
      </c>
      <c r="F629" s="3" t="s">
        <v>14</v>
      </c>
      <c r="G629" s="3" t="s">
        <v>21</v>
      </c>
      <c r="H629" s="3" t="s">
        <v>34</v>
      </c>
      <c r="I629" s="4" t="n">
        <v>359</v>
      </c>
      <c r="J629" s="4" t="n">
        <v>0</v>
      </c>
      <c r="K629" s="4" t="n">
        <v>40</v>
      </c>
      <c r="L629" s="4" t="n">
        <f aca="false">IF(O629="Delivered",I629-J629+K629,0)</f>
        <v>399</v>
      </c>
      <c r="M629" s="0" t="n">
        <v>38</v>
      </c>
      <c r="N629" s="0" t="n">
        <v>4.1</v>
      </c>
      <c r="O629" s="3" t="s">
        <v>17</v>
      </c>
    </row>
    <row r="630" customFormat="false" ht="15" hidden="false" customHeight="false" outlineLevel="0" collapsed="false">
      <c r="A630" s="0" t="s">
        <v>1665</v>
      </c>
      <c r="B630" s="2" t="n">
        <v>45829</v>
      </c>
      <c r="C630" s="0" t="str">
        <f aca="false">TEXT(B630,"mmm")</f>
        <v>Jun</v>
      </c>
      <c r="D630" s="0" t="str">
        <f aca="false">TEXT(B630,"ddd")</f>
        <v>Sat</v>
      </c>
      <c r="E630" s="3" t="s">
        <v>27</v>
      </c>
      <c r="F630" s="3" t="s">
        <v>56</v>
      </c>
      <c r="G630" s="3" t="s">
        <v>21</v>
      </c>
      <c r="H630" s="3" t="s">
        <v>16</v>
      </c>
      <c r="I630" s="4" t="n">
        <v>494</v>
      </c>
      <c r="J630" s="4" t="n">
        <v>119</v>
      </c>
      <c r="K630" s="4" t="n">
        <v>45</v>
      </c>
      <c r="L630" s="4" t="n">
        <f aca="false">IF(O630="Delivered",I630-J630+K630,0)</f>
        <v>420</v>
      </c>
      <c r="M630" s="0" t="n">
        <v>45</v>
      </c>
      <c r="N630" s="0" t="n">
        <v>4.1</v>
      </c>
      <c r="O630" s="3" t="s">
        <v>17</v>
      </c>
    </row>
    <row r="631" customFormat="false" ht="15" hidden="false" customHeight="false" outlineLevel="0" collapsed="false">
      <c r="A631" s="0" t="s">
        <v>323</v>
      </c>
      <c r="B631" s="2" t="n">
        <v>45830</v>
      </c>
      <c r="C631" s="0" t="str">
        <f aca="false">TEXT(B631,"mmm")</f>
        <v>Jun</v>
      </c>
      <c r="D631" s="0" t="str">
        <f aca="false">TEXT(B631,"ddd")</f>
        <v>Sun</v>
      </c>
      <c r="E631" s="3" t="s">
        <v>27</v>
      </c>
      <c r="F631" s="3" t="s">
        <v>56</v>
      </c>
      <c r="G631" s="3" t="s">
        <v>15</v>
      </c>
      <c r="H631" s="3" t="s">
        <v>22</v>
      </c>
      <c r="I631" s="4" t="n">
        <v>332</v>
      </c>
      <c r="J631" s="4" t="n">
        <v>53</v>
      </c>
      <c r="K631" s="4" t="n">
        <v>30</v>
      </c>
      <c r="L631" s="4" t="n">
        <f aca="false">IF(O631="Delivered",I631-J631+K631,0)</f>
        <v>309</v>
      </c>
      <c r="M631" s="0" t="n">
        <v>46</v>
      </c>
      <c r="N631" s="0" t="n">
        <v>3.1</v>
      </c>
      <c r="O631" s="3" t="s">
        <v>17</v>
      </c>
    </row>
    <row r="632" customFormat="false" ht="15" hidden="false" customHeight="false" outlineLevel="0" collapsed="false">
      <c r="A632" s="0" t="s">
        <v>1295</v>
      </c>
      <c r="B632" s="2" t="n">
        <v>45830</v>
      </c>
      <c r="C632" s="0" t="str">
        <f aca="false">TEXT(B632,"mmm")</f>
        <v>Jun</v>
      </c>
      <c r="D632" s="0" t="str">
        <f aca="false">TEXT(B632,"ddd")</f>
        <v>Sun</v>
      </c>
      <c r="E632" s="3" t="s">
        <v>24</v>
      </c>
      <c r="F632" s="3" t="s">
        <v>14</v>
      </c>
      <c r="G632" s="3" t="s">
        <v>21</v>
      </c>
      <c r="H632" s="3" t="s">
        <v>22</v>
      </c>
      <c r="I632" s="4" t="n">
        <v>412</v>
      </c>
      <c r="J632" s="4" t="n">
        <v>0</v>
      </c>
      <c r="K632" s="4" t="n">
        <v>45</v>
      </c>
      <c r="L632" s="4" t="n">
        <f aca="false">IF(O632="Delivered",I632-J632+K632,0)</f>
        <v>457</v>
      </c>
      <c r="M632" s="0" t="n">
        <v>45</v>
      </c>
      <c r="N632" s="0" t="n">
        <v>4.9</v>
      </c>
      <c r="O632" s="3" t="s">
        <v>17</v>
      </c>
    </row>
    <row r="633" customFormat="false" ht="15" hidden="false" customHeight="false" outlineLevel="0" collapsed="false">
      <c r="A633" s="0" t="s">
        <v>1520</v>
      </c>
      <c r="B633" s="2" t="n">
        <v>45830</v>
      </c>
      <c r="C633" s="0" t="str">
        <f aca="false">TEXT(B633,"mmm")</f>
        <v>Jun</v>
      </c>
      <c r="D633" s="0" t="str">
        <f aca="false">TEXT(B633,"ddd")</f>
        <v>Sun</v>
      </c>
      <c r="E633" s="3" t="s">
        <v>24</v>
      </c>
      <c r="F633" s="3" t="s">
        <v>28</v>
      </c>
      <c r="G633" s="3" t="s">
        <v>21</v>
      </c>
      <c r="H633" s="3" t="s">
        <v>22</v>
      </c>
      <c r="I633" s="4" t="n">
        <v>409</v>
      </c>
      <c r="J633" s="4" t="n">
        <v>100</v>
      </c>
      <c r="K633" s="4" t="n">
        <v>20</v>
      </c>
      <c r="L633" s="4" t="n">
        <f aca="false">IF(O633="Delivered",I633-J633+K633,0)</f>
        <v>329</v>
      </c>
      <c r="M633" s="0" t="n">
        <v>44</v>
      </c>
      <c r="N633" s="0" t="n">
        <v>3.5</v>
      </c>
      <c r="O633" s="3" t="s">
        <v>17</v>
      </c>
    </row>
    <row r="634" customFormat="false" ht="15" hidden="false" customHeight="false" outlineLevel="0" collapsed="false">
      <c r="A634" s="0" t="s">
        <v>579</v>
      </c>
      <c r="B634" s="2" t="n">
        <v>45831</v>
      </c>
      <c r="C634" s="0" t="str">
        <f aca="false">TEXT(B634,"mmm")</f>
        <v>Jun</v>
      </c>
      <c r="D634" s="0" t="str">
        <f aca="false">TEXT(B634,"ddd")</f>
        <v>Mon</v>
      </c>
      <c r="E634" s="3" t="s">
        <v>27</v>
      </c>
      <c r="F634" s="3" t="s">
        <v>14</v>
      </c>
      <c r="G634" s="3" t="s">
        <v>21</v>
      </c>
      <c r="H634" s="3" t="s">
        <v>36</v>
      </c>
      <c r="I634" s="4" t="n">
        <v>219</v>
      </c>
      <c r="J634" s="4" t="n">
        <v>0</v>
      </c>
      <c r="K634" s="4" t="n">
        <v>20</v>
      </c>
      <c r="L634" s="4" t="n">
        <f aca="false">IF(O634="Delivered",I634-J634+K634,0)</f>
        <v>239</v>
      </c>
      <c r="M634" s="0" t="n">
        <v>35</v>
      </c>
      <c r="N634" s="0" t="n">
        <v>5</v>
      </c>
      <c r="O634" s="3" t="s">
        <v>17</v>
      </c>
    </row>
    <row r="635" customFormat="false" ht="15" hidden="false" customHeight="false" outlineLevel="0" collapsed="false">
      <c r="A635" s="0" t="s">
        <v>1555</v>
      </c>
      <c r="B635" s="2" t="n">
        <v>45831</v>
      </c>
      <c r="C635" s="0" t="str">
        <f aca="false">TEXT(B635,"mmm")</f>
        <v>Jun</v>
      </c>
      <c r="D635" s="0" t="str">
        <f aca="false">TEXT(B635,"ddd")</f>
        <v>Mon</v>
      </c>
      <c r="E635" s="3" t="s">
        <v>40</v>
      </c>
      <c r="F635" s="3" t="s">
        <v>31</v>
      </c>
      <c r="G635" s="3" t="s">
        <v>15</v>
      </c>
      <c r="H635" s="3" t="s">
        <v>22</v>
      </c>
      <c r="I635" s="4" t="n">
        <v>493</v>
      </c>
      <c r="J635" s="4" t="n">
        <v>0</v>
      </c>
      <c r="K635" s="4" t="n">
        <v>20</v>
      </c>
      <c r="L635" s="4" t="n">
        <f aca="false">IF(O635="Delivered",I635-J635+K635,0)</f>
        <v>513</v>
      </c>
      <c r="M635" s="0" t="n">
        <v>27</v>
      </c>
      <c r="N635" s="0" t="n">
        <v>4.8</v>
      </c>
      <c r="O635" s="3" t="s">
        <v>17</v>
      </c>
    </row>
    <row r="636" customFormat="false" ht="15" hidden="false" customHeight="false" outlineLevel="0" collapsed="false">
      <c r="A636" s="0" t="s">
        <v>1681</v>
      </c>
      <c r="B636" s="2" t="n">
        <v>45831</v>
      </c>
      <c r="C636" s="0" t="str">
        <f aca="false">TEXT(B636,"mmm")</f>
        <v>Jun</v>
      </c>
      <c r="D636" s="0" t="str">
        <f aca="false">TEXT(B636,"ddd")</f>
        <v>Mon</v>
      </c>
      <c r="E636" s="3" t="s">
        <v>27</v>
      </c>
      <c r="F636" s="3" t="s">
        <v>25</v>
      </c>
      <c r="G636" s="3" t="s">
        <v>21</v>
      </c>
      <c r="H636" s="3" t="s">
        <v>54</v>
      </c>
      <c r="I636" s="4" t="n">
        <v>375</v>
      </c>
      <c r="J636" s="4" t="n">
        <v>0</v>
      </c>
      <c r="K636" s="4" t="n">
        <v>40</v>
      </c>
      <c r="L636" s="4" t="n">
        <f aca="false">IF(O636="Delivered",I636-J636+K636,0)</f>
        <v>415</v>
      </c>
      <c r="M636" s="0" t="n">
        <v>41</v>
      </c>
      <c r="N636" s="0" t="n">
        <v>4.3</v>
      </c>
      <c r="O636" s="3" t="s">
        <v>17</v>
      </c>
    </row>
    <row r="637" customFormat="false" ht="15" hidden="false" customHeight="false" outlineLevel="0" collapsed="false">
      <c r="A637" s="0" t="s">
        <v>174</v>
      </c>
      <c r="B637" s="2" t="n">
        <v>45832</v>
      </c>
      <c r="C637" s="0" t="str">
        <f aca="false">TEXT(B637,"mmm")</f>
        <v>Jun</v>
      </c>
      <c r="D637" s="0" t="str">
        <f aca="false">TEXT(B637,"ddd")</f>
        <v>Tue</v>
      </c>
      <c r="E637" s="3" t="s">
        <v>19</v>
      </c>
      <c r="F637" s="3" t="s">
        <v>25</v>
      </c>
      <c r="G637" s="3" t="s">
        <v>21</v>
      </c>
      <c r="H637" s="3" t="s">
        <v>36</v>
      </c>
      <c r="I637" s="4" t="n">
        <v>541</v>
      </c>
      <c r="J637" s="4" t="n">
        <v>105</v>
      </c>
      <c r="K637" s="4" t="n">
        <v>0</v>
      </c>
      <c r="L637" s="4" t="n">
        <f aca="false">IF(O637="Delivered",I637-J637+K637,0)</f>
        <v>436</v>
      </c>
      <c r="M637" s="0" t="n">
        <v>34</v>
      </c>
      <c r="N637" s="0" t="n">
        <v>4.9</v>
      </c>
      <c r="O637" s="3" t="s">
        <v>17</v>
      </c>
    </row>
    <row r="638" customFormat="false" ht="15" hidden="false" customHeight="false" outlineLevel="0" collapsed="false">
      <c r="A638" s="0" t="s">
        <v>605</v>
      </c>
      <c r="B638" s="2" t="n">
        <v>45832</v>
      </c>
      <c r="C638" s="0" t="str">
        <f aca="false">TEXT(B638,"mmm")</f>
        <v>Jun</v>
      </c>
      <c r="D638" s="0" t="str">
        <f aca="false">TEXT(B638,"ddd")</f>
        <v>Tue</v>
      </c>
      <c r="E638" s="3" t="s">
        <v>24</v>
      </c>
      <c r="F638" s="3" t="s">
        <v>28</v>
      </c>
      <c r="G638" s="3" t="s">
        <v>15</v>
      </c>
      <c r="H638" s="3" t="s">
        <v>16</v>
      </c>
      <c r="I638" s="4" t="n">
        <v>507</v>
      </c>
      <c r="J638" s="4" t="n">
        <v>73</v>
      </c>
      <c r="K638" s="4" t="n">
        <v>0</v>
      </c>
      <c r="L638" s="4" t="n">
        <f aca="false">IF(O638="Delivered",I638-J638+K638,0)</f>
        <v>0</v>
      </c>
      <c r="O638" s="3" t="s">
        <v>68</v>
      </c>
    </row>
    <row r="639" customFormat="false" ht="15" hidden="false" customHeight="false" outlineLevel="0" collapsed="false">
      <c r="A639" s="0" t="s">
        <v>879</v>
      </c>
      <c r="B639" s="2" t="n">
        <v>45832</v>
      </c>
      <c r="C639" s="0" t="str">
        <f aca="false">TEXT(B639,"mmm")</f>
        <v>Jun</v>
      </c>
      <c r="D639" s="0" t="str">
        <f aca="false">TEXT(B639,"ddd")</f>
        <v>Tue</v>
      </c>
      <c r="E639" s="3" t="s">
        <v>13</v>
      </c>
      <c r="F639" s="3" t="s">
        <v>14</v>
      </c>
      <c r="G639" s="3" t="s">
        <v>15</v>
      </c>
      <c r="H639" s="3" t="s">
        <v>16</v>
      </c>
      <c r="I639" s="4" t="n">
        <v>408</v>
      </c>
      <c r="J639" s="4" t="n">
        <v>0</v>
      </c>
      <c r="K639" s="4" t="n">
        <v>45</v>
      </c>
      <c r="L639" s="4" t="n">
        <f aca="false">IF(O639="Delivered",I639-J639+K639,0)</f>
        <v>453</v>
      </c>
      <c r="M639" s="0" t="n">
        <v>29</v>
      </c>
      <c r="N639" s="0" t="n">
        <v>5</v>
      </c>
      <c r="O639" s="3" t="s">
        <v>17</v>
      </c>
    </row>
    <row r="640" customFormat="false" ht="15" hidden="false" customHeight="false" outlineLevel="0" collapsed="false">
      <c r="A640" s="0" t="s">
        <v>1451</v>
      </c>
      <c r="B640" s="2" t="n">
        <v>45832</v>
      </c>
      <c r="C640" s="0" t="str">
        <f aca="false">TEXT(B640,"mmm")</f>
        <v>Jun</v>
      </c>
      <c r="D640" s="0" t="str">
        <f aca="false">TEXT(B640,"ddd")</f>
        <v>Tue</v>
      </c>
      <c r="E640" s="3" t="s">
        <v>13</v>
      </c>
      <c r="F640" s="3" t="s">
        <v>20</v>
      </c>
      <c r="G640" s="3" t="s">
        <v>21</v>
      </c>
      <c r="H640" s="3" t="s">
        <v>22</v>
      </c>
      <c r="I640" s="4" t="n">
        <v>443</v>
      </c>
      <c r="J640" s="4" t="n">
        <v>0</v>
      </c>
      <c r="K640" s="4" t="n">
        <v>20</v>
      </c>
      <c r="L640" s="4" t="n">
        <f aca="false">IF(O640="Delivered",I640-J640+K640,0)</f>
        <v>463</v>
      </c>
      <c r="M640" s="0" t="n">
        <v>22</v>
      </c>
      <c r="N640" s="0" t="n">
        <v>4.5</v>
      </c>
      <c r="O640" s="3" t="s">
        <v>17</v>
      </c>
    </row>
    <row r="641" customFormat="false" ht="15" hidden="false" customHeight="false" outlineLevel="0" collapsed="false">
      <c r="A641" s="0" t="s">
        <v>1556</v>
      </c>
      <c r="B641" s="2" t="n">
        <v>45832</v>
      </c>
      <c r="C641" s="0" t="str">
        <f aca="false">TEXT(B641,"mmm")</f>
        <v>Jun</v>
      </c>
      <c r="D641" s="0" t="str">
        <f aca="false">TEXT(B641,"ddd")</f>
        <v>Tue</v>
      </c>
      <c r="E641" s="3" t="s">
        <v>40</v>
      </c>
      <c r="F641" s="3" t="s">
        <v>56</v>
      </c>
      <c r="G641" s="3" t="s">
        <v>15</v>
      </c>
      <c r="H641" s="3" t="s">
        <v>22</v>
      </c>
      <c r="I641" s="4" t="n">
        <v>237</v>
      </c>
      <c r="J641" s="4" t="n">
        <v>36</v>
      </c>
      <c r="K641" s="4" t="n">
        <v>20</v>
      </c>
      <c r="L641" s="4" t="n">
        <f aca="false">IF(O641="Delivered",I641-J641+K641,0)</f>
        <v>221</v>
      </c>
      <c r="M641" s="0" t="n">
        <v>33</v>
      </c>
      <c r="N641" s="0" t="n">
        <v>3.9</v>
      </c>
      <c r="O641" s="3" t="s">
        <v>17</v>
      </c>
    </row>
    <row r="642" customFormat="false" ht="15" hidden="false" customHeight="false" outlineLevel="0" collapsed="false">
      <c r="A642" s="0" t="s">
        <v>659</v>
      </c>
      <c r="B642" s="2" t="n">
        <v>45833</v>
      </c>
      <c r="C642" s="0" t="str">
        <f aca="false">TEXT(B642,"mmm")</f>
        <v>Jun</v>
      </c>
      <c r="D642" s="0" t="str">
        <f aca="false">TEXT(B642,"ddd")</f>
        <v>Wed</v>
      </c>
      <c r="E642" s="3" t="s">
        <v>24</v>
      </c>
      <c r="F642" s="3" t="s">
        <v>14</v>
      </c>
      <c r="G642" s="3" t="s">
        <v>21</v>
      </c>
      <c r="H642" s="3" t="s">
        <v>22</v>
      </c>
      <c r="I642" s="4" t="n">
        <v>458</v>
      </c>
      <c r="J642" s="4" t="n">
        <v>0</v>
      </c>
      <c r="K642" s="4" t="n">
        <v>20</v>
      </c>
      <c r="L642" s="4" t="n">
        <f aca="false">IF(O642="Delivered",I642-J642+K642,0)</f>
        <v>478</v>
      </c>
      <c r="M642" s="0" t="n">
        <v>36</v>
      </c>
      <c r="N642" s="0" t="n">
        <v>5</v>
      </c>
      <c r="O642" s="3" t="s">
        <v>17</v>
      </c>
    </row>
    <row r="643" customFormat="false" ht="15" hidden="false" customHeight="false" outlineLevel="0" collapsed="false">
      <c r="A643" s="0" t="s">
        <v>850</v>
      </c>
      <c r="B643" s="2" t="n">
        <v>45833</v>
      </c>
      <c r="C643" s="0" t="str">
        <f aca="false">TEXT(B643,"mmm")</f>
        <v>Jun</v>
      </c>
      <c r="D643" s="0" t="str">
        <f aca="false">TEXT(B643,"ddd")</f>
        <v>Wed</v>
      </c>
      <c r="E643" s="3" t="s">
        <v>27</v>
      </c>
      <c r="F643" s="3" t="s">
        <v>56</v>
      </c>
      <c r="G643" s="3" t="s">
        <v>21</v>
      </c>
      <c r="H643" s="3" t="s">
        <v>22</v>
      </c>
      <c r="I643" s="4" t="n">
        <v>330</v>
      </c>
      <c r="J643" s="4" t="n">
        <v>0</v>
      </c>
      <c r="K643" s="4" t="n">
        <v>30</v>
      </c>
      <c r="L643" s="4" t="n">
        <f aca="false">IF(O643="Delivered",I643-J643+K643,0)</f>
        <v>360</v>
      </c>
      <c r="M643" s="0" t="n">
        <v>51</v>
      </c>
      <c r="N643" s="0" t="n">
        <v>3.9</v>
      </c>
      <c r="O643" s="3" t="s">
        <v>17</v>
      </c>
    </row>
    <row r="644" customFormat="false" ht="15" hidden="false" customHeight="false" outlineLevel="0" collapsed="false">
      <c r="A644" s="0" t="s">
        <v>1111</v>
      </c>
      <c r="B644" s="2" t="n">
        <v>45833</v>
      </c>
      <c r="C644" s="0" t="str">
        <f aca="false">TEXT(B644,"mmm")</f>
        <v>Jun</v>
      </c>
      <c r="D644" s="0" t="str">
        <f aca="false">TEXT(B644,"ddd")</f>
        <v>Wed</v>
      </c>
      <c r="E644" s="3" t="s">
        <v>13</v>
      </c>
      <c r="F644" s="3" t="s">
        <v>31</v>
      </c>
      <c r="G644" s="3" t="s">
        <v>15</v>
      </c>
      <c r="H644" s="3" t="s">
        <v>22</v>
      </c>
      <c r="I644" s="4" t="n">
        <v>316</v>
      </c>
      <c r="J644" s="4" t="n">
        <v>34</v>
      </c>
      <c r="K644" s="4" t="n">
        <v>30</v>
      </c>
      <c r="L644" s="4" t="n">
        <f aca="false">IF(O644="Delivered",I644-J644+K644,0)</f>
        <v>312</v>
      </c>
      <c r="M644" s="0" t="n">
        <v>36</v>
      </c>
      <c r="O644" s="3" t="s">
        <v>17</v>
      </c>
    </row>
    <row r="645" customFormat="false" ht="15" hidden="false" customHeight="false" outlineLevel="0" collapsed="false">
      <c r="A645" s="0" t="s">
        <v>1650</v>
      </c>
      <c r="B645" s="2" t="n">
        <v>45833</v>
      </c>
      <c r="C645" s="0" t="str">
        <f aca="false">TEXT(B645,"mmm")</f>
        <v>Jun</v>
      </c>
      <c r="D645" s="0" t="str">
        <f aca="false">TEXT(B645,"ddd")</f>
        <v>Wed</v>
      </c>
      <c r="E645" s="3" t="s">
        <v>24</v>
      </c>
      <c r="F645" s="3" t="s">
        <v>31</v>
      </c>
      <c r="G645" s="3" t="s">
        <v>21</v>
      </c>
      <c r="H645" s="3" t="s">
        <v>22</v>
      </c>
      <c r="I645" s="4" t="n">
        <v>363</v>
      </c>
      <c r="J645" s="4" t="n">
        <v>0</v>
      </c>
      <c r="K645" s="4" t="n">
        <v>45</v>
      </c>
      <c r="L645" s="4" t="n">
        <f aca="false">IF(O645="Delivered",I645-J645+K645,0)</f>
        <v>408</v>
      </c>
      <c r="M645" s="0" t="n">
        <v>34</v>
      </c>
      <c r="O645" s="3" t="s">
        <v>17</v>
      </c>
    </row>
    <row r="646" customFormat="false" ht="15" hidden="false" customHeight="false" outlineLevel="0" collapsed="false">
      <c r="A646" s="0" t="s">
        <v>84</v>
      </c>
      <c r="B646" s="2" t="n">
        <v>45834</v>
      </c>
      <c r="C646" s="0" t="str">
        <f aca="false">TEXT(B646,"mmm")</f>
        <v>Jun</v>
      </c>
      <c r="D646" s="0" t="str">
        <f aca="false">TEXT(B646,"ddd")</f>
        <v>Thu</v>
      </c>
      <c r="E646" s="3" t="s">
        <v>30</v>
      </c>
      <c r="F646" s="3" t="s">
        <v>56</v>
      </c>
      <c r="G646" s="3" t="s">
        <v>15</v>
      </c>
      <c r="H646" s="3" t="s">
        <v>16</v>
      </c>
      <c r="I646" s="4" t="n">
        <v>416</v>
      </c>
      <c r="J646" s="4" t="n">
        <v>94</v>
      </c>
      <c r="K646" s="4" t="n">
        <v>40</v>
      </c>
      <c r="L646" s="4" t="n">
        <f aca="false">IF(O646="Delivered",I646-J646+K646,0)</f>
        <v>362</v>
      </c>
      <c r="M646" s="0" t="n">
        <v>20</v>
      </c>
      <c r="N646" s="0" t="n">
        <v>3.8</v>
      </c>
      <c r="O646" s="3" t="s">
        <v>17</v>
      </c>
    </row>
    <row r="647" customFormat="false" ht="15" hidden="false" customHeight="false" outlineLevel="0" collapsed="false">
      <c r="A647" s="0" t="s">
        <v>119</v>
      </c>
      <c r="B647" s="2" t="n">
        <v>45834</v>
      </c>
      <c r="C647" s="0" t="str">
        <f aca="false">TEXT(B647,"mmm")</f>
        <v>Jun</v>
      </c>
      <c r="D647" s="0" t="str">
        <f aca="false">TEXT(B647,"ddd")</f>
        <v>Thu</v>
      </c>
      <c r="E647" s="3" t="s">
        <v>27</v>
      </c>
      <c r="F647" s="3" t="s">
        <v>56</v>
      </c>
      <c r="G647" s="3" t="s">
        <v>21</v>
      </c>
      <c r="H647" s="3" t="s">
        <v>22</v>
      </c>
      <c r="I647" s="4" t="n">
        <v>452</v>
      </c>
      <c r="J647" s="4" t="n">
        <v>0</v>
      </c>
      <c r="K647" s="4" t="n">
        <v>40</v>
      </c>
      <c r="L647" s="4" t="n">
        <f aca="false">IF(O647="Delivered",I647-J647+K647,0)</f>
        <v>492</v>
      </c>
      <c r="M647" s="0" t="n">
        <v>51</v>
      </c>
      <c r="N647" s="0" t="n">
        <v>3.7</v>
      </c>
      <c r="O647" s="3" t="s">
        <v>17</v>
      </c>
    </row>
    <row r="648" customFormat="false" ht="15" hidden="false" customHeight="false" outlineLevel="0" collapsed="false">
      <c r="A648" s="0" t="s">
        <v>242</v>
      </c>
      <c r="B648" s="2" t="n">
        <v>45834</v>
      </c>
      <c r="C648" s="0" t="str">
        <f aca="false">TEXT(B648,"mmm")</f>
        <v>Jun</v>
      </c>
      <c r="D648" s="0" t="str">
        <f aca="false">TEXT(B648,"ddd")</f>
        <v>Thu</v>
      </c>
      <c r="E648" s="3" t="s">
        <v>13</v>
      </c>
      <c r="F648" s="3" t="s">
        <v>14</v>
      </c>
      <c r="G648" s="3" t="s">
        <v>15</v>
      </c>
      <c r="H648" s="3" t="s">
        <v>36</v>
      </c>
      <c r="I648" s="4" t="n">
        <v>294</v>
      </c>
      <c r="J648" s="4" t="n">
        <v>0</v>
      </c>
      <c r="K648" s="4" t="n">
        <v>40</v>
      </c>
      <c r="L648" s="4" t="n">
        <f aca="false">IF(O648="Delivered",I648-J648+K648,0)</f>
        <v>334</v>
      </c>
      <c r="M648" s="0" t="n">
        <v>31</v>
      </c>
      <c r="N648" s="0" t="n">
        <v>4.4</v>
      </c>
      <c r="O648" s="3" t="s">
        <v>17</v>
      </c>
    </row>
    <row r="649" customFormat="false" ht="15" hidden="false" customHeight="false" outlineLevel="0" collapsed="false">
      <c r="A649" s="0" t="s">
        <v>1318</v>
      </c>
      <c r="B649" s="2" t="n">
        <v>45834</v>
      </c>
      <c r="C649" s="0" t="str">
        <f aca="false">TEXT(B649,"mmm")</f>
        <v>Jun</v>
      </c>
      <c r="D649" s="0" t="str">
        <f aca="false">TEXT(B649,"ddd")</f>
        <v>Thu</v>
      </c>
      <c r="E649" s="3" t="s">
        <v>40</v>
      </c>
      <c r="F649" s="3" t="s">
        <v>56</v>
      </c>
      <c r="G649" s="3" t="s">
        <v>15</v>
      </c>
      <c r="H649" s="3" t="s">
        <v>22</v>
      </c>
      <c r="I649" s="4" t="n">
        <v>364</v>
      </c>
      <c r="J649" s="4" t="n">
        <v>0</v>
      </c>
      <c r="K649" s="4" t="n">
        <v>45</v>
      </c>
      <c r="L649" s="4" t="n">
        <f aca="false">IF(O649="Delivered",I649-J649+K649,0)</f>
        <v>409</v>
      </c>
      <c r="M649" s="0" t="n">
        <v>39</v>
      </c>
      <c r="N649" s="0" t="n">
        <v>4.7</v>
      </c>
      <c r="O649" s="3" t="s">
        <v>17</v>
      </c>
    </row>
    <row r="650" customFormat="false" ht="15" hidden="false" customHeight="false" outlineLevel="0" collapsed="false">
      <c r="A650" s="0" t="s">
        <v>1660</v>
      </c>
      <c r="B650" s="2" t="n">
        <v>45834</v>
      </c>
      <c r="C650" s="0" t="str">
        <f aca="false">TEXT(B650,"mmm")</f>
        <v>Jun</v>
      </c>
      <c r="D650" s="0" t="str">
        <f aca="false">TEXT(B650,"ddd")</f>
        <v>Thu</v>
      </c>
      <c r="E650" s="3" t="s">
        <v>13</v>
      </c>
      <c r="F650" s="3" t="s">
        <v>20</v>
      </c>
      <c r="G650" s="3" t="s">
        <v>21</v>
      </c>
      <c r="H650" s="3" t="s">
        <v>16</v>
      </c>
      <c r="I650" s="4" t="n">
        <v>445</v>
      </c>
      <c r="J650" s="4" t="n">
        <v>103</v>
      </c>
      <c r="K650" s="4" t="n">
        <v>20</v>
      </c>
      <c r="L650" s="4" t="n">
        <f aca="false">IF(O650="Delivered",I650-J650+K650,0)</f>
        <v>362</v>
      </c>
      <c r="M650" s="0" t="n">
        <v>46</v>
      </c>
      <c r="N650" s="0" t="n">
        <v>4.1</v>
      </c>
      <c r="O650" s="3" t="s">
        <v>17</v>
      </c>
    </row>
    <row r="651" customFormat="false" ht="15" hidden="false" customHeight="false" outlineLevel="0" collapsed="false">
      <c r="A651" s="0" t="s">
        <v>18</v>
      </c>
      <c r="B651" s="2" t="n">
        <v>45835</v>
      </c>
      <c r="C651" s="0" t="str">
        <f aca="false">TEXT(B651,"mmm")</f>
        <v>Jun</v>
      </c>
      <c r="D651" s="0" t="str">
        <f aca="false">TEXT(B651,"ddd")</f>
        <v>Fri</v>
      </c>
      <c r="E651" s="3" t="s">
        <v>19</v>
      </c>
      <c r="F651" s="3" t="s">
        <v>20</v>
      </c>
      <c r="G651" s="3" t="s">
        <v>21</v>
      </c>
      <c r="H651" s="3" t="s">
        <v>22</v>
      </c>
      <c r="I651" s="4" t="n">
        <v>517</v>
      </c>
      <c r="J651" s="4" t="n">
        <v>0</v>
      </c>
      <c r="K651" s="4" t="n">
        <v>0</v>
      </c>
      <c r="L651" s="4" t="n">
        <f aca="false">IF(O651="Delivered",I651-J651+K651,0)</f>
        <v>517</v>
      </c>
      <c r="M651" s="0" t="n">
        <v>24</v>
      </c>
      <c r="N651" s="0" t="n">
        <v>4.7</v>
      </c>
      <c r="O651" s="3" t="s">
        <v>17</v>
      </c>
    </row>
    <row r="652" customFormat="false" ht="15" hidden="false" customHeight="false" outlineLevel="0" collapsed="false">
      <c r="A652" s="0" t="s">
        <v>210</v>
      </c>
      <c r="B652" s="2" t="n">
        <v>45835</v>
      </c>
      <c r="C652" s="0" t="str">
        <f aca="false">TEXT(B652,"mmm")</f>
        <v>Jun</v>
      </c>
      <c r="D652" s="0" t="str">
        <f aca="false">TEXT(B652,"ddd")</f>
        <v>Fri</v>
      </c>
      <c r="E652" s="3" t="s">
        <v>45</v>
      </c>
      <c r="F652" s="3" t="s">
        <v>14</v>
      </c>
      <c r="G652" s="3" t="s">
        <v>15</v>
      </c>
      <c r="H652" s="3" t="s">
        <v>54</v>
      </c>
      <c r="I652" s="4" t="n">
        <v>226</v>
      </c>
      <c r="J652" s="4" t="n">
        <v>0</v>
      </c>
      <c r="K652" s="4" t="n">
        <v>40</v>
      </c>
      <c r="L652" s="4" t="n">
        <f aca="false">IF(O652="Delivered",I652-J652+K652,0)</f>
        <v>266</v>
      </c>
      <c r="M652" s="0" t="n">
        <v>28</v>
      </c>
      <c r="O652" s="3" t="s">
        <v>17</v>
      </c>
    </row>
    <row r="653" customFormat="false" ht="15" hidden="false" customHeight="false" outlineLevel="0" collapsed="false">
      <c r="A653" s="0" t="s">
        <v>467</v>
      </c>
      <c r="B653" s="2" t="n">
        <v>45835</v>
      </c>
      <c r="C653" s="0" t="str">
        <f aca="false">TEXT(B653,"mmm")</f>
        <v>Jun</v>
      </c>
      <c r="D653" s="0" t="str">
        <f aca="false">TEXT(B653,"ddd")</f>
        <v>Fri</v>
      </c>
      <c r="E653" s="3" t="s">
        <v>24</v>
      </c>
      <c r="F653" s="3" t="s">
        <v>49</v>
      </c>
      <c r="G653" s="3" t="s">
        <v>21</v>
      </c>
      <c r="H653" s="3" t="s">
        <v>54</v>
      </c>
      <c r="I653" s="4" t="n">
        <v>358</v>
      </c>
      <c r="J653" s="4" t="n">
        <v>0</v>
      </c>
      <c r="K653" s="4" t="n">
        <v>45</v>
      </c>
      <c r="L653" s="4" t="n">
        <f aca="false">IF(O653="Delivered",I653-J653+K653,0)</f>
        <v>403</v>
      </c>
      <c r="M653" s="0" t="n">
        <v>42</v>
      </c>
      <c r="N653" s="0" t="n">
        <v>4</v>
      </c>
      <c r="O653" s="3" t="s">
        <v>17</v>
      </c>
    </row>
    <row r="654" customFormat="false" ht="15" hidden="false" customHeight="false" outlineLevel="0" collapsed="false">
      <c r="A654" s="0" t="s">
        <v>731</v>
      </c>
      <c r="B654" s="2" t="n">
        <v>45835</v>
      </c>
      <c r="C654" s="0" t="str">
        <f aca="false">TEXT(B654,"mmm")</f>
        <v>Jun</v>
      </c>
      <c r="D654" s="0" t="str">
        <f aca="false">TEXT(B654,"ddd")</f>
        <v>Fri</v>
      </c>
      <c r="E654" s="3" t="s">
        <v>40</v>
      </c>
      <c r="F654" s="3" t="s">
        <v>25</v>
      </c>
      <c r="G654" s="3" t="s">
        <v>21</v>
      </c>
      <c r="H654" s="3" t="s">
        <v>22</v>
      </c>
      <c r="I654" s="4" t="n">
        <v>291</v>
      </c>
      <c r="J654" s="4" t="n">
        <v>0</v>
      </c>
      <c r="K654" s="4" t="n">
        <v>30</v>
      </c>
      <c r="L654" s="4" t="n">
        <f aca="false">IF(O654="Delivered",I654-J654+K654,0)</f>
        <v>321</v>
      </c>
      <c r="M654" s="0" t="n">
        <v>31</v>
      </c>
      <c r="N654" s="0" t="n">
        <v>3.8</v>
      </c>
      <c r="O654" s="3" t="s">
        <v>17</v>
      </c>
    </row>
    <row r="655" customFormat="false" ht="15" hidden="false" customHeight="false" outlineLevel="0" collapsed="false">
      <c r="A655" s="0" t="s">
        <v>837</v>
      </c>
      <c r="B655" s="2" t="n">
        <v>45835</v>
      </c>
      <c r="C655" s="0" t="str">
        <f aca="false">TEXT(B655,"mmm")</f>
        <v>Jun</v>
      </c>
      <c r="D655" s="0" t="str">
        <f aca="false">TEXT(B655,"ddd")</f>
        <v>Fri</v>
      </c>
      <c r="E655" s="3" t="s">
        <v>40</v>
      </c>
      <c r="F655" s="3" t="s">
        <v>56</v>
      </c>
      <c r="G655" s="3" t="s">
        <v>15</v>
      </c>
      <c r="H655" s="3" t="s">
        <v>34</v>
      </c>
      <c r="I655" s="4" t="n">
        <v>405</v>
      </c>
      <c r="J655" s="4" t="n">
        <v>87</v>
      </c>
      <c r="K655" s="4" t="n">
        <v>20</v>
      </c>
      <c r="L655" s="4" t="n">
        <f aca="false">IF(O655="Delivered",I655-J655+K655,0)</f>
        <v>338</v>
      </c>
      <c r="M655" s="0" t="n">
        <v>44</v>
      </c>
      <c r="N655" s="0" t="n">
        <v>4.3</v>
      </c>
      <c r="O655" s="3" t="s">
        <v>17</v>
      </c>
    </row>
    <row r="656" customFormat="false" ht="15" hidden="false" customHeight="false" outlineLevel="0" collapsed="false">
      <c r="A656" s="0" t="s">
        <v>1145</v>
      </c>
      <c r="B656" s="2" t="n">
        <v>45835</v>
      </c>
      <c r="C656" s="0" t="str">
        <f aca="false">TEXT(B656,"mmm")</f>
        <v>Jun</v>
      </c>
      <c r="D656" s="0" t="str">
        <f aca="false">TEXT(B656,"ddd")</f>
        <v>Fri</v>
      </c>
      <c r="E656" s="3" t="s">
        <v>27</v>
      </c>
      <c r="F656" s="3" t="s">
        <v>31</v>
      </c>
      <c r="G656" s="3" t="s">
        <v>15</v>
      </c>
      <c r="H656" s="3" t="s">
        <v>36</v>
      </c>
      <c r="I656" s="4" t="n">
        <v>409</v>
      </c>
      <c r="J656" s="4" t="n">
        <v>75</v>
      </c>
      <c r="K656" s="4" t="n">
        <v>20</v>
      </c>
      <c r="L656" s="4" t="n">
        <f aca="false">IF(O656="Delivered",I656-J656+K656,0)</f>
        <v>354</v>
      </c>
      <c r="M656" s="0" t="n">
        <v>42</v>
      </c>
      <c r="N656" s="0" t="n">
        <v>4.6</v>
      </c>
      <c r="O656" s="3" t="s">
        <v>17</v>
      </c>
    </row>
    <row r="657" customFormat="false" ht="15" hidden="false" customHeight="false" outlineLevel="0" collapsed="false">
      <c r="A657" s="0" t="s">
        <v>1191</v>
      </c>
      <c r="B657" s="2" t="n">
        <v>45835</v>
      </c>
      <c r="C657" s="0" t="str">
        <f aca="false">TEXT(B657,"mmm")</f>
        <v>Jun</v>
      </c>
      <c r="D657" s="0" t="str">
        <f aca="false">TEXT(B657,"ddd")</f>
        <v>Fri</v>
      </c>
      <c r="E657" s="3" t="s">
        <v>40</v>
      </c>
      <c r="F657" s="3" t="s">
        <v>56</v>
      </c>
      <c r="G657" s="3" t="s">
        <v>21</v>
      </c>
      <c r="H657" s="3" t="s">
        <v>54</v>
      </c>
      <c r="I657" s="4" t="n">
        <v>434</v>
      </c>
      <c r="J657" s="4" t="n">
        <v>105</v>
      </c>
      <c r="K657" s="4" t="n">
        <v>45</v>
      </c>
      <c r="L657" s="4" t="n">
        <f aca="false">IF(O657="Delivered",I657-J657+K657,0)</f>
        <v>0</v>
      </c>
      <c r="O657" s="3" t="s">
        <v>68</v>
      </c>
    </row>
    <row r="658" customFormat="false" ht="15" hidden="false" customHeight="false" outlineLevel="0" collapsed="false">
      <c r="A658" s="0" t="s">
        <v>1640</v>
      </c>
      <c r="B658" s="2" t="n">
        <v>45835</v>
      </c>
      <c r="C658" s="0" t="str">
        <f aca="false">TEXT(B658,"mmm")</f>
        <v>Jun</v>
      </c>
      <c r="D658" s="0" t="str">
        <f aca="false">TEXT(B658,"ddd")</f>
        <v>Fri</v>
      </c>
      <c r="E658" s="3" t="s">
        <v>40</v>
      </c>
      <c r="F658" s="3" t="s">
        <v>20</v>
      </c>
      <c r="G658" s="3" t="s">
        <v>15</v>
      </c>
      <c r="H658" s="3" t="s">
        <v>36</v>
      </c>
      <c r="I658" s="4" t="n">
        <v>698</v>
      </c>
      <c r="J658" s="4" t="n">
        <v>0</v>
      </c>
      <c r="K658" s="4" t="n">
        <v>0</v>
      </c>
      <c r="L658" s="4" t="n">
        <f aca="false">IF(O658="Delivered",I658-J658+K658,0)</f>
        <v>698</v>
      </c>
      <c r="M658" s="0" t="n">
        <v>44</v>
      </c>
      <c r="N658" s="0" t="n">
        <v>4.6</v>
      </c>
      <c r="O658" s="3" t="s">
        <v>17</v>
      </c>
    </row>
    <row r="659" customFormat="false" ht="15" hidden="false" customHeight="false" outlineLevel="0" collapsed="false">
      <c r="A659" s="0" t="s">
        <v>44</v>
      </c>
      <c r="B659" s="2" t="n">
        <v>45836</v>
      </c>
      <c r="C659" s="0" t="str">
        <f aca="false">TEXT(B659,"mmm")</f>
        <v>Jun</v>
      </c>
      <c r="D659" s="0" t="str">
        <f aca="false">TEXT(B659,"ddd")</f>
        <v>Sat</v>
      </c>
      <c r="E659" s="3" t="s">
        <v>45</v>
      </c>
      <c r="F659" s="3" t="s">
        <v>25</v>
      </c>
      <c r="G659" s="3" t="s">
        <v>15</v>
      </c>
      <c r="H659" s="3" t="s">
        <v>22</v>
      </c>
      <c r="I659" s="4" t="n">
        <v>366</v>
      </c>
      <c r="J659" s="4" t="n">
        <v>40</v>
      </c>
      <c r="K659" s="4" t="n">
        <v>45</v>
      </c>
      <c r="L659" s="4" t="n">
        <f aca="false">IF(O659="Delivered",I659-J659+K659,0)</f>
        <v>371</v>
      </c>
      <c r="M659" s="0" t="n">
        <v>25</v>
      </c>
      <c r="N659" s="0" t="n">
        <v>4.6</v>
      </c>
      <c r="O659" s="3" t="s">
        <v>17</v>
      </c>
    </row>
    <row r="660" customFormat="false" ht="15" hidden="false" customHeight="false" outlineLevel="0" collapsed="false">
      <c r="A660" s="0" t="s">
        <v>492</v>
      </c>
      <c r="B660" s="2" t="n">
        <v>45836</v>
      </c>
      <c r="C660" s="0" t="str">
        <f aca="false">TEXT(B660,"mmm")</f>
        <v>Jun</v>
      </c>
      <c r="D660" s="0" t="str">
        <f aca="false">TEXT(B660,"ddd")</f>
        <v>Sat</v>
      </c>
      <c r="E660" s="3" t="s">
        <v>40</v>
      </c>
      <c r="F660" s="3" t="s">
        <v>20</v>
      </c>
      <c r="G660" s="3" t="s">
        <v>21</v>
      </c>
      <c r="H660" s="3" t="s">
        <v>36</v>
      </c>
      <c r="I660" s="4" t="n">
        <v>767</v>
      </c>
      <c r="J660" s="4" t="n">
        <v>0</v>
      </c>
      <c r="K660" s="4" t="n">
        <v>0</v>
      </c>
      <c r="L660" s="4" t="n">
        <f aca="false">IF(O660="Delivered",I660-J660+K660,0)</f>
        <v>767</v>
      </c>
      <c r="M660" s="0" t="n">
        <v>32</v>
      </c>
      <c r="O660" s="3" t="s">
        <v>17</v>
      </c>
    </row>
    <row r="661" customFormat="false" ht="15" hidden="false" customHeight="false" outlineLevel="0" collapsed="false">
      <c r="A661" s="0" t="s">
        <v>144</v>
      </c>
      <c r="B661" s="2" t="n">
        <v>45837</v>
      </c>
      <c r="C661" s="0" t="str">
        <f aca="false">TEXT(B661,"mmm")</f>
        <v>Jun</v>
      </c>
      <c r="D661" s="0" t="str">
        <f aca="false">TEXT(B661,"ddd")</f>
        <v>Sun</v>
      </c>
      <c r="E661" s="3" t="s">
        <v>51</v>
      </c>
      <c r="F661" s="3" t="s">
        <v>14</v>
      </c>
      <c r="G661" s="3" t="s">
        <v>21</v>
      </c>
      <c r="H661" s="3" t="s">
        <v>34</v>
      </c>
      <c r="I661" s="4" t="n">
        <v>322</v>
      </c>
      <c r="J661" s="4" t="n">
        <v>48</v>
      </c>
      <c r="K661" s="4" t="n">
        <v>40</v>
      </c>
      <c r="L661" s="4" t="n">
        <f aca="false">IF(O661="Delivered",I661-J661+K661,0)</f>
        <v>314</v>
      </c>
      <c r="M661" s="0" t="n">
        <v>36</v>
      </c>
      <c r="N661" s="0" t="n">
        <v>4.8</v>
      </c>
      <c r="O661" s="3" t="s">
        <v>17</v>
      </c>
    </row>
    <row r="662" customFormat="false" ht="15" hidden="false" customHeight="false" outlineLevel="0" collapsed="false">
      <c r="A662" s="0" t="s">
        <v>1227</v>
      </c>
      <c r="B662" s="2" t="n">
        <v>45837</v>
      </c>
      <c r="C662" s="0" t="str">
        <f aca="false">TEXT(B662,"mmm")</f>
        <v>Jun</v>
      </c>
      <c r="D662" s="0" t="str">
        <f aca="false">TEXT(B662,"ddd")</f>
        <v>Sun</v>
      </c>
      <c r="E662" s="3" t="s">
        <v>13</v>
      </c>
      <c r="F662" s="3" t="s">
        <v>56</v>
      </c>
      <c r="G662" s="3" t="s">
        <v>21</v>
      </c>
      <c r="H662" s="3" t="s">
        <v>22</v>
      </c>
      <c r="I662" s="4" t="n">
        <v>513</v>
      </c>
      <c r="J662" s="4" t="n">
        <v>59</v>
      </c>
      <c r="K662" s="4" t="n">
        <v>0</v>
      </c>
      <c r="L662" s="4" t="n">
        <f aca="false">IF(O662="Delivered",I662-J662+K662,0)</f>
        <v>454</v>
      </c>
      <c r="M662" s="0" t="n">
        <v>27</v>
      </c>
      <c r="N662" s="0" t="n">
        <v>4.7</v>
      </c>
      <c r="O662" s="3" t="s">
        <v>17</v>
      </c>
    </row>
    <row r="663" customFormat="false" ht="15" hidden="false" customHeight="false" outlineLevel="0" collapsed="false">
      <c r="A663" s="0" t="s">
        <v>1577</v>
      </c>
      <c r="B663" s="2" t="n">
        <v>45837</v>
      </c>
      <c r="C663" s="0" t="str">
        <f aca="false">TEXT(B663,"mmm")</f>
        <v>Jun</v>
      </c>
      <c r="D663" s="0" t="str">
        <f aca="false">TEXT(B663,"ddd")</f>
        <v>Sun</v>
      </c>
      <c r="E663" s="3" t="s">
        <v>24</v>
      </c>
      <c r="F663" s="3" t="s">
        <v>14</v>
      </c>
      <c r="G663" s="3" t="s">
        <v>21</v>
      </c>
      <c r="H663" s="3" t="s">
        <v>16</v>
      </c>
      <c r="I663" s="4" t="n">
        <v>354</v>
      </c>
      <c r="J663" s="4" t="n">
        <v>42</v>
      </c>
      <c r="K663" s="4" t="n">
        <v>20</v>
      </c>
      <c r="L663" s="4" t="n">
        <f aca="false">IF(O663="Delivered",I663-J663+K663,0)</f>
        <v>332</v>
      </c>
      <c r="M663" s="0" t="n">
        <v>33</v>
      </c>
      <c r="N663" s="0" t="n">
        <v>4.9</v>
      </c>
      <c r="O663" s="3" t="s">
        <v>17</v>
      </c>
    </row>
    <row r="664" customFormat="false" ht="15" hidden="false" customHeight="false" outlineLevel="0" collapsed="false">
      <c r="A664" s="0" t="s">
        <v>1610</v>
      </c>
      <c r="B664" s="2" t="n">
        <v>45837</v>
      </c>
      <c r="C664" s="0" t="str">
        <f aca="false">TEXT(B664,"mmm")</f>
        <v>Jun</v>
      </c>
      <c r="D664" s="0" t="str">
        <f aca="false">TEXT(B664,"ddd")</f>
        <v>Sun</v>
      </c>
      <c r="E664" s="3" t="s">
        <v>13</v>
      </c>
      <c r="F664" s="3" t="s">
        <v>31</v>
      </c>
      <c r="G664" s="3" t="s">
        <v>15</v>
      </c>
      <c r="H664" s="3" t="s">
        <v>54</v>
      </c>
      <c r="I664" s="4" t="n">
        <v>566</v>
      </c>
      <c r="J664" s="4" t="n">
        <v>105</v>
      </c>
      <c r="K664" s="4" t="n">
        <v>0</v>
      </c>
      <c r="L664" s="4" t="n">
        <f aca="false">IF(O664="Delivered",I664-J664+K664,0)</f>
        <v>461</v>
      </c>
      <c r="M664" s="0" t="n">
        <v>29</v>
      </c>
      <c r="O664" s="3" t="s">
        <v>17</v>
      </c>
    </row>
    <row r="665" customFormat="false" ht="15" hidden="false" customHeight="false" outlineLevel="0" collapsed="false">
      <c r="A665" s="0" t="s">
        <v>655</v>
      </c>
      <c r="B665" s="2" t="n">
        <v>45838</v>
      </c>
      <c r="C665" s="0" t="str">
        <f aca="false">TEXT(B665,"mmm")</f>
        <v>Jun</v>
      </c>
      <c r="D665" s="0" t="str">
        <f aca="false">TEXT(B665,"ddd")</f>
        <v>Mon</v>
      </c>
      <c r="E665" s="3" t="s">
        <v>40</v>
      </c>
      <c r="F665" s="3" t="s">
        <v>56</v>
      </c>
      <c r="G665" s="3" t="s">
        <v>21</v>
      </c>
      <c r="H665" s="3" t="s">
        <v>36</v>
      </c>
      <c r="I665" s="4" t="n">
        <v>399</v>
      </c>
      <c r="J665" s="4" t="n">
        <v>0</v>
      </c>
      <c r="K665" s="4" t="n">
        <v>40</v>
      </c>
      <c r="L665" s="4" t="n">
        <f aca="false">IF(O665="Delivered",I665-J665+K665,0)</f>
        <v>439</v>
      </c>
      <c r="M665" s="0" t="n">
        <v>31</v>
      </c>
      <c r="N665" s="0" t="n">
        <v>5</v>
      </c>
      <c r="O665" s="3" t="s">
        <v>17</v>
      </c>
    </row>
    <row r="666" customFormat="false" ht="15" hidden="false" customHeight="false" outlineLevel="0" collapsed="false">
      <c r="A666" s="0" t="s">
        <v>711</v>
      </c>
      <c r="B666" s="2" t="n">
        <v>45838</v>
      </c>
      <c r="C666" s="0" t="str">
        <f aca="false">TEXT(B666,"mmm")</f>
        <v>Jun</v>
      </c>
      <c r="D666" s="0" t="str">
        <f aca="false">TEXT(B666,"ddd")</f>
        <v>Mon</v>
      </c>
      <c r="E666" s="3" t="s">
        <v>45</v>
      </c>
      <c r="F666" s="3" t="s">
        <v>25</v>
      </c>
      <c r="G666" s="3" t="s">
        <v>21</v>
      </c>
      <c r="H666" s="3" t="s">
        <v>36</v>
      </c>
      <c r="I666" s="4" t="n">
        <v>552</v>
      </c>
      <c r="J666" s="4" t="n">
        <v>0</v>
      </c>
      <c r="K666" s="4" t="n">
        <v>0</v>
      </c>
      <c r="L666" s="4" t="n">
        <f aca="false">IF(O666="Delivered",I666-J666+K666,0)</f>
        <v>552</v>
      </c>
      <c r="M666" s="0" t="n">
        <v>31</v>
      </c>
      <c r="N666" s="0" t="n">
        <v>4.9</v>
      </c>
      <c r="O666" s="3" t="s">
        <v>17</v>
      </c>
    </row>
    <row r="667" customFormat="false" ht="15" hidden="false" customHeight="false" outlineLevel="0" collapsed="false">
      <c r="A667" s="0" t="s">
        <v>1354</v>
      </c>
      <c r="B667" s="2" t="n">
        <v>45838</v>
      </c>
      <c r="C667" s="0" t="str">
        <f aca="false">TEXT(B667,"mmm")</f>
        <v>Jun</v>
      </c>
      <c r="D667" s="0" t="str">
        <f aca="false">TEXT(B667,"ddd")</f>
        <v>Mon</v>
      </c>
      <c r="E667" s="3" t="s">
        <v>51</v>
      </c>
      <c r="F667" s="3" t="s">
        <v>31</v>
      </c>
      <c r="G667" s="3" t="s">
        <v>21</v>
      </c>
      <c r="H667" s="3" t="s">
        <v>16</v>
      </c>
      <c r="I667" s="4" t="n">
        <v>406</v>
      </c>
      <c r="J667" s="4" t="n">
        <v>0</v>
      </c>
      <c r="K667" s="4" t="n">
        <v>45</v>
      </c>
      <c r="L667" s="4" t="n">
        <f aca="false">IF(O667="Delivered",I667-J667+K667,0)</f>
        <v>451</v>
      </c>
      <c r="M667" s="0" t="n">
        <v>24</v>
      </c>
      <c r="N667" s="0" t="n">
        <v>5</v>
      </c>
      <c r="O667" s="3" t="s">
        <v>17</v>
      </c>
    </row>
    <row r="668" customFormat="false" ht="15" hidden="false" customHeight="false" outlineLevel="0" collapsed="false">
      <c r="A668" s="0" t="s">
        <v>38</v>
      </c>
      <c r="B668" s="2" t="n">
        <v>45839</v>
      </c>
      <c r="C668" s="0" t="str">
        <f aca="false">TEXT(B668,"mmm")</f>
        <v>Jul</v>
      </c>
      <c r="D668" s="0" t="str">
        <f aca="false">TEXT(B668,"ddd")</f>
        <v>Tue</v>
      </c>
      <c r="E668" s="3" t="s">
        <v>13</v>
      </c>
      <c r="F668" s="3" t="s">
        <v>28</v>
      </c>
      <c r="G668" s="3" t="s">
        <v>15</v>
      </c>
      <c r="H668" s="3" t="s">
        <v>36</v>
      </c>
      <c r="I668" s="4" t="n">
        <v>525</v>
      </c>
      <c r="J668" s="4" t="n">
        <v>74</v>
      </c>
      <c r="K668" s="4" t="n">
        <v>0</v>
      </c>
      <c r="L668" s="4" t="n">
        <f aca="false">IF(O668="Delivered",I668-J668+K668,0)</f>
        <v>451</v>
      </c>
      <c r="M668" s="0" t="n">
        <v>39</v>
      </c>
      <c r="N668" s="0" t="n">
        <v>3.4</v>
      </c>
      <c r="O668" s="3" t="s">
        <v>17</v>
      </c>
    </row>
    <row r="669" customFormat="false" ht="15" hidden="false" customHeight="false" outlineLevel="0" collapsed="false">
      <c r="A669" s="0" t="s">
        <v>159</v>
      </c>
      <c r="B669" s="2" t="n">
        <v>45839</v>
      </c>
      <c r="C669" s="0" t="str">
        <f aca="false">TEXT(B669,"mmm")</f>
        <v>Jul</v>
      </c>
      <c r="D669" s="0" t="str">
        <f aca="false">TEXT(B669,"ddd")</f>
        <v>Tue</v>
      </c>
      <c r="E669" s="3" t="s">
        <v>19</v>
      </c>
      <c r="F669" s="3" t="s">
        <v>25</v>
      </c>
      <c r="G669" s="3" t="s">
        <v>21</v>
      </c>
      <c r="H669" s="3" t="s">
        <v>54</v>
      </c>
      <c r="I669" s="4" t="n">
        <v>503</v>
      </c>
      <c r="J669" s="4" t="n">
        <v>0</v>
      </c>
      <c r="K669" s="4" t="n">
        <v>0</v>
      </c>
      <c r="L669" s="4" t="n">
        <f aca="false">IF(O669="Delivered",I669-J669+K669,0)</f>
        <v>503</v>
      </c>
      <c r="M669" s="0" t="n">
        <v>29</v>
      </c>
      <c r="N669" s="0" t="n">
        <v>4.6</v>
      </c>
      <c r="O669" s="3" t="s">
        <v>17</v>
      </c>
    </row>
    <row r="670" customFormat="false" ht="15" hidden="false" customHeight="false" outlineLevel="0" collapsed="false">
      <c r="A670" s="0" t="s">
        <v>1090</v>
      </c>
      <c r="B670" s="2" t="n">
        <v>45839</v>
      </c>
      <c r="C670" s="0" t="str">
        <f aca="false">TEXT(B670,"mmm")</f>
        <v>Jul</v>
      </c>
      <c r="D670" s="0" t="str">
        <f aca="false">TEXT(B670,"ddd")</f>
        <v>Tue</v>
      </c>
      <c r="E670" s="3" t="s">
        <v>27</v>
      </c>
      <c r="F670" s="3" t="s">
        <v>31</v>
      </c>
      <c r="G670" s="3" t="s">
        <v>21</v>
      </c>
      <c r="H670" s="3" t="s">
        <v>22</v>
      </c>
      <c r="I670" s="4" t="n">
        <v>583</v>
      </c>
      <c r="J670" s="4" t="n">
        <v>0</v>
      </c>
      <c r="K670" s="4" t="n">
        <v>0</v>
      </c>
      <c r="L670" s="4" t="n">
        <f aca="false">IF(O670="Delivered",I670-J670+K670,0)</f>
        <v>583</v>
      </c>
      <c r="M670" s="0" t="n">
        <v>45</v>
      </c>
      <c r="N670" s="0" t="n">
        <v>4.6</v>
      </c>
      <c r="O670" s="3" t="s">
        <v>17</v>
      </c>
    </row>
    <row r="671" customFormat="false" ht="15" hidden="false" customHeight="false" outlineLevel="0" collapsed="false">
      <c r="A671" s="0" t="s">
        <v>1171</v>
      </c>
      <c r="B671" s="2" t="n">
        <v>45839</v>
      </c>
      <c r="C671" s="0" t="str">
        <f aca="false">TEXT(B671,"mmm")</f>
        <v>Jul</v>
      </c>
      <c r="D671" s="0" t="str">
        <f aca="false">TEXT(B671,"ddd")</f>
        <v>Tue</v>
      </c>
      <c r="E671" s="3" t="s">
        <v>24</v>
      </c>
      <c r="F671" s="3" t="s">
        <v>28</v>
      </c>
      <c r="G671" s="3" t="s">
        <v>21</v>
      </c>
      <c r="H671" s="3" t="s">
        <v>16</v>
      </c>
      <c r="I671" s="4" t="n">
        <v>273</v>
      </c>
      <c r="J671" s="4" t="n">
        <v>0</v>
      </c>
      <c r="K671" s="4" t="n">
        <v>45</v>
      </c>
      <c r="L671" s="4" t="n">
        <f aca="false">IF(O671="Delivered",I671-J671+K671,0)</f>
        <v>318</v>
      </c>
      <c r="M671" s="0" t="n">
        <v>39</v>
      </c>
      <c r="N671" s="0" t="n">
        <v>4</v>
      </c>
      <c r="O671" s="3" t="s">
        <v>17</v>
      </c>
    </row>
    <row r="672" customFormat="false" ht="15" hidden="false" customHeight="false" outlineLevel="0" collapsed="false">
      <c r="A672" s="0" t="s">
        <v>1457</v>
      </c>
      <c r="B672" s="2" t="n">
        <v>45839</v>
      </c>
      <c r="C672" s="0" t="str">
        <f aca="false">TEXT(B672,"mmm")</f>
        <v>Jul</v>
      </c>
      <c r="D672" s="0" t="str">
        <f aca="false">TEXT(B672,"ddd")</f>
        <v>Tue</v>
      </c>
      <c r="E672" s="3" t="s">
        <v>51</v>
      </c>
      <c r="F672" s="3" t="s">
        <v>78</v>
      </c>
      <c r="G672" s="3" t="s">
        <v>21</v>
      </c>
      <c r="H672" s="3" t="s">
        <v>34</v>
      </c>
      <c r="I672" s="4" t="n">
        <v>399</v>
      </c>
      <c r="J672" s="4" t="n">
        <v>0</v>
      </c>
      <c r="K672" s="4" t="n">
        <v>20</v>
      </c>
      <c r="L672" s="4" t="n">
        <f aca="false">IF(O672="Delivered",I672-J672+K672,0)</f>
        <v>419</v>
      </c>
      <c r="M672" s="0" t="n">
        <v>36</v>
      </c>
      <c r="N672" s="0" t="n">
        <v>3.9</v>
      </c>
      <c r="O672" s="3" t="s">
        <v>17</v>
      </c>
    </row>
    <row r="673" customFormat="false" ht="15" hidden="false" customHeight="false" outlineLevel="0" collapsed="false">
      <c r="A673" s="0" t="s">
        <v>810</v>
      </c>
      <c r="B673" s="2" t="n">
        <v>45840</v>
      </c>
      <c r="C673" s="0" t="str">
        <f aca="false">TEXT(B673,"mmm")</f>
        <v>Jul</v>
      </c>
      <c r="D673" s="0" t="str">
        <f aca="false">TEXT(B673,"ddd")</f>
        <v>Wed</v>
      </c>
      <c r="E673" s="3" t="s">
        <v>40</v>
      </c>
      <c r="F673" s="3" t="s">
        <v>56</v>
      </c>
      <c r="G673" s="3" t="s">
        <v>21</v>
      </c>
      <c r="H673" s="3" t="s">
        <v>36</v>
      </c>
      <c r="I673" s="4" t="n">
        <v>398</v>
      </c>
      <c r="J673" s="4" t="n">
        <v>0</v>
      </c>
      <c r="K673" s="4" t="n">
        <v>40</v>
      </c>
      <c r="L673" s="4" t="n">
        <f aca="false">IF(O673="Delivered",I673-J673+K673,0)</f>
        <v>438</v>
      </c>
      <c r="M673" s="0" t="n">
        <v>44</v>
      </c>
      <c r="N673" s="0" t="n">
        <v>4.8</v>
      </c>
      <c r="O673" s="3" t="s">
        <v>17</v>
      </c>
    </row>
    <row r="674" customFormat="false" ht="15" hidden="false" customHeight="false" outlineLevel="0" collapsed="false">
      <c r="A674" s="0" t="s">
        <v>165</v>
      </c>
      <c r="B674" s="2" t="n">
        <v>45841</v>
      </c>
      <c r="C674" s="0" t="str">
        <f aca="false">TEXT(B674,"mmm")</f>
        <v>Jul</v>
      </c>
      <c r="D674" s="0" t="str">
        <f aca="false">TEXT(B674,"ddd")</f>
        <v>Thu</v>
      </c>
      <c r="E674" s="3" t="s">
        <v>24</v>
      </c>
      <c r="F674" s="3" t="s">
        <v>25</v>
      </c>
      <c r="G674" s="3" t="s">
        <v>21</v>
      </c>
      <c r="H674" s="3" t="s">
        <v>22</v>
      </c>
      <c r="I674" s="4" t="n">
        <v>474</v>
      </c>
      <c r="J674" s="4" t="n">
        <v>106</v>
      </c>
      <c r="K674" s="4" t="n">
        <v>20</v>
      </c>
      <c r="L674" s="4" t="n">
        <f aca="false">IF(O674="Delivered",I674-J674+K674,0)</f>
        <v>388</v>
      </c>
      <c r="M674" s="0" t="n">
        <v>21</v>
      </c>
      <c r="N674" s="0" t="n">
        <v>5</v>
      </c>
      <c r="O674" s="3" t="s">
        <v>17</v>
      </c>
    </row>
    <row r="675" customFormat="false" ht="15" hidden="false" customHeight="false" outlineLevel="0" collapsed="false">
      <c r="A675" s="0" t="s">
        <v>326</v>
      </c>
      <c r="B675" s="2" t="n">
        <v>45841</v>
      </c>
      <c r="C675" s="0" t="str">
        <f aca="false">TEXT(B675,"mmm")</f>
        <v>Jul</v>
      </c>
      <c r="D675" s="0" t="str">
        <f aca="false">TEXT(B675,"ddd")</f>
        <v>Thu</v>
      </c>
      <c r="E675" s="3" t="s">
        <v>45</v>
      </c>
      <c r="F675" s="3" t="s">
        <v>25</v>
      </c>
      <c r="G675" s="3" t="s">
        <v>21</v>
      </c>
      <c r="H675" s="3" t="s">
        <v>16</v>
      </c>
      <c r="I675" s="4" t="n">
        <v>583</v>
      </c>
      <c r="J675" s="4" t="n">
        <v>99</v>
      </c>
      <c r="K675" s="4" t="n">
        <v>0</v>
      </c>
      <c r="L675" s="4" t="n">
        <f aca="false">IF(O675="Delivered",I675-J675+K675,0)</f>
        <v>484</v>
      </c>
      <c r="M675" s="0" t="n">
        <v>26</v>
      </c>
      <c r="N675" s="0" t="n">
        <v>5</v>
      </c>
      <c r="O675" s="3" t="s">
        <v>17</v>
      </c>
    </row>
    <row r="676" customFormat="false" ht="15" hidden="false" customHeight="false" outlineLevel="0" collapsed="false">
      <c r="A676" s="0" t="s">
        <v>488</v>
      </c>
      <c r="B676" s="2" t="n">
        <v>45841</v>
      </c>
      <c r="C676" s="0" t="str">
        <f aca="false">TEXT(B676,"mmm")</f>
        <v>Jul</v>
      </c>
      <c r="D676" s="0" t="str">
        <f aca="false">TEXT(B676,"ddd")</f>
        <v>Thu</v>
      </c>
      <c r="E676" s="3" t="s">
        <v>40</v>
      </c>
      <c r="F676" s="3" t="s">
        <v>49</v>
      </c>
      <c r="G676" s="3" t="s">
        <v>21</v>
      </c>
      <c r="H676" s="3" t="s">
        <v>36</v>
      </c>
      <c r="I676" s="4" t="n">
        <v>649</v>
      </c>
      <c r="J676" s="4" t="n">
        <v>0</v>
      </c>
      <c r="K676" s="4" t="n">
        <v>0</v>
      </c>
      <c r="L676" s="4" t="n">
        <f aca="false">IF(O676="Delivered",I676-J676+K676,0)</f>
        <v>649</v>
      </c>
      <c r="M676" s="0" t="n">
        <v>37</v>
      </c>
      <c r="N676" s="0" t="n">
        <v>4.8</v>
      </c>
      <c r="O676" s="3" t="s">
        <v>17</v>
      </c>
    </row>
    <row r="677" customFormat="false" ht="15" hidden="false" customHeight="false" outlineLevel="0" collapsed="false">
      <c r="A677" s="0" t="s">
        <v>858</v>
      </c>
      <c r="B677" s="2" t="n">
        <v>45841</v>
      </c>
      <c r="C677" s="0" t="str">
        <f aca="false">TEXT(B677,"mmm")</f>
        <v>Jul</v>
      </c>
      <c r="D677" s="0" t="str">
        <f aca="false">TEXT(B677,"ddd")</f>
        <v>Thu</v>
      </c>
      <c r="E677" s="3" t="s">
        <v>40</v>
      </c>
      <c r="F677" s="3" t="s">
        <v>28</v>
      </c>
      <c r="G677" s="3" t="s">
        <v>15</v>
      </c>
      <c r="H677" s="3" t="s">
        <v>36</v>
      </c>
      <c r="I677" s="4" t="n">
        <v>487</v>
      </c>
      <c r="J677" s="4" t="n">
        <v>67</v>
      </c>
      <c r="K677" s="4" t="n">
        <v>40</v>
      </c>
      <c r="L677" s="4" t="n">
        <f aca="false">IF(O677="Delivered",I677-J677+K677,0)</f>
        <v>460</v>
      </c>
      <c r="M677" s="0" t="n">
        <v>51</v>
      </c>
      <c r="N677" s="0" t="n">
        <v>3.9</v>
      </c>
      <c r="O677" s="3" t="s">
        <v>17</v>
      </c>
    </row>
    <row r="678" customFormat="false" ht="15" hidden="false" customHeight="false" outlineLevel="0" collapsed="false">
      <c r="A678" s="0" t="s">
        <v>916</v>
      </c>
      <c r="B678" s="2" t="n">
        <v>45841</v>
      </c>
      <c r="C678" s="0" t="str">
        <f aca="false">TEXT(B678,"mmm")</f>
        <v>Jul</v>
      </c>
      <c r="D678" s="0" t="str">
        <f aca="false">TEXT(B678,"ddd")</f>
        <v>Thu</v>
      </c>
      <c r="E678" s="3" t="s">
        <v>24</v>
      </c>
      <c r="F678" s="3" t="s">
        <v>49</v>
      </c>
      <c r="G678" s="3" t="s">
        <v>21</v>
      </c>
      <c r="H678" s="3" t="s">
        <v>34</v>
      </c>
      <c r="I678" s="4" t="n">
        <v>377</v>
      </c>
      <c r="J678" s="4" t="n">
        <v>0</v>
      </c>
      <c r="K678" s="4" t="n">
        <v>45</v>
      </c>
      <c r="L678" s="4" t="n">
        <f aca="false">IF(O678="Delivered",I678-J678+K678,0)</f>
        <v>422</v>
      </c>
      <c r="M678" s="0" t="n">
        <v>49</v>
      </c>
      <c r="N678" s="0" t="n">
        <v>3.9</v>
      </c>
      <c r="O678" s="3" t="s">
        <v>17</v>
      </c>
    </row>
    <row r="679" customFormat="false" ht="15" hidden="false" customHeight="false" outlineLevel="0" collapsed="false">
      <c r="A679" s="0" t="s">
        <v>103</v>
      </c>
      <c r="B679" s="2" t="n">
        <v>45842</v>
      </c>
      <c r="C679" s="0" t="str">
        <f aca="false">TEXT(B679,"mmm")</f>
        <v>Jul</v>
      </c>
      <c r="D679" s="0" t="str">
        <f aca="false">TEXT(B679,"ddd")</f>
        <v>Fri</v>
      </c>
      <c r="E679" s="3" t="s">
        <v>51</v>
      </c>
      <c r="F679" s="3" t="s">
        <v>20</v>
      </c>
      <c r="G679" s="3" t="s">
        <v>21</v>
      </c>
      <c r="H679" s="3" t="s">
        <v>22</v>
      </c>
      <c r="I679" s="4" t="n">
        <v>700</v>
      </c>
      <c r="J679" s="4" t="n">
        <v>0</v>
      </c>
      <c r="K679" s="4" t="n">
        <v>0</v>
      </c>
      <c r="L679" s="4" t="n">
        <f aca="false">IF(O679="Delivered",I679-J679+K679,0)</f>
        <v>700</v>
      </c>
      <c r="M679" s="0" t="n">
        <v>37</v>
      </c>
      <c r="N679" s="0" t="n">
        <v>3.7</v>
      </c>
      <c r="O679" s="3" t="s">
        <v>17</v>
      </c>
    </row>
    <row r="680" customFormat="false" ht="15" hidden="false" customHeight="false" outlineLevel="0" collapsed="false">
      <c r="A680" s="0" t="s">
        <v>491</v>
      </c>
      <c r="B680" s="2" t="n">
        <v>45842</v>
      </c>
      <c r="C680" s="0" t="str">
        <f aca="false">TEXT(B680,"mmm")</f>
        <v>Jul</v>
      </c>
      <c r="D680" s="0" t="str">
        <f aca="false">TEXT(B680,"ddd")</f>
        <v>Fri</v>
      </c>
      <c r="E680" s="3" t="s">
        <v>40</v>
      </c>
      <c r="F680" s="3" t="s">
        <v>28</v>
      </c>
      <c r="G680" s="3" t="s">
        <v>21</v>
      </c>
      <c r="H680" s="3" t="s">
        <v>16</v>
      </c>
      <c r="I680" s="4" t="n">
        <v>395</v>
      </c>
      <c r="J680" s="4" t="n">
        <v>0</v>
      </c>
      <c r="K680" s="4" t="n">
        <v>30</v>
      </c>
      <c r="L680" s="4" t="n">
        <f aca="false">IF(O680="Delivered",I680-J680+K680,0)</f>
        <v>425</v>
      </c>
      <c r="M680" s="0" t="n">
        <v>34</v>
      </c>
      <c r="N680" s="0" t="n">
        <v>3.8</v>
      </c>
      <c r="O680" s="3" t="s">
        <v>17</v>
      </c>
    </row>
    <row r="681" customFormat="false" ht="15" hidden="false" customHeight="false" outlineLevel="0" collapsed="false">
      <c r="A681" s="0" t="s">
        <v>556</v>
      </c>
      <c r="B681" s="2" t="n">
        <v>45842</v>
      </c>
      <c r="C681" s="0" t="str">
        <f aca="false">TEXT(B681,"mmm")</f>
        <v>Jul</v>
      </c>
      <c r="D681" s="0" t="str">
        <f aca="false">TEXT(B681,"ddd")</f>
        <v>Fri</v>
      </c>
      <c r="E681" s="3" t="s">
        <v>40</v>
      </c>
      <c r="F681" s="3" t="s">
        <v>49</v>
      </c>
      <c r="G681" s="3" t="s">
        <v>15</v>
      </c>
      <c r="H681" s="3" t="s">
        <v>36</v>
      </c>
      <c r="I681" s="4" t="n">
        <v>561</v>
      </c>
      <c r="J681" s="4" t="n">
        <v>63</v>
      </c>
      <c r="K681" s="4" t="n">
        <v>0</v>
      </c>
      <c r="L681" s="4" t="n">
        <f aca="false">IF(O681="Delivered",I681-J681+K681,0)</f>
        <v>498</v>
      </c>
      <c r="M681" s="0" t="n">
        <v>45</v>
      </c>
      <c r="N681" s="0" t="n">
        <v>3.7</v>
      </c>
      <c r="O681" s="3" t="s">
        <v>17</v>
      </c>
    </row>
    <row r="682" customFormat="false" ht="15" hidden="false" customHeight="false" outlineLevel="0" collapsed="false">
      <c r="A682" s="0" t="s">
        <v>1152</v>
      </c>
      <c r="B682" s="2" t="n">
        <v>45842</v>
      </c>
      <c r="C682" s="0" t="str">
        <f aca="false">TEXT(B682,"mmm")</f>
        <v>Jul</v>
      </c>
      <c r="D682" s="0" t="str">
        <f aca="false">TEXT(B682,"ddd")</f>
        <v>Fri</v>
      </c>
      <c r="E682" s="3" t="s">
        <v>13</v>
      </c>
      <c r="F682" s="3" t="s">
        <v>25</v>
      </c>
      <c r="G682" s="3" t="s">
        <v>21</v>
      </c>
      <c r="H682" s="3" t="s">
        <v>54</v>
      </c>
      <c r="I682" s="4" t="n">
        <v>405</v>
      </c>
      <c r="J682" s="4" t="n">
        <v>48</v>
      </c>
      <c r="K682" s="4" t="n">
        <v>45</v>
      </c>
      <c r="L682" s="4" t="n">
        <f aca="false">IF(O682="Delivered",I682-J682+K682,0)</f>
        <v>402</v>
      </c>
      <c r="M682" s="0" t="n">
        <v>26</v>
      </c>
      <c r="N682" s="0" t="n">
        <v>5</v>
      </c>
      <c r="O682" s="3" t="s">
        <v>17</v>
      </c>
    </row>
    <row r="683" customFormat="false" ht="15" hidden="false" customHeight="false" outlineLevel="0" collapsed="false">
      <c r="A683" s="0" t="s">
        <v>1245</v>
      </c>
      <c r="B683" s="2" t="n">
        <v>45842</v>
      </c>
      <c r="C683" s="0" t="str">
        <f aca="false">TEXT(B683,"mmm")</f>
        <v>Jul</v>
      </c>
      <c r="D683" s="0" t="str">
        <f aca="false">TEXT(B683,"ddd")</f>
        <v>Fri</v>
      </c>
      <c r="E683" s="3" t="s">
        <v>27</v>
      </c>
      <c r="F683" s="3" t="s">
        <v>31</v>
      </c>
      <c r="G683" s="3" t="s">
        <v>21</v>
      </c>
      <c r="H683" s="3" t="s">
        <v>22</v>
      </c>
      <c r="I683" s="4" t="n">
        <v>342</v>
      </c>
      <c r="J683" s="4" t="n">
        <v>0</v>
      </c>
      <c r="K683" s="4" t="n">
        <v>20</v>
      </c>
      <c r="L683" s="4" t="n">
        <f aca="false">IF(O683="Delivered",I683-J683+K683,0)</f>
        <v>0</v>
      </c>
      <c r="O683" s="3" t="s">
        <v>68</v>
      </c>
    </row>
    <row r="684" customFormat="false" ht="15" hidden="false" customHeight="false" outlineLevel="0" collapsed="false">
      <c r="A684" s="0" t="s">
        <v>1602</v>
      </c>
      <c r="B684" s="2" t="n">
        <v>45842</v>
      </c>
      <c r="C684" s="0" t="str">
        <f aca="false">TEXT(B684,"mmm")</f>
        <v>Jul</v>
      </c>
      <c r="D684" s="0" t="str">
        <f aca="false">TEXT(B684,"ddd")</f>
        <v>Fri</v>
      </c>
      <c r="E684" s="3" t="s">
        <v>40</v>
      </c>
      <c r="F684" s="3" t="s">
        <v>20</v>
      </c>
      <c r="G684" s="3" t="s">
        <v>21</v>
      </c>
      <c r="H684" s="3" t="s">
        <v>22</v>
      </c>
      <c r="I684" s="4" t="n">
        <v>489</v>
      </c>
      <c r="J684" s="4" t="n">
        <v>0</v>
      </c>
      <c r="K684" s="4" t="n">
        <v>20</v>
      </c>
      <c r="L684" s="4" t="n">
        <f aca="false">IF(O684="Delivered",I684-J684+K684,0)</f>
        <v>0</v>
      </c>
      <c r="O684" s="3" t="s">
        <v>68</v>
      </c>
    </row>
    <row r="685" customFormat="false" ht="15" hidden="false" customHeight="false" outlineLevel="0" collapsed="false">
      <c r="A685" s="0" t="s">
        <v>139</v>
      </c>
      <c r="B685" s="2" t="n">
        <v>45843</v>
      </c>
      <c r="C685" s="0" t="str">
        <f aca="false">TEXT(B685,"mmm")</f>
        <v>Jul</v>
      </c>
      <c r="D685" s="0" t="str">
        <f aca="false">TEXT(B685,"ddd")</f>
        <v>Sat</v>
      </c>
      <c r="E685" s="3" t="s">
        <v>27</v>
      </c>
      <c r="F685" s="3" t="s">
        <v>56</v>
      </c>
      <c r="G685" s="3" t="s">
        <v>21</v>
      </c>
      <c r="H685" s="3" t="s">
        <v>22</v>
      </c>
      <c r="I685" s="4" t="n">
        <v>408</v>
      </c>
      <c r="J685" s="4" t="n">
        <v>0</v>
      </c>
      <c r="K685" s="4" t="n">
        <v>20</v>
      </c>
      <c r="L685" s="4" t="n">
        <f aca="false">IF(O685="Delivered",I685-J685+K685,0)</f>
        <v>428</v>
      </c>
      <c r="M685" s="0" t="n">
        <v>46</v>
      </c>
      <c r="N685" s="0" t="n">
        <v>3.8</v>
      </c>
      <c r="O685" s="3" t="s">
        <v>17</v>
      </c>
    </row>
    <row r="686" customFormat="false" ht="15" hidden="false" customHeight="false" outlineLevel="0" collapsed="false">
      <c r="A686" s="0" t="s">
        <v>892</v>
      </c>
      <c r="B686" s="2" t="n">
        <v>45843</v>
      </c>
      <c r="C686" s="0" t="str">
        <f aca="false">TEXT(B686,"mmm")</f>
        <v>Jul</v>
      </c>
      <c r="D686" s="0" t="str">
        <f aca="false">TEXT(B686,"ddd")</f>
        <v>Sat</v>
      </c>
      <c r="E686" s="3" t="s">
        <v>27</v>
      </c>
      <c r="F686" s="3" t="s">
        <v>31</v>
      </c>
      <c r="G686" s="3" t="s">
        <v>15</v>
      </c>
      <c r="H686" s="3" t="s">
        <v>22</v>
      </c>
      <c r="I686" s="4" t="n">
        <v>339</v>
      </c>
      <c r="J686" s="4" t="n">
        <v>0</v>
      </c>
      <c r="K686" s="4" t="n">
        <v>20</v>
      </c>
      <c r="L686" s="4" t="n">
        <f aca="false">IF(O686="Delivered",I686-J686+K686,0)</f>
        <v>359</v>
      </c>
      <c r="M686" s="0" t="n">
        <v>41</v>
      </c>
      <c r="N686" s="0" t="n">
        <v>3.3</v>
      </c>
      <c r="O686" s="3" t="s">
        <v>17</v>
      </c>
    </row>
    <row r="687" customFormat="false" ht="15" hidden="false" customHeight="false" outlineLevel="0" collapsed="false">
      <c r="A687" s="0" t="s">
        <v>1161</v>
      </c>
      <c r="B687" s="2" t="n">
        <v>45843</v>
      </c>
      <c r="C687" s="0" t="str">
        <f aca="false">TEXT(B687,"mmm")</f>
        <v>Jul</v>
      </c>
      <c r="D687" s="0" t="str">
        <f aca="false">TEXT(B687,"ddd")</f>
        <v>Sat</v>
      </c>
      <c r="E687" s="3" t="s">
        <v>13</v>
      </c>
      <c r="F687" s="3" t="s">
        <v>20</v>
      </c>
      <c r="G687" s="3" t="s">
        <v>21</v>
      </c>
      <c r="H687" s="3" t="s">
        <v>16</v>
      </c>
      <c r="I687" s="4" t="n">
        <v>744</v>
      </c>
      <c r="J687" s="4" t="n">
        <v>0</v>
      </c>
      <c r="K687" s="4" t="n">
        <v>0</v>
      </c>
      <c r="L687" s="4" t="n">
        <f aca="false">IF(O687="Delivered",I687-J687+K687,0)</f>
        <v>744</v>
      </c>
      <c r="M687" s="0" t="n">
        <v>31</v>
      </c>
      <c r="N687" s="0" t="n">
        <v>4</v>
      </c>
      <c r="O687" s="3" t="s">
        <v>17</v>
      </c>
    </row>
    <row r="688" customFormat="false" ht="15" hidden="false" customHeight="false" outlineLevel="0" collapsed="false">
      <c r="A688" s="0" t="s">
        <v>1294</v>
      </c>
      <c r="B688" s="2" t="n">
        <v>45843</v>
      </c>
      <c r="C688" s="0" t="str">
        <f aca="false">TEXT(B688,"mmm")</f>
        <v>Jul</v>
      </c>
      <c r="D688" s="0" t="str">
        <f aca="false">TEXT(B688,"ddd")</f>
        <v>Sat</v>
      </c>
      <c r="E688" s="3" t="s">
        <v>27</v>
      </c>
      <c r="F688" s="3" t="s">
        <v>56</v>
      </c>
      <c r="G688" s="3" t="s">
        <v>15</v>
      </c>
      <c r="H688" s="3" t="s">
        <v>22</v>
      </c>
      <c r="I688" s="4" t="n">
        <v>297</v>
      </c>
      <c r="J688" s="4" t="n">
        <v>38</v>
      </c>
      <c r="K688" s="4" t="n">
        <v>30</v>
      </c>
      <c r="L688" s="4" t="n">
        <f aca="false">IF(O688="Delivered",I688-J688+K688,0)</f>
        <v>289</v>
      </c>
      <c r="M688" s="0" t="n">
        <v>41</v>
      </c>
      <c r="N688" s="0" t="n">
        <v>3.4</v>
      </c>
      <c r="O688" s="3" t="s">
        <v>17</v>
      </c>
    </row>
    <row r="689" customFormat="false" ht="15" hidden="false" customHeight="false" outlineLevel="0" collapsed="false">
      <c r="A689" s="0" t="s">
        <v>1459</v>
      </c>
      <c r="B689" s="2" t="n">
        <v>45843</v>
      </c>
      <c r="C689" s="0" t="str">
        <f aca="false">TEXT(B689,"mmm")</f>
        <v>Jul</v>
      </c>
      <c r="D689" s="0" t="str">
        <f aca="false">TEXT(B689,"ddd")</f>
        <v>Sat</v>
      </c>
      <c r="E689" s="3" t="s">
        <v>30</v>
      </c>
      <c r="F689" s="3" t="s">
        <v>31</v>
      </c>
      <c r="G689" s="3" t="s">
        <v>21</v>
      </c>
      <c r="H689" s="3" t="s">
        <v>22</v>
      </c>
      <c r="I689" s="4" t="n">
        <v>589</v>
      </c>
      <c r="J689" s="4" t="n">
        <v>0</v>
      </c>
      <c r="K689" s="4" t="n">
        <v>0</v>
      </c>
      <c r="L689" s="4" t="n">
        <f aca="false">IF(O689="Delivered",I689-J689+K689,0)</f>
        <v>589</v>
      </c>
      <c r="M689" s="0" t="n">
        <v>35</v>
      </c>
      <c r="N689" s="0" t="n">
        <v>4.2</v>
      </c>
      <c r="O689" s="3" t="s">
        <v>17</v>
      </c>
    </row>
    <row r="690" customFormat="false" ht="15" hidden="false" customHeight="false" outlineLevel="0" collapsed="false">
      <c r="A690" s="0" t="s">
        <v>1539</v>
      </c>
      <c r="B690" s="2" t="n">
        <v>45843</v>
      </c>
      <c r="C690" s="0" t="str">
        <f aca="false">TEXT(B690,"mmm")</f>
        <v>Jul</v>
      </c>
      <c r="D690" s="0" t="str">
        <f aca="false">TEXT(B690,"ddd")</f>
        <v>Sat</v>
      </c>
      <c r="E690" s="3" t="s">
        <v>27</v>
      </c>
      <c r="F690" s="3" t="s">
        <v>28</v>
      </c>
      <c r="G690" s="3" t="s">
        <v>21</v>
      </c>
      <c r="H690" s="3" t="s">
        <v>22</v>
      </c>
      <c r="I690" s="4" t="n">
        <v>554</v>
      </c>
      <c r="J690" s="4" t="n">
        <v>0</v>
      </c>
      <c r="K690" s="4" t="n">
        <v>0</v>
      </c>
      <c r="L690" s="4" t="n">
        <f aca="false">IF(O690="Delivered",I690-J690+K690,0)</f>
        <v>554</v>
      </c>
      <c r="M690" s="0" t="n">
        <v>45</v>
      </c>
      <c r="N690" s="0" t="n">
        <v>4.5</v>
      </c>
      <c r="O690" s="3" t="s">
        <v>17</v>
      </c>
    </row>
    <row r="691" customFormat="false" ht="15" hidden="false" customHeight="false" outlineLevel="0" collapsed="false">
      <c r="A691" s="0" t="s">
        <v>384</v>
      </c>
      <c r="B691" s="2" t="n">
        <v>45844</v>
      </c>
      <c r="C691" s="0" t="str">
        <f aca="false">TEXT(B691,"mmm")</f>
        <v>Jul</v>
      </c>
      <c r="D691" s="0" t="str">
        <f aca="false">TEXT(B691,"ddd")</f>
        <v>Sun</v>
      </c>
      <c r="E691" s="3" t="s">
        <v>13</v>
      </c>
      <c r="F691" s="3" t="s">
        <v>31</v>
      </c>
      <c r="G691" s="3" t="s">
        <v>21</v>
      </c>
      <c r="H691" s="3" t="s">
        <v>22</v>
      </c>
      <c r="I691" s="4" t="n">
        <v>327</v>
      </c>
      <c r="J691" s="4" t="n">
        <v>54</v>
      </c>
      <c r="K691" s="4" t="n">
        <v>45</v>
      </c>
      <c r="L691" s="4" t="n">
        <f aca="false">IF(O691="Delivered",I691-J691+K691,0)</f>
        <v>318</v>
      </c>
      <c r="M691" s="0" t="n">
        <v>40</v>
      </c>
      <c r="N691" s="0" t="n">
        <v>4.1</v>
      </c>
      <c r="O691" s="3" t="s">
        <v>17</v>
      </c>
    </row>
    <row r="692" customFormat="false" ht="15" hidden="false" customHeight="false" outlineLevel="0" collapsed="false">
      <c r="A692" s="0" t="s">
        <v>745</v>
      </c>
      <c r="B692" s="2" t="n">
        <v>45844</v>
      </c>
      <c r="C692" s="0" t="str">
        <f aca="false">TEXT(B692,"mmm")</f>
        <v>Jul</v>
      </c>
      <c r="D692" s="0" t="str">
        <f aca="false">TEXT(B692,"ddd")</f>
        <v>Sun</v>
      </c>
      <c r="E692" s="3" t="s">
        <v>40</v>
      </c>
      <c r="F692" s="3" t="s">
        <v>14</v>
      </c>
      <c r="G692" s="3" t="s">
        <v>21</v>
      </c>
      <c r="H692" s="3" t="s">
        <v>16</v>
      </c>
      <c r="I692" s="4" t="n">
        <v>402</v>
      </c>
      <c r="J692" s="4" t="n">
        <v>40</v>
      </c>
      <c r="K692" s="4" t="n">
        <v>45</v>
      </c>
      <c r="L692" s="4" t="n">
        <f aca="false">IF(O692="Delivered",I692-J692+K692,0)</f>
        <v>407</v>
      </c>
      <c r="M692" s="0" t="n">
        <v>37</v>
      </c>
      <c r="N692" s="0" t="n">
        <v>3.3</v>
      </c>
      <c r="O692" s="3" t="s">
        <v>17</v>
      </c>
    </row>
    <row r="693" customFormat="false" ht="15" hidden="false" customHeight="false" outlineLevel="0" collapsed="false">
      <c r="A693" s="0" t="s">
        <v>1126</v>
      </c>
      <c r="B693" s="2" t="n">
        <v>45844</v>
      </c>
      <c r="C693" s="0" t="str">
        <f aca="false">TEXT(B693,"mmm")</f>
        <v>Jul</v>
      </c>
      <c r="D693" s="0" t="str">
        <f aca="false">TEXT(B693,"ddd")</f>
        <v>Sun</v>
      </c>
      <c r="E693" s="3" t="s">
        <v>40</v>
      </c>
      <c r="F693" s="3" t="s">
        <v>31</v>
      </c>
      <c r="G693" s="3" t="s">
        <v>15</v>
      </c>
      <c r="H693" s="3" t="s">
        <v>36</v>
      </c>
      <c r="I693" s="4" t="n">
        <v>410</v>
      </c>
      <c r="J693" s="4" t="n">
        <v>0</v>
      </c>
      <c r="K693" s="4" t="n">
        <v>30</v>
      </c>
      <c r="L693" s="4" t="n">
        <f aca="false">IF(O693="Delivered",I693-J693+K693,0)</f>
        <v>440</v>
      </c>
      <c r="M693" s="0" t="n">
        <v>36</v>
      </c>
      <c r="N693" s="0" t="n">
        <v>4.4</v>
      </c>
      <c r="O693" s="3" t="s">
        <v>17</v>
      </c>
    </row>
    <row r="694" customFormat="false" ht="15" hidden="false" customHeight="false" outlineLevel="0" collapsed="false">
      <c r="A694" s="0" t="s">
        <v>1338</v>
      </c>
      <c r="B694" s="2" t="n">
        <v>45844</v>
      </c>
      <c r="C694" s="0" t="str">
        <f aca="false">TEXT(B694,"mmm")</f>
        <v>Jul</v>
      </c>
      <c r="D694" s="0" t="str">
        <f aca="false">TEXT(B694,"ddd")</f>
        <v>Sun</v>
      </c>
      <c r="E694" s="3" t="s">
        <v>27</v>
      </c>
      <c r="F694" s="3" t="s">
        <v>20</v>
      </c>
      <c r="G694" s="3" t="s">
        <v>15</v>
      </c>
      <c r="H694" s="3" t="s">
        <v>22</v>
      </c>
      <c r="I694" s="4" t="n">
        <v>423</v>
      </c>
      <c r="J694" s="4" t="n">
        <v>84</v>
      </c>
      <c r="K694" s="4" t="n">
        <v>20</v>
      </c>
      <c r="L694" s="4" t="n">
        <f aca="false">IF(O694="Delivered",I694-J694+K694,0)</f>
        <v>359</v>
      </c>
      <c r="M694" s="0" t="n">
        <v>45</v>
      </c>
      <c r="O694" s="3" t="s">
        <v>17</v>
      </c>
    </row>
    <row r="695" customFormat="false" ht="15" hidden="false" customHeight="false" outlineLevel="0" collapsed="false">
      <c r="A695" s="0" t="s">
        <v>1491</v>
      </c>
      <c r="B695" s="2" t="n">
        <v>45844</v>
      </c>
      <c r="C695" s="0" t="str">
        <f aca="false">TEXT(B695,"mmm")</f>
        <v>Jul</v>
      </c>
      <c r="D695" s="0" t="str">
        <f aca="false">TEXT(B695,"ddd")</f>
        <v>Sun</v>
      </c>
      <c r="E695" s="3" t="s">
        <v>13</v>
      </c>
      <c r="F695" s="3" t="s">
        <v>20</v>
      </c>
      <c r="G695" s="3" t="s">
        <v>21</v>
      </c>
      <c r="H695" s="3" t="s">
        <v>22</v>
      </c>
      <c r="I695" s="4" t="n">
        <v>754</v>
      </c>
      <c r="J695" s="4" t="n">
        <v>179</v>
      </c>
      <c r="K695" s="4" t="n">
        <v>0</v>
      </c>
      <c r="L695" s="4" t="n">
        <f aca="false">IF(O695="Delivered",I695-J695+K695,0)</f>
        <v>575</v>
      </c>
      <c r="M695" s="0" t="n">
        <v>24</v>
      </c>
      <c r="N695" s="0" t="n">
        <v>4.5</v>
      </c>
      <c r="O695" s="3" t="s">
        <v>17</v>
      </c>
    </row>
    <row r="696" customFormat="false" ht="15" hidden="false" customHeight="false" outlineLevel="0" collapsed="false">
      <c r="A696" s="0" t="s">
        <v>1532</v>
      </c>
      <c r="B696" s="2" t="n">
        <v>45844</v>
      </c>
      <c r="C696" s="0" t="str">
        <f aca="false">TEXT(B696,"mmm")</f>
        <v>Jul</v>
      </c>
      <c r="D696" s="0" t="str">
        <f aca="false">TEXT(B696,"ddd")</f>
        <v>Sun</v>
      </c>
      <c r="E696" s="3" t="s">
        <v>27</v>
      </c>
      <c r="F696" s="3" t="s">
        <v>25</v>
      </c>
      <c r="G696" s="3" t="s">
        <v>21</v>
      </c>
      <c r="H696" s="3" t="s">
        <v>22</v>
      </c>
      <c r="I696" s="4" t="n">
        <v>510</v>
      </c>
      <c r="J696" s="4" t="n">
        <v>0</v>
      </c>
      <c r="K696" s="4" t="n">
        <v>0</v>
      </c>
      <c r="L696" s="4" t="n">
        <f aca="false">IF(O696="Delivered",I696-J696+K696,0)</f>
        <v>510</v>
      </c>
      <c r="M696" s="0" t="n">
        <v>47</v>
      </c>
      <c r="N696" s="0" t="n">
        <v>4.2</v>
      </c>
      <c r="O696" s="3" t="s">
        <v>17</v>
      </c>
    </row>
    <row r="697" customFormat="false" ht="15" hidden="false" customHeight="false" outlineLevel="0" collapsed="false">
      <c r="A697" s="0" t="s">
        <v>65</v>
      </c>
      <c r="B697" s="2" t="n">
        <v>45845</v>
      </c>
      <c r="C697" s="0" t="str">
        <f aca="false">TEXT(B697,"mmm")</f>
        <v>Jul</v>
      </c>
      <c r="D697" s="0" t="str">
        <f aca="false">TEXT(B697,"ddd")</f>
        <v>Mon</v>
      </c>
      <c r="E697" s="3" t="s">
        <v>24</v>
      </c>
      <c r="F697" s="3" t="s">
        <v>25</v>
      </c>
      <c r="G697" s="3" t="s">
        <v>21</v>
      </c>
      <c r="H697" s="3" t="s">
        <v>22</v>
      </c>
      <c r="I697" s="4" t="n">
        <v>382</v>
      </c>
      <c r="J697" s="4" t="n">
        <v>46</v>
      </c>
      <c r="K697" s="4" t="n">
        <v>45</v>
      </c>
      <c r="L697" s="4" t="n">
        <f aca="false">IF(O697="Delivered",I697-J697+K697,0)</f>
        <v>381</v>
      </c>
      <c r="M697" s="0" t="n">
        <v>45</v>
      </c>
      <c r="N697" s="0" t="n">
        <v>4.1</v>
      </c>
      <c r="O697" s="3" t="s">
        <v>17</v>
      </c>
    </row>
    <row r="698" customFormat="false" ht="15" hidden="false" customHeight="false" outlineLevel="0" collapsed="false">
      <c r="A698" s="0" t="s">
        <v>309</v>
      </c>
      <c r="B698" s="2" t="n">
        <v>45845</v>
      </c>
      <c r="C698" s="0" t="str">
        <f aca="false">TEXT(B698,"mmm")</f>
        <v>Jul</v>
      </c>
      <c r="D698" s="0" t="str">
        <f aca="false">TEXT(B698,"ddd")</f>
        <v>Mon</v>
      </c>
      <c r="E698" s="3" t="s">
        <v>45</v>
      </c>
      <c r="F698" s="3" t="s">
        <v>78</v>
      </c>
      <c r="G698" s="3" t="s">
        <v>21</v>
      </c>
      <c r="H698" s="3" t="s">
        <v>16</v>
      </c>
      <c r="I698" s="4" t="n">
        <v>331</v>
      </c>
      <c r="J698" s="4" t="n">
        <v>0</v>
      </c>
      <c r="K698" s="4" t="n">
        <v>30</v>
      </c>
      <c r="L698" s="4" t="n">
        <f aca="false">IF(O698="Delivered",I698-J698+K698,0)</f>
        <v>361</v>
      </c>
      <c r="M698" s="0" t="n">
        <v>23</v>
      </c>
      <c r="N698" s="0" t="n">
        <v>4.3</v>
      </c>
      <c r="O698" s="3" t="s">
        <v>17</v>
      </c>
    </row>
    <row r="699" customFormat="false" ht="15" hidden="false" customHeight="false" outlineLevel="0" collapsed="false">
      <c r="A699" s="0" t="s">
        <v>442</v>
      </c>
      <c r="B699" s="2" t="n">
        <v>45845</v>
      </c>
      <c r="C699" s="0" t="str">
        <f aca="false">TEXT(B699,"mmm")</f>
        <v>Jul</v>
      </c>
      <c r="D699" s="0" t="str">
        <f aca="false">TEXT(B699,"ddd")</f>
        <v>Mon</v>
      </c>
      <c r="E699" s="3" t="s">
        <v>45</v>
      </c>
      <c r="F699" s="3" t="s">
        <v>56</v>
      </c>
      <c r="G699" s="3" t="s">
        <v>15</v>
      </c>
      <c r="H699" s="3" t="s">
        <v>22</v>
      </c>
      <c r="I699" s="4" t="n">
        <v>292</v>
      </c>
      <c r="J699" s="4" t="n">
        <v>0</v>
      </c>
      <c r="K699" s="4" t="n">
        <v>40</v>
      </c>
      <c r="L699" s="4" t="n">
        <f aca="false">IF(O699="Delivered",I699-J699+K699,0)</f>
        <v>332</v>
      </c>
      <c r="M699" s="0" t="n">
        <v>26</v>
      </c>
      <c r="N699" s="0" t="n">
        <v>4.5</v>
      </c>
      <c r="O699" s="3" t="s">
        <v>17</v>
      </c>
    </row>
    <row r="700" customFormat="false" ht="15" hidden="false" customHeight="false" outlineLevel="0" collapsed="false">
      <c r="A700" s="0" t="s">
        <v>1025</v>
      </c>
      <c r="B700" s="2" t="n">
        <v>45845</v>
      </c>
      <c r="C700" s="0" t="str">
        <f aca="false">TEXT(B700,"mmm")</f>
        <v>Jul</v>
      </c>
      <c r="D700" s="0" t="str">
        <f aca="false">TEXT(B700,"ddd")</f>
        <v>Mon</v>
      </c>
      <c r="E700" s="3" t="s">
        <v>40</v>
      </c>
      <c r="F700" s="3" t="s">
        <v>56</v>
      </c>
      <c r="G700" s="3" t="s">
        <v>15</v>
      </c>
      <c r="H700" s="3" t="s">
        <v>36</v>
      </c>
      <c r="I700" s="4" t="n">
        <v>527</v>
      </c>
      <c r="J700" s="4" t="n">
        <v>0</v>
      </c>
      <c r="K700" s="4" t="n">
        <v>0</v>
      </c>
      <c r="L700" s="4" t="n">
        <f aca="false">IF(O700="Delivered",I700-J700+K700,0)</f>
        <v>527</v>
      </c>
      <c r="M700" s="0" t="n">
        <v>32</v>
      </c>
      <c r="N700" s="0" t="n">
        <v>4.9</v>
      </c>
      <c r="O700" s="3" t="s">
        <v>17</v>
      </c>
    </row>
    <row r="701" customFormat="false" ht="15" hidden="false" customHeight="false" outlineLevel="0" collapsed="false">
      <c r="A701" s="0" t="s">
        <v>77</v>
      </c>
      <c r="B701" s="2" t="n">
        <v>45846</v>
      </c>
      <c r="C701" s="0" t="str">
        <f aca="false">TEXT(B701,"mmm")</f>
        <v>Jul</v>
      </c>
      <c r="D701" s="0" t="str">
        <f aca="false">TEXT(B701,"ddd")</f>
        <v>Tue</v>
      </c>
      <c r="E701" s="3" t="s">
        <v>40</v>
      </c>
      <c r="F701" s="3" t="s">
        <v>78</v>
      </c>
      <c r="G701" s="3" t="s">
        <v>21</v>
      </c>
      <c r="H701" s="3" t="s">
        <v>54</v>
      </c>
      <c r="I701" s="4" t="n">
        <v>417</v>
      </c>
      <c r="J701" s="4" t="n">
        <v>0</v>
      </c>
      <c r="K701" s="4" t="n">
        <v>40</v>
      </c>
      <c r="L701" s="4" t="n">
        <f aca="false">IF(O701="Delivered",I701-J701+K701,0)</f>
        <v>457</v>
      </c>
      <c r="M701" s="0" t="n">
        <v>49</v>
      </c>
      <c r="N701" s="0" t="n">
        <v>3.1</v>
      </c>
      <c r="O701" s="3" t="s">
        <v>17</v>
      </c>
    </row>
    <row r="702" customFormat="false" ht="15" hidden="false" customHeight="false" outlineLevel="0" collapsed="false">
      <c r="A702" s="0" t="s">
        <v>661</v>
      </c>
      <c r="B702" s="2" t="n">
        <v>45846</v>
      </c>
      <c r="C702" s="0" t="str">
        <f aca="false">TEXT(B702,"mmm")</f>
        <v>Jul</v>
      </c>
      <c r="D702" s="0" t="str">
        <f aca="false">TEXT(B702,"ddd")</f>
        <v>Tue</v>
      </c>
      <c r="E702" s="3" t="s">
        <v>19</v>
      </c>
      <c r="F702" s="3" t="s">
        <v>14</v>
      </c>
      <c r="G702" s="3" t="s">
        <v>15</v>
      </c>
      <c r="H702" s="3" t="s">
        <v>36</v>
      </c>
      <c r="I702" s="4" t="n">
        <v>335</v>
      </c>
      <c r="J702" s="4" t="n">
        <v>72</v>
      </c>
      <c r="K702" s="4" t="n">
        <v>40</v>
      </c>
      <c r="L702" s="4" t="n">
        <f aca="false">IF(O702="Delivered",I702-J702+K702,0)</f>
        <v>0</v>
      </c>
      <c r="O702" s="3" t="s">
        <v>68</v>
      </c>
    </row>
    <row r="703" customFormat="false" ht="15" hidden="false" customHeight="false" outlineLevel="0" collapsed="false">
      <c r="A703" s="0" t="s">
        <v>994</v>
      </c>
      <c r="B703" s="2" t="n">
        <v>45846</v>
      </c>
      <c r="C703" s="0" t="str">
        <f aca="false">TEXT(B703,"mmm")</f>
        <v>Jul</v>
      </c>
      <c r="D703" s="0" t="str">
        <f aca="false">TEXT(B703,"ddd")</f>
        <v>Tue</v>
      </c>
      <c r="E703" s="3" t="s">
        <v>30</v>
      </c>
      <c r="F703" s="3" t="s">
        <v>25</v>
      </c>
      <c r="G703" s="3" t="s">
        <v>21</v>
      </c>
      <c r="H703" s="3" t="s">
        <v>22</v>
      </c>
      <c r="I703" s="4" t="n">
        <v>458</v>
      </c>
      <c r="J703" s="4" t="n">
        <v>90</v>
      </c>
      <c r="K703" s="4" t="n">
        <v>30</v>
      </c>
      <c r="L703" s="4" t="n">
        <f aca="false">IF(O703="Delivered",I703-J703+K703,0)</f>
        <v>398</v>
      </c>
      <c r="M703" s="0" t="n">
        <v>19</v>
      </c>
      <c r="N703" s="0" t="n">
        <v>5</v>
      </c>
      <c r="O703" s="3" t="s">
        <v>17</v>
      </c>
    </row>
    <row r="704" customFormat="false" ht="15" hidden="false" customHeight="false" outlineLevel="0" collapsed="false">
      <c r="A704" s="0" t="s">
        <v>1043</v>
      </c>
      <c r="B704" s="2" t="n">
        <v>45846</v>
      </c>
      <c r="C704" s="0" t="str">
        <f aca="false">TEXT(B704,"mmm")</f>
        <v>Jul</v>
      </c>
      <c r="D704" s="0" t="str">
        <f aca="false">TEXT(B704,"ddd")</f>
        <v>Tue</v>
      </c>
      <c r="E704" s="3" t="s">
        <v>27</v>
      </c>
      <c r="F704" s="3" t="s">
        <v>31</v>
      </c>
      <c r="G704" s="3" t="s">
        <v>21</v>
      </c>
      <c r="H704" s="3" t="s">
        <v>22</v>
      </c>
      <c r="I704" s="4" t="n">
        <v>417</v>
      </c>
      <c r="J704" s="4" t="n">
        <v>0</v>
      </c>
      <c r="K704" s="4" t="n">
        <v>45</v>
      </c>
      <c r="L704" s="4" t="n">
        <f aca="false">IF(O704="Delivered",I704-J704+K704,0)</f>
        <v>462</v>
      </c>
      <c r="M704" s="0" t="n">
        <v>49</v>
      </c>
      <c r="N704" s="0" t="n">
        <v>3.9</v>
      </c>
      <c r="O704" s="3" t="s">
        <v>17</v>
      </c>
    </row>
    <row r="705" customFormat="false" ht="15" hidden="false" customHeight="false" outlineLevel="0" collapsed="false">
      <c r="A705" s="0" t="s">
        <v>1133</v>
      </c>
      <c r="B705" s="2" t="n">
        <v>45846</v>
      </c>
      <c r="C705" s="0" t="str">
        <f aca="false">TEXT(B705,"mmm")</f>
        <v>Jul</v>
      </c>
      <c r="D705" s="0" t="str">
        <f aca="false">TEXT(B705,"ddd")</f>
        <v>Tue</v>
      </c>
      <c r="E705" s="3" t="s">
        <v>24</v>
      </c>
      <c r="F705" s="3" t="s">
        <v>25</v>
      </c>
      <c r="G705" s="3" t="s">
        <v>21</v>
      </c>
      <c r="H705" s="3" t="s">
        <v>36</v>
      </c>
      <c r="I705" s="4" t="n">
        <v>288</v>
      </c>
      <c r="J705" s="4" t="n">
        <v>0</v>
      </c>
      <c r="K705" s="4" t="n">
        <v>30</v>
      </c>
      <c r="L705" s="4" t="n">
        <f aca="false">IF(O705="Delivered",I705-J705+K705,0)</f>
        <v>318</v>
      </c>
      <c r="M705" s="0" t="n">
        <v>38</v>
      </c>
      <c r="N705" s="0" t="n">
        <v>4.2</v>
      </c>
      <c r="O705" s="3" t="s">
        <v>17</v>
      </c>
    </row>
    <row r="706" customFormat="false" ht="15" hidden="false" customHeight="false" outlineLevel="0" collapsed="false">
      <c r="A706" s="0" t="s">
        <v>1391</v>
      </c>
      <c r="B706" s="2" t="n">
        <v>45846</v>
      </c>
      <c r="C706" s="0" t="str">
        <f aca="false">TEXT(B706,"mmm")</f>
        <v>Jul</v>
      </c>
      <c r="D706" s="0" t="str">
        <f aca="false">TEXT(B706,"ddd")</f>
        <v>Tue</v>
      </c>
      <c r="E706" s="3" t="s">
        <v>30</v>
      </c>
      <c r="F706" s="3" t="s">
        <v>20</v>
      </c>
      <c r="G706" s="3" t="s">
        <v>21</v>
      </c>
      <c r="H706" s="3" t="s">
        <v>22</v>
      </c>
      <c r="I706" s="4" t="n">
        <v>486</v>
      </c>
      <c r="J706" s="4" t="n">
        <v>0</v>
      </c>
      <c r="K706" s="4" t="n">
        <v>30</v>
      </c>
      <c r="L706" s="4" t="n">
        <f aca="false">IF(O706="Delivered",I706-J706+K706,0)</f>
        <v>516</v>
      </c>
      <c r="M706" s="0" t="n">
        <v>34</v>
      </c>
      <c r="N706" s="0" t="n">
        <v>4.3</v>
      </c>
      <c r="O706" s="3" t="s">
        <v>17</v>
      </c>
    </row>
    <row r="707" customFormat="false" ht="15" hidden="false" customHeight="false" outlineLevel="0" collapsed="false">
      <c r="A707" s="0" t="s">
        <v>1673</v>
      </c>
      <c r="B707" s="2" t="n">
        <v>45846</v>
      </c>
      <c r="C707" s="0" t="str">
        <f aca="false">TEXT(B707,"mmm")</f>
        <v>Jul</v>
      </c>
      <c r="D707" s="0" t="str">
        <f aca="false">TEXT(B707,"ddd")</f>
        <v>Tue</v>
      </c>
      <c r="E707" s="3" t="s">
        <v>27</v>
      </c>
      <c r="F707" s="3" t="s">
        <v>31</v>
      </c>
      <c r="G707" s="3" t="s">
        <v>21</v>
      </c>
      <c r="H707" s="3" t="s">
        <v>22</v>
      </c>
      <c r="I707" s="4" t="n">
        <v>413</v>
      </c>
      <c r="J707" s="4" t="n">
        <v>0</v>
      </c>
      <c r="K707" s="4" t="n">
        <v>30</v>
      </c>
      <c r="L707" s="4" t="n">
        <f aca="false">IF(O707="Delivered",I707-J707+K707,0)</f>
        <v>0</v>
      </c>
      <c r="O707" s="3" t="s">
        <v>68</v>
      </c>
    </row>
    <row r="708" customFormat="false" ht="15" hidden="false" customHeight="false" outlineLevel="0" collapsed="false">
      <c r="A708" s="0" t="s">
        <v>110</v>
      </c>
      <c r="B708" s="2" t="n">
        <v>45847</v>
      </c>
      <c r="C708" s="0" t="str">
        <f aca="false">TEXT(B708,"mmm")</f>
        <v>Jul</v>
      </c>
      <c r="D708" s="0" t="str">
        <f aca="false">TEXT(B708,"ddd")</f>
        <v>Wed</v>
      </c>
      <c r="E708" s="3" t="s">
        <v>27</v>
      </c>
      <c r="F708" s="3" t="s">
        <v>56</v>
      </c>
      <c r="G708" s="3" t="s">
        <v>15</v>
      </c>
      <c r="H708" s="3" t="s">
        <v>22</v>
      </c>
      <c r="I708" s="4" t="n">
        <v>515</v>
      </c>
      <c r="J708" s="4" t="n">
        <v>97</v>
      </c>
      <c r="K708" s="4" t="n">
        <v>0</v>
      </c>
      <c r="L708" s="4" t="n">
        <f aca="false">IF(O708="Delivered",I708-J708+K708,0)</f>
        <v>418</v>
      </c>
      <c r="M708" s="0" t="n">
        <v>33</v>
      </c>
      <c r="N708" s="0" t="n">
        <v>3.3</v>
      </c>
      <c r="O708" s="3" t="s">
        <v>17</v>
      </c>
    </row>
    <row r="709" customFormat="false" ht="15" hidden="false" customHeight="false" outlineLevel="0" collapsed="false">
      <c r="A709" s="0" t="s">
        <v>1164</v>
      </c>
      <c r="B709" s="2" t="n">
        <v>45847</v>
      </c>
      <c r="C709" s="0" t="str">
        <f aca="false">TEXT(B709,"mmm")</f>
        <v>Jul</v>
      </c>
      <c r="D709" s="0" t="str">
        <f aca="false">TEXT(B709,"ddd")</f>
        <v>Wed</v>
      </c>
      <c r="E709" s="3" t="s">
        <v>40</v>
      </c>
      <c r="F709" s="3" t="s">
        <v>49</v>
      </c>
      <c r="G709" s="3" t="s">
        <v>21</v>
      </c>
      <c r="H709" s="3" t="s">
        <v>22</v>
      </c>
      <c r="I709" s="4" t="n">
        <v>675</v>
      </c>
      <c r="J709" s="4" t="n">
        <v>114</v>
      </c>
      <c r="K709" s="4" t="n">
        <v>0</v>
      </c>
      <c r="L709" s="4" t="n">
        <f aca="false">IF(O709="Delivered",I709-J709+K709,0)</f>
        <v>561</v>
      </c>
      <c r="M709" s="0" t="n">
        <v>45</v>
      </c>
      <c r="N709" s="0" t="n">
        <v>3.8</v>
      </c>
      <c r="O709" s="3" t="s">
        <v>17</v>
      </c>
    </row>
    <row r="710" customFormat="false" ht="15" hidden="false" customHeight="false" outlineLevel="0" collapsed="false">
      <c r="A710" s="0" t="s">
        <v>81</v>
      </c>
      <c r="B710" s="2" t="n">
        <v>45848</v>
      </c>
      <c r="C710" s="0" t="str">
        <f aca="false">TEXT(B710,"mmm")</f>
        <v>Jul</v>
      </c>
      <c r="D710" s="0" t="str">
        <f aca="false">TEXT(B710,"ddd")</f>
        <v>Thu</v>
      </c>
      <c r="E710" s="3" t="s">
        <v>13</v>
      </c>
      <c r="F710" s="3" t="s">
        <v>31</v>
      </c>
      <c r="G710" s="3" t="s">
        <v>21</v>
      </c>
      <c r="H710" s="3" t="s">
        <v>22</v>
      </c>
      <c r="I710" s="4" t="n">
        <v>508</v>
      </c>
      <c r="J710" s="4" t="n">
        <v>0</v>
      </c>
      <c r="K710" s="4" t="n">
        <v>0</v>
      </c>
      <c r="L710" s="4" t="n">
        <f aca="false">IF(O710="Delivered",I710-J710+K710,0)</f>
        <v>508</v>
      </c>
      <c r="M710" s="0" t="n">
        <v>30</v>
      </c>
      <c r="N710" s="0" t="n">
        <v>5</v>
      </c>
      <c r="O710" s="3" t="s">
        <v>17</v>
      </c>
    </row>
    <row r="711" customFormat="false" ht="15" hidden="false" customHeight="false" outlineLevel="0" collapsed="false">
      <c r="A711" s="0" t="s">
        <v>204</v>
      </c>
      <c r="B711" s="2" t="n">
        <v>45848</v>
      </c>
      <c r="C711" s="0" t="str">
        <f aca="false">TEXT(B711,"mmm")</f>
        <v>Jul</v>
      </c>
      <c r="D711" s="0" t="str">
        <f aca="false">TEXT(B711,"ddd")</f>
        <v>Thu</v>
      </c>
      <c r="E711" s="3" t="s">
        <v>40</v>
      </c>
      <c r="F711" s="3" t="s">
        <v>14</v>
      </c>
      <c r="G711" s="3" t="s">
        <v>15</v>
      </c>
      <c r="H711" s="3" t="s">
        <v>34</v>
      </c>
      <c r="I711" s="4" t="n">
        <v>276</v>
      </c>
      <c r="J711" s="4" t="n">
        <v>64</v>
      </c>
      <c r="K711" s="4" t="n">
        <v>40</v>
      </c>
      <c r="L711" s="4" t="n">
        <f aca="false">IF(O711="Delivered",I711-J711+K711,0)</f>
        <v>252</v>
      </c>
      <c r="M711" s="0" t="n">
        <v>37</v>
      </c>
      <c r="N711" s="0" t="n">
        <v>4</v>
      </c>
      <c r="O711" s="3" t="s">
        <v>17</v>
      </c>
    </row>
    <row r="712" customFormat="false" ht="15" hidden="false" customHeight="false" outlineLevel="0" collapsed="false">
      <c r="A712" s="0" t="s">
        <v>573</v>
      </c>
      <c r="B712" s="2" t="n">
        <v>45848</v>
      </c>
      <c r="C712" s="0" t="str">
        <f aca="false">TEXT(B712,"mmm")</f>
        <v>Jul</v>
      </c>
      <c r="D712" s="0" t="str">
        <f aca="false">TEXT(B712,"ddd")</f>
        <v>Thu</v>
      </c>
      <c r="E712" s="3" t="s">
        <v>19</v>
      </c>
      <c r="F712" s="3" t="s">
        <v>56</v>
      </c>
      <c r="G712" s="3" t="s">
        <v>15</v>
      </c>
      <c r="H712" s="3" t="s">
        <v>34</v>
      </c>
      <c r="I712" s="4" t="n">
        <v>285</v>
      </c>
      <c r="J712" s="4" t="n">
        <v>0</v>
      </c>
      <c r="K712" s="4" t="n">
        <v>40</v>
      </c>
      <c r="L712" s="4" t="n">
        <f aca="false">IF(O712="Delivered",I712-J712+K712,0)</f>
        <v>325</v>
      </c>
      <c r="M712" s="0" t="n">
        <v>27</v>
      </c>
      <c r="N712" s="0" t="n">
        <v>4.2</v>
      </c>
      <c r="O712" s="3" t="s">
        <v>17</v>
      </c>
    </row>
    <row r="713" customFormat="false" ht="15" hidden="false" customHeight="false" outlineLevel="0" collapsed="false">
      <c r="A713" s="0" t="s">
        <v>592</v>
      </c>
      <c r="B713" s="2" t="n">
        <v>45848</v>
      </c>
      <c r="C713" s="0" t="str">
        <f aca="false">TEXT(B713,"mmm")</f>
        <v>Jul</v>
      </c>
      <c r="D713" s="0" t="str">
        <f aca="false">TEXT(B713,"ddd")</f>
        <v>Thu</v>
      </c>
      <c r="E713" s="3" t="s">
        <v>24</v>
      </c>
      <c r="F713" s="3" t="s">
        <v>28</v>
      </c>
      <c r="G713" s="3" t="s">
        <v>21</v>
      </c>
      <c r="H713" s="3" t="s">
        <v>22</v>
      </c>
      <c r="I713" s="4" t="n">
        <v>429</v>
      </c>
      <c r="J713" s="4" t="n">
        <v>0</v>
      </c>
      <c r="K713" s="4" t="n">
        <v>20</v>
      </c>
      <c r="L713" s="4" t="n">
        <f aca="false">IF(O713="Delivered",I713-J713+K713,0)</f>
        <v>449</v>
      </c>
      <c r="M713" s="0" t="n">
        <v>33</v>
      </c>
      <c r="N713" s="0" t="n">
        <v>3.7</v>
      </c>
      <c r="O713" s="3" t="s">
        <v>17</v>
      </c>
    </row>
    <row r="714" customFormat="false" ht="15" hidden="false" customHeight="false" outlineLevel="0" collapsed="false">
      <c r="A714" s="0" t="s">
        <v>1676</v>
      </c>
      <c r="B714" s="2" t="n">
        <v>45848</v>
      </c>
      <c r="C714" s="0" t="str">
        <f aca="false">TEXT(B714,"mmm")</f>
        <v>Jul</v>
      </c>
      <c r="D714" s="0" t="str">
        <f aca="false">TEXT(B714,"ddd")</f>
        <v>Thu</v>
      </c>
      <c r="E714" s="3" t="s">
        <v>27</v>
      </c>
      <c r="F714" s="3" t="s">
        <v>20</v>
      </c>
      <c r="G714" s="3" t="s">
        <v>21</v>
      </c>
      <c r="H714" s="3" t="s">
        <v>22</v>
      </c>
      <c r="I714" s="4" t="n">
        <v>394</v>
      </c>
      <c r="J714" s="4" t="n">
        <v>82</v>
      </c>
      <c r="K714" s="4" t="n">
        <v>40</v>
      </c>
      <c r="L714" s="4" t="n">
        <f aca="false">IF(O714="Delivered",I714-J714+K714,0)</f>
        <v>352</v>
      </c>
      <c r="M714" s="0" t="n">
        <v>43</v>
      </c>
      <c r="N714" s="0" t="n">
        <v>4.4</v>
      </c>
      <c r="O714" s="3" t="s">
        <v>17</v>
      </c>
    </row>
    <row r="715" customFormat="false" ht="15" hidden="false" customHeight="false" outlineLevel="0" collapsed="false">
      <c r="A715" s="0" t="s">
        <v>389</v>
      </c>
      <c r="B715" s="2" t="n">
        <v>45849</v>
      </c>
      <c r="C715" s="0" t="str">
        <f aca="false">TEXT(B715,"mmm")</f>
        <v>Jul</v>
      </c>
      <c r="D715" s="0" t="str">
        <f aca="false">TEXT(B715,"ddd")</f>
        <v>Fri</v>
      </c>
      <c r="E715" s="3" t="s">
        <v>24</v>
      </c>
      <c r="F715" s="3" t="s">
        <v>49</v>
      </c>
      <c r="G715" s="3" t="s">
        <v>21</v>
      </c>
      <c r="H715" s="3" t="s">
        <v>22</v>
      </c>
      <c r="I715" s="4" t="n">
        <v>670</v>
      </c>
      <c r="J715" s="4" t="n">
        <v>0</v>
      </c>
      <c r="K715" s="4" t="n">
        <v>0</v>
      </c>
      <c r="L715" s="4" t="n">
        <f aca="false">IF(O715="Delivered",I715-J715+K715,0)</f>
        <v>670</v>
      </c>
      <c r="M715" s="0" t="n">
        <v>39</v>
      </c>
      <c r="N715" s="0" t="n">
        <v>3.9</v>
      </c>
      <c r="O715" s="3" t="s">
        <v>17</v>
      </c>
    </row>
    <row r="716" customFormat="false" ht="15" hidden="false" customHeight="false" outlineLevel="0" collapsed="false">
      <c r="A716" s="0" t="s">
        <v>722</v>
      </c>
      <c r="B716" s="2" t="n">
        <v>45849</v>
      </c>
      <c r="C716" s="0" t="str">
        <f aca="false">TEXT(B716,"mmm")</f>
        <v>Jul</v>
      </c>
      <c r="D716" s="0" t="str">
        <f aca="false">TEXT(B716,"ddd")</f>
        <v>Fri</v>
      </c>
      <c r="E716" s="3" t="s">
        <v>13</v>
      </c>
      <c r="F716" s="3" t="s">
        <v>25</v>
      </c>
      <c r="G716" s="3" t="s">
        <v>21</v>
      </c>
      <c r="H716" s="3" t="s">
        <v>22</v>
      </c>
      <c r="I716" s="4" t="n">
        <v>490</v>
      </c>
      <c r="J716" s="4" t="n">
        <v>58</v>
      </c>
      <c r="K716" s="4" t="n">
        <v>20</v>
      </c>
      <c r="L716" s="4" t="n">
        <f aca="false">IF(O716="Delivered",I716-J716+K716,0)</f>
        <v>452</v>
      </c>
      <c r="M716" s="0" t="n">
        <v>35</v>
      </c>
      <c r="N716" s="0" t="n">
        <v>4.3</v>
      </c>
      <c r="O716" s="3" t="s">
        <v>17</v>
      </c>
    </row>
    <row r="717" customFormat="false" ht="15" hidden="false" customHeight="false" outlineLevel="0" collapsed="false">
      <c r="A717" s="0" t="s">
        <v>838</v>
      </c>
      <c r="B717" s="2" t="n">
        <v>45849</v>
      </c>
      <c r="C717" s="0" t="str">
        <f aca="false">TEXT(B717,"mmm")</f>
        <v>Jul</v>
      </c>
      <c r="D717" s="0" t="str">
        <f aca="false">TEXT(B717,"ddd")</f>
        <v>Fri</v>
      </c>
      <c r="E717" s="3" t="s">
        <v>40</v>
      </c>
      <c r="F717" s="3" t="s">
        <v>28</v>
      </c>
      <c r="G717" s="3" t="s">
        <v>15</v>
      </c>
      <c r="H717" s="3" t="s">
        <v>22</v>
      </c>
      <c r="I717" s="4" t="n">
        <v>364</v>
      </c>
      <c r="J717" s="4" t="n">
        <v>0</v>
      </c>
      <c r="K717" s="4" t="n">
        <v>30</v>
      </c>
      <c r="L717" s="4" t="n">
        <f aca="false">IF(O717="Delivered",I717-J717+K717,0)</f>
        <v>0</v>
      </c>
      <c r="O717" s="3" t="s">
        <v>68</v>
      </c>
    </row>
    <row r="718" customFormat="false" ht="15" hidden="false" customHeight="false" outlineLevel="0" collapsed="false">
      <c r="A718" s="0" t="s">
        <v>1392</v>
      </c>
      <c r="B718" s="2" t="n">
        <v>45849</v>
      </c>
      <c r="C718" s="0" t="str">
        <f aca="false">TEXT(B718,"mmm")</f>
        <v>Jul</v>
      </c>
      <c r="D718" s="0" t="str">
        <f aca="false">TEXT(B718,"ddd")</f>
        <v>Fri</v>
      </c>
      <c r="E718" s="3" t="s">
        <v>40</v>
      </c>
      <c r="F718" s="3" t="s">
        <v>31</v>
      </c>
      <c r="G718" s="3" t="s">
        <v>15</v>
      </c>
      <c r="H718" s="3" t="s">
        <v>22</v>
      </c>
      <c r="I718" s="4" t="n">
        <v>295</v>
      </c>
      <c r="J718" s="4" t="n">
        <v>55</v>
      </c>
      <c r="K718" s="4" t="n">
        <v>45</v>
      </c>
      <c r="L718" s="4" t="n">
        <f aca="false">IF(O718="Delivered",I718-J718+K718,0)</f>
        <v>285</v>
      </c>
      <c r="M718" s="0" t="n">
        <v>43</v>
      </c>
      <c r="N718" s="0" t="n">
        <v>4.9</v>
      </c>
      <c r="O718" s="3" t="s">
        <v>17</v>
      </c>
    </row>
    <row r="719" customFormat="false" ht="15" hidden="false" customHeight="false" outlineLevel="0" collapsed="false">
      <c r="A719" s="0" t="s">
        <v>1664</v>
      </c>
      <c r="B719" s="2" t="n">
        <v>45849</v>
      </c>
      <c r="C719" s="0" t="str">
        <f aca="false">TEXT(B719,"mmm")</f>
        <v>Jul</v>
      </c>
      <c r="D719" s="0" t="str">
        <f aca="false">TEXT(B719,"ddd")</f>
        <v>Fri</v>
      </c>
      <c r="E719" s="3" t="s">
        <v>45</v>
      </c>
      <c r="F719" s="3" t="s">
        <v>78</v>
      </c>
      <c r="G719" s="3" t="s">
        <v>21</v>
      </c>
      <c r="H719" s="3" t="s">
        <v>54</v>
      </c>
      <c r="I719" s="4" t="n">
        <v>318</v>
      </c>
      <c r="J719" s="4" t="n">
        <v>0</v>
      </c>
      <c r="K719" s="4" t="n">
        <v>45</v>
      </c>
      <c r="L719" s="4" t="n">
        <f aca="false">IF(O719="Delivered",I719-J719+K719,0)</f>
        <v>363</v>
      </c>
      <c r="M719" s="0" t="n">
        <v>40</v>
      </c>
      <c r="N719" s="0" t="n">
        <v>3.4</v>
      </c>
      <c r="O719" s="3" t="s">
        <v>17</v>
      </c>
    </row>
    <row r="720" customFormat="false" ht="15" hidden="false" customHeight="false" outlineLevel="0" collapsed="false">
      <c r="A720" s="0" t="s">
        <v>403</v>
      </c>
      <c r="B720" s="2" t="n">
        <v>45850</v>
      </c>
      <c r="C720" s="0" t="str">
        <f aca="false">TEXT(B720,"mmm")</f>
        <v>Jul</v>
      </c>
      <c r="D720" s="0" t="str">
        <f aca="false">TEXT(B720,"ddd")</f>
        <v>Sat</v>
      </c>
      <c r="E720" s="3" t="s">
        <v>27</v>
      </c>
      <c r="F720" s="3" t="s">
        <v>56</v>
      </c>
      <c r="G720" s="3" t="s">
        <v>15</v>
      </c>
      <c r="H720" s="3" t="s">
        <v>22</v>
      </c>
      <c r="I720" s="4" t="n">
        <v>539</v>
      </c>
      <c r="J720" s="4" t="n">
        <v>0</v>
      </c>
      <c r="K720" s="4" t="n">
        <v>0</v>
      </c>
      <c r="L720" s="4" t="n">
        <f aca="false">IF(O720="Delivered",I720-J720+K720,0)</f>
        <v>539</v>
      </c>
      <c r="M720" s="0" t="n">
        <v>49</v>
      </c>
      <c r="O720" s="3" t="s">
        <v>17</v>
      </c>
    </row>
    <row r="721" customFormat="false" ht="15" hidden="false" customHeight="false" outlineLevel="0" collapsed="false">
      <c r="A721" s="0" t="s">
        <v>473</v>
      </c>
      <c r="B721" s="2" t="n">
        <v>45850</v>
      </c>
      <c r="C721" s="0" t="str">
        <f aca="false">TEXT(B721,"mmm")</f>
        <v>Jul</v>
      </c>
      <c r="D721" s="0" t="str">
        <f aca="false">TEXT(B721,"ddd")</f>
        <v>Sat</v>
      </c>
      <c r="E721" s="3" t="s">
        <v>13</v>
      </c>
      <c r="F721" s="3" t="s">
        <v>20</v>
      </c>
      <c r="G721" s="3" t="s">
        <v>15</v>
      </c>
      <c r="H721" s="3" t="s">
        <v>36</v>
      </c>
      <c r="I721" s="4" t="n">
        <v>675</v>
      </c>
      <c r="J721" s="4" t="n">
        <v>0</v>
      </c>
      <c r="K721" s="4" t="n">
        <v>0</v>
      </c>
      <c r="L721" s="4" t="n">
        <f aca="false">IF(O721="Delivered",I721-J721+K721,0)</f>
        <v>675</v>
      </c>
      <c r="M721" s="0" t="n">
        <v>32</v>
      </c>
      <c r="N721" s="0" t="n">
        <v>4.2</v>
      </c>
      <c r="O721" s="3" t="s">
        <v>17</v>
      </c>
    </row>
    <row r="722" customFormat="false" ht="15" hidden="false" customHeight="false" outlineLevel="0" collapsed="false">
      <c r="A722" s="0" t="s">
        <v>885</v>
      </c>
      <c r="B722" s="2" t="n">
        <v>45850</v>
      </c>
      <c r="C722" s="0" t="str">
        <f aca="false">TEXT(B722,"mmm")</f>
        <v>Jul</v>
      </c>
      <c r="D722" s="0" t="str">
        <f aca="false">TEXT(B722,"ddd")</f>
        <v>Sat</v>
      </c>
      <c r="E722" s="3" t="s">
        <v>27</v>
      </c>
      <c r="F722" s="3" t="s">
        <v>28</v>
      </c>
      <c r="G722" s="3" t="s">
        <v>21</v>
      </c>
      <c r="H722" s="3" t="s">
        <v>54</v>
      </c>
      <c r="I722" s="4" t="n">
        <v>509</v>
      </c>
      <c r="J722" s="4" t="n">
        <v>0</v>
      </c>
      <c r="K722" s="4" t="n">
        <v>0</v>
      </c>
      <c r="L722" s="4" t="n">
        <f aca="false">IF(O722="Delivered",I722-J722+K722,0)</f>
        <v>509</v>
      </c>
      <c r="M722" s="0" t="n">
        <v>47</v>
      </c>
      <c r="N722" s="0" t="n">
        <v>4.4</v>
      </c>
      <c r="O722" s="3" t="s">
        <v>17</v>
      </c>
    </row>
    <row r="723" customFormat="false" ht="15" hidden="false" customHeight="false" outlineLevel="0" collapsed="false">
      <c r="A723" s="0" t="s">
        <v>1046</v>
      </c>
      <c r="B723" s="2" t="n">
        <v>45850</v>
      </c>
      <c r="C723" s="0" t="str">
        <f aca="false">TEXT(B723,"mmm")</f>
        <v>Jul</v>
      </c>
      <c r="D723" s="0" t="str">
        <f aca="false">TEXT(B723,"ddd")</f>
        <v>Sat</v>
      </c>
      <c r="E723" s="3" t="s">
        <v>45</v>
      </c>
      <c r="F723" s="3" t="s">
        <v>20</v>
      </c>
      <c r="G723" s="3" t="s">
        <v>15</v>
      </c>
      <c r="H723" s="3" t="s">
        <v>22</v>
      </c>
      <c r="I723" s="4" t="n">
        <v>476</v>
      </c>
      <c r="J723" s="4" t="n">
        <v>85</v>
      </c>
      <c r="K723" s="4" t="n">
        <v>20</v>
      </c>
      <c r="L723" s="4" t="n">
        <f aca="false">IF(O723="Delivered",I723-J723+K723,0)</f>
        <v>411</v>
      </c>
      <c r="M723" s="0" t="n">
        <v>37</v>
      </c>
      <c r="N723" s="0" t="n">
        <v>4.5</v>
      </c>
      <c r="O723" s="3" t="s">
        <v>17</v>
      </c>
    </row>
    <row r="724" customFormat="false" ht="15" hidden="false" customHeight="false" outlineLevel="0" collapsed="false">
      <c r="A724" s="0" t="s">
        <v>1115</v>
      </c>
      <c r="B724" s="2" t="n">
        <v>45850</v>
      </c>
      <c r="C724" s="0" t="str">
        <f aca="false">TEXT(B724,"mmm")</f>
        <v>Jul</v>
      </c>
      <c r="D724" s="0" t="str">
        <f aca="false">TEXT(B724,"ddd")</f>
        <v>Sat</v>
      </c>
      <c r="E724" s="3" t="s">
        <v>13</v>
      </c>
      <c r="F724" s="3" t="s">
        <v>31</v>
      </c>
      <c r="G724" s="3" t="s">
        <v>21</v>
      </c>
      <c r="H724" s="3" t="s">
        <v>16</v>
      </c>
      <c r="I724" s="4" t="n">
        <v>515</v>
      </c>
      <c r="J724" s="4" t="n">
        <v>57</v>
      </c>
      <c r="K724" s="4" t="n">
        <v>0</v>
      </c>
      <c r="L724" s="4" t="n">
        <f aca="false">IF(O724="Delivered",I724-J724+K724,0)</f>
        <v>458</v>
      </c>
      <c r="M724" s="0" t="n">
        <v>31</v>
      </c>
      <c r="N724" s="0" t="n">
        <v>5</v>
      </c>
      <c r="O724" s="3" t="s">
        <v>17</v>
      </c>
    </row>
    <row r="725" customFormat="false" ht="15" hidden="false" customHeight="false" outlineLevel="0" collapsed="false">
      <c r="A725" s="0" t="s">
        <v>1244</v>
      </c>
      <c r="B725" s="2" t="n">
        <v>45850</v>
      </c>
      <c r="C725" s="0" t="str">
        <f aca="false">TEXT(B725,"mmm")</f>
        <v>Jul</v>
      </c>
      <c r="D725" s="0" t="str">
        <f aca="false">TEXT(B725,"ddd")</f>
        <v>Sat</v>
      </c>
      <c r="E725" s="3" t="s">
        <v>27</v>
      </c>
      <c r="F725" s="3" t="s">
        <v>31</v>
      </c>
      <c r="G725" s="3" t="s">
        <v>21</v>
      </c>
      <c r="H725" s="3" t="s">
        <v>22</v>
      </c>
      <c r="I725" s="4" t="n">
        <v>426</v>
      </c>
      <c r="J725" s="4" t="n">
        <v>89</v>
      </c>
      <c r="K725" s="4" t="n">
        <v>30</v>
      </c>
      <c r="L725" s="4" t="n">
        <f aca="false">IF(O725="Delivered",I725-J725+K725,0)</f>
        <v>367</v>
      </c>
      <c r="M725" s="0" t="n">
        <v>46</v>
      </c>
      <c r="N725" s="0" t="n">
        <v>4.7</v>
      </c>
      <c r="O725" s="3" t="s">
        <v>17</v>
      </c>
    </row>
    <row r="726" customFormat="false" ht="15" hidden="false" customHeight="false" outlineLevel="0" collapsed="false">
      <c r="A726" s="0" t="s">
        <v>1515</v>
      </c>
      <c r="B726" s="2" t="n">
        <v>45850</v>
      </c>
      <c r="C726" s="0" t="str">
        <f aca="false">TEXT(B726,"mmm")</f>
        <v>Jul</v>
      </c>
      <c r="D726" s="0" t="str">
        <f aca="false">TEXT(B726,"ddd")</f>
        <v>Sat</v>
      </c>
      <c r="E726" s="3" t="s">
        <v>27</v>
      </c>
      <c r="F726" s="3" t="s">
        <v>20</v>
      </c>
      <c r="G726" s="3" t="s">
        <v>15</v>
      </c>
      <c r="H726" s="3" t="s">
        <v>54</v>
      </c>
      <c r="I726" s="4" t="n">
        <v>719</v>
      </c>
      <c r="J726" s="4" t="n">
        <v>0</v>
      </c>
      <c r="K726" s="4" t="n">
        <v>0</v>
      </c>
      <c r="L726" s="4" t="n">
        <f aca="false">IF(O726="Delivered",I726-J726+K726,0)</f>
        <v>719</v>
      </c>
      <c r="M726" s="0" t="n">
        <v>41</v>
      </c>
      <c r="N726" s="0" t="n">
        <v>3.5</v>
      </c>
      <c r="O726" s="3" t="s">
        <v>17</v>
      </c>
    </row>
    <row r="727" customFormat="false" ht="15" hidden="false" customHeight="false" outlineLevel="0" collapsed="false">
      <c r="A727" s="0" t="s">
        <v>196</v>
      </c>
      <c r="B727" s="2" t="n">
        <v>45851</v>
      </c>
      <c r="C727" s="0" t="str">
        <f aca="false">TEXT(B727,"mmm")</f>
        <v>Jul</v>
      </c>
      <c r="D727" s="0" t="str">
        <f aca="false">TEXT(B727,"ddd")</f>
        <v>Sun</v>
      </c>
      <c r="E727" s="3" t="s">
        <v>51</v>
      </c>
      <c r="F727" s="3" t="s">
        <v>31</v>
      </c>
      <c r="G727" s="3" t="s">
        <v>21</v>
      </c>
      <c r="H727" s="3" t="s">
        <v>22</v>
      </c>
      <c r="I727" s="4" t="n">
        <v>391</v>
      </c>
      <c r="J727" s="4" t="n">
        <v>0</v>
      </c>
      <c r="K727" s="4" t="n">
        <v>30</v>
      </c>
      <c r="L727" s="4" t="n">
        <f aca="false">IF(O727="Delivered",I727-J727+K727,0)</f>
        <v>421</v>
      </c>
      <c r="M727" s="0" t="n">
        <v>34</v>
      </c>
      <c r="N727" s="0" t="n">
        <v>3.8</v>
      </c>
      <c r="O727" s="3" t="s">
        <v>17</v>
      </c>
    </row>
    <row r="728" customFormat="false" ht="15" hidden="false" customHeight="false" outlineLevel="0" collapsed="false">
      <c r="A728" s="0" t="s">
        <v>688</v>
      </c>
      <c r="B728" s="2" t="n">
        <v>45851</v>
      </c>
      <c r="C728" s="0" t="str">
        <f aca="false">TEXT(B728,"mmm")</f>
        <v>Jul</v>
      </c>
      <c r="D728" s="0" t="str">
        <f aca="false">TEXT(B728,"ddd")</f>
        <v>Sun</v>
      </c>
      <c r="E728" s="3" t="s">
        <v>24</v>
      </c>
      <c r="F728" s="3" t="s">
        <v>25</v>
      </c>
      <c r="G728" s="3" t="s">
        <v>21</v>
      </c>
      <c r="H728" s="3" t="s">
        <v>34</v>
      </c>
      <c r="I728" s="4" t="n">
        <v>521</v>
      </c>
      <c r="J728" s="4" t="n">
        <v>113</v>
      </c>
      <c r="K728" s="4" t="n">
        <v>0</v>
      </c>
      <c r="L728" s="4" t="n">
        <f aca="false">IF(O728="Delivered",I728-J728+K728,0)</f>
        <v>0</v>
      </c>
      <c r="O728" s="3" t="s">
        <v>68</v>
      </c>
    </row>
    <row r="729" customFormat="false" ht="15" hidden="false" customHeight="false" outlineLevel="0" collapsed="false">
      <c r="A729" s="0" t="s">
        <v>1601</v>
      </c>
      <c r="B729" s="2" t="n">
        <v>45851</v>
      </c>
      <c r="C729" s="0" t="str">
        <f aca="false">TEXT(B729,"mmm")</f>
        <v>Jul</v>
      </c>
      <c r="D729" s="0" t="str">
        <f aca="false">TEXT(B729,"ddd")</f>
        <v>Sun</v>
      </c>
      <c r="E729" s="3" t="s">
        <v>40</v>
      </c>
      <c r="F729" s="3" t="s">
        <v>31</v>
      </c>
      <c r="G729" s="3" t="s">
        <v>15</v>
      </c>
      <c r="H729" s="3" t="s">
        <v>22</v>
      </c>
      <c r="I729" s="4" t="n">
        <v>487</v>
      </c>
      <c r="J729" s="4" t="n">
        <v>0</v>
      </c>
      <c r="K729" s="4" t="n">
        <v>20</v>
      </c>
      <c r="L729" s="4" t="n">
        <f aca="false">IF(O729="Delivered",I729-J729+K729,0)</f>
        <v>507</v>
      </c>
      <c r="M729" s="0" t="n">
        <v>43</v>
      </c>
      <c r="N729" s="0" t="n">
        <v>4.5</v>
      </c>
      <c r="O729" s="3" t="s">
        <v>17</v>
      </c>
    </row>
    <row r="730" customFormat="false" ht="15" hidden="false" customHeight="false" outlineLevel="0" collapsed="false">
      <c r="A730" s="0" t="s">
        <v>199</v>
      </c>
      <c r="B730" s="2" t="n">
        <v>45852</v>
      </c>
      <c r="C730" s="0" t="str">
        <f aca="false">TEXT(B730,"mmm")</f>
        <v>Jul</v>
      </c>
      <c r="D730" s="0" t="str">
        <f aca="false">TEXT(B730,"ddd")</f>
        <v>Mon</v>
      </c>
      <c r="E730" s="3" t="s">
        <v>13</v>
      </c>
      <c r="F730" s="3" t="s">
        <v>25</v>
      </c>
      <c r="G730" s="3" t="s">
        <v>15</v>
      </c>
      <c r="H730" s="3" t="s">
        <v>22</v>
      </c>
      <c r="I730" s="4" t="n">
        <v>390</v>
      </c>
      <c r="J730" s="4" t="n">
        <v>59</v>
      </c>
      <c r="K730" s="4" t="n">
        <v>30</v>
      </c>
      <c r="L730" s="4" t="n">
        <f aca="false">IF(O730="Delivered",I730-J730+K730,0)</f>
        <v>361</v>
      </c>
      <c r="M730" s="0" t="n">
        <v>31</v>
      </c>
      <c r="N730" s="0" t="n">
        <v>4.8</v>
      </c>
      <c r="O730" s="3" t="s">
        <v>17</v>
      </c>
    </row>
    <row r="731" customFormat="false" ht="15" hidden="false" customHeight="false" outlineLevel="0" collapsed="false">
      <c r="A731" s="0" t="s">
        <v>1371</v>
      </c>
      <c r="B731" s="2" t="n">
        <v>45852</v>
      </c>
      <c r="C731" s="0" t="str">
        <f aca="false">TEXT(B731,"mmm")</f>
        <v>Jul</v>
      </c>
      <c r="D731" s="0" t="str">
        <f aca="false">TEXT(B731,"ddd")</f>
        <v>Mon</v>
      </c>
      <c r="E731" s="3" t="s">
        <v>24</v>
      </c>
      <c r="F731" s="3" t="s">
        <v>31</v>
      </c>
      <c r="G731" s="3" t="s">
        <v>21</v>
      </c>
      <c r="H731" s="3" t="s">
        <v>22</v>
      </c>
      <c r="I731" s="4" t="n">
        <v>470</v>
      </c>
      <c r="J731" s="4" t="n">
        <v>0</v>
      </c>
      <c r="K731" s="4" t="n">
        <v>40</v>
      </c>
      <c r="L731" s="4" t="n">
        <f aca="false">IF(O731="Delivered",I731-J731+K731,0)</f>
        <v>510</v>
      </c>
      <c r="M731" s="0" t="n">
        <v>30</v>
      </c>
      <c r="N731" s="0" t="n">
        <v>4.8</v>
      </c>
      <c r="O731" s="3" t="s">
        <v>17</v>
      </c>
    </row>
    <row r="732" customFormat="false" ht="15" hidden="false" customHeight="false" outlineLevel="0" collapsed="false">
      <c r="A732" s="0" t="s">
        <v>1662</v>
      </c>
      <c r="B732" s="2" t="n">
        <v>45852</v>
      </c>
      <c r="C732" s="0" t="str">
        <f aca="false">TEXT(B732,"mmm")</f>
        <v>Jul</v>
      </c>
      <c r="D732" s="0" t="str">
        <f aca="false">TEXT(B732,"ddd")</f>
        <v>Mon</v>
      </c>
      <c r="E732" s="3" t="s">
        <v>13</v>
      </c>
      <c r="F732" s="3" t="s">
        <v>14</v>
      </c>
      <c r="G732" s="3" t="s">
        <v>15</v>
      </c>
      <c r="H732" s="3" t="s">
        <v>16</v>
      </c>
      <c r="I732" s="4" t="n">
        <v>271</v>
      </c>
      <c r="J732" s="4" t="n">
        <v>0</v>
      </c>
      <c r="K732" s="4" t="n">
        <v>20</v>
      </c>
      <c r="L732" s="4" t="n">
        <f aca="false">IF(O732="Delivered",I732-J732+K732,0)</f>
        <v>291</v>
      </c>
      <c r="M732" s="0" t="n">
        <v>18</v>
      </c>
      <c r="N732" s="0" t="n">
        <v>4.9</v>
      </c>
      <c r="O732" s="3" t="s">
        <v>17</v>
      </c>
    </row>
    <row r="733" customFormat="false" ht="15" hidden="false" customHeight="false" outlineLevel="0" collapsed="false">
      <c r="A733" s="0" t="s">
        <v>293</v>
      </c>
      <c r="B733" s="2" t="n">
        <v>45853</v>
      </c>
      <c r="C733" s="0" t="str">
        <f aca="false">TEXT(B733,"mmm")</f>
        <v>Jul</v>
      </c>
      <c r="D733" s="0" t="str">
        <f aca="false">TEXT(B733,"ddd")</f>
        <v>Tue</v>
      </c>
      <c r="E733" s="3" t="s">
        <v>24</v>
      </c>
      <c r="F733" s="3" t="s">
        <v>14</v>
      </c>
      <c r="G733" s="3" t="s">
        <v>21</v>
      </c>
      <c r="H733" s="3" t="s">
        <v>22</v>
      </c>
      <c r="I733" s="4" t="n">
        <v>272</v>
      </c>
      <c r="J733" s="4" t="n">
        <v>41</v>
      </c>
      <c r="K733" s="4" t="n">
        <v>40</v>
      </c>
      <c r="L733" s="4" t="n">
        <f aca="false">IF(O733="Delivered",I733-J733+K733,0)</f>
        <v>271</v>
      </c>
      <c r="M733" s="0" t="n">
        <v>24</v>
      </c>
      <c r="O733" s="3" t="s">
        <v>17</v>
      </c>
    </row>
    <row r="734" customFormat="false" ht="15" hidden="false" customHeight="false" outlineLevel="0" collapsed="false">
      <c r="A734" s="0" t="s">
        <v>671</v>
      </c>
      <c r="B734" s="2" t="n">
        <v>45853</v>
      </c>
      <c r="C734" s="0" t="str">
        <f aca="false">TEXT(B734,"mmm")</f>
        <v>Jul</v>
      </c>
      <c r="D734" s="0" t="str">
        <f aca="false">TEXT(B734,"ddd")</f>
        <v>Tue</v>
      </c>
      <c r="E734" s="3" t="s">
        <v>27</v>
      </c>
      <c r="F734" s="3" t="s">
        <v>49</v>
      </c>
      <c r="G734" s="3" t="s">
        <v>21</v>
      </c>
      <c r="H734" s="3" t="s">
        <v>22</v>
      </c>
      <c r="I734" s="4" t="n">
        <v>674</v>
      </c>
      <c r="J734" s="4" t="n">
        <v>120</v>
      </c>
      <c r="K734" s="4" t="n">
        <v>0</v>
      </c>
      <c r="L734" s="4" t="n">
        <f aca="false">IF(O734="Delivered",I734-J734+K734,0)</f>
        <v>554</v>
      </c>
      <c r="M734" s="0" t="n">
        <v>36</v>
      </c>
      <c r="N734" s="0" t="n">
        <v>4.8</v>
      </c>
      <c r="O734" s="3" t="s">
        <v>17</v>
      </c>
    </row>
    <row r="735" customFormat="false" ht="15" hidden="false" customHeight="false" outlineLevel="0" collapsed="false">
      <c r="A735" s="0" t="s">
        <v>743</v>
      </c>
      <c r="B735" s="2" t="n">
        <v>45853</v>
      </c>
      <c r="C735" s="0" t="str">
        <f aca="false">TEXT(B735,"mmm")</f>
        <v>Jul</v>
      </c>
      <c r="D735" s="0" t="str">
        <f aca="false">TEXT(B735,"ddd")</f>
        <v>Tue</v>
      </c>
      <c r="E735" s="3" t="s">
        <v>40</v>
      </c>
      <c r="F735" s="3" t="s">
        <v>25</v>
      </c>
      <c r="G735" s="3" t="s">
        <v>15</v>
      </c>
      <c r="H735" s="3" t="s">
        <v>22</v>
      </c>
      <c r="I735" s="4" t="n">
        <v>517</v>
      </c>
      <c r="J735" s="4" t="n">
        <v>99</v>
      </c>
      <c r="K735" s="4" t="n">
        <v>0</v>
      </c>
      <c r="L735" s="4" t="n">
        <f aca="false">IF(O735="Delivered",I735-J735+K735,0)</f>
        <v>418</v>
      </c>
      <c r="M735" s="0" t="n">
        <v>38</v>
      </c>
      <c r="N735" s="0" t="n">
        <v>4.5</v>
      </c>
      <c r="O735" s="3" t="s">
        <v>17</v>
      </c>
    </row>
    <row r="736" customFormat="false" ht="15" hidden="false" customHeight="false" outlineLevel="0" collapsed="false">
      <c r="A736" s="0" t="s">
        <v>877</v>
      </c>
      <c r="B736" s="2" t="n">
        <v>45853</v>
      </c>
      <c r="C736" s="0" t="str">
        <f aca="false">TEXT(B736,"mmm")</f>
        <v>Jul</v>
      </c>
      <c r="D736" s="0" t="str">
        <f aca="false">TEXT(B736,"ddd")</f>
        <v>Tue</v>
      </c>
      <c r="E736" s="3" t="s">
        <v>40</v>
      </c>
      <c r="F736" s="3" t="s">
        <v>28</v>
      </c>
      <c r="G736" s="3" t="s">
        <v>21</v>
      </c>
      <c r="H736" s="3" t="s">
        <v>22</v>
      </c>
      <c r="I736" s="4" t="n">
        <v>380</v>
      </c>
      <c r="J736" s="4" t="n">
        <v>0</v>
      </c>
      <c r="K736" s="4" t="n">
        <v>30</v>
      </c>
      <c r="L736" s="4" t="n">
        <f aca="false">IF(O736="Delivered",I736-J736+K736,0)</f>
        <v>410</v>
      </c>
      <c r="M736" s="0" t="n">
        <v>42</v>
      </c>
      <c r="N736" s="0" t="n">
        <v>3.8</v>
      </c>
      <c r="O736" s="3" t="s">
        <v>17</v>
      </c>
    </row>
    <row r="737" customFormat="false" ht="15" hidden="false" customHeight="false" outlineLevel="0" collapsed="false">
      <c r="A737" s="0" t="s">
        <v>1232</v>
      </c>
      <c r="B737" s="2" t="n">
        <v>45853</v>
      </c>
      <c r="C737" s="0" t="str">
        <f aca="false">TEXT(B737,"mmm")</f>
        <v>Jul</v>
      </c>
      <c r="D737" s="0" t="str">
        <f aca="false">TEXT(B737,"ddd")</f>
        <v>Tue</v>
      </c>
      <c r="E737" s="3" t="s">
        <v>45</v>
      </c>
      <c r="F737" s="3" t="s">
        <v>20</v>
      </c>
      <c r="G737" s="3" t="s">
        <v>21</v>
      </c>
      <c r="H737" s="3" t="s">
        <v>54</v>
      </c>
      <c r="I737" s="4" t="n">
        <v>545</v>
      </c>
      <c r="J737" s="4" t="n">
        <v>0</v>
      </c>
      <c r="K737" s="4" t="n">
        <v>0</v>
      </c>
      <c r="L737" s="4" t="n">
        <f aca="false">IF(O737="Delivered",I737-J737+K737,0)</f>
        <v>545</v>
      </c>
      <c r="M737" s="0" t="n">
        <v>27</v>
      </c>
      <c r="N737" s="0" t="n">
        <v>3.5</v>
      </c>
      <c r="O737" s="3" t="s">
        <v>17</v>
      </c>
    </row>
    <row r="738" customFormat="false" ht="15" hidden="false" customHeight="false" outlineLevel="0" collapsed="false">
      <c r="A738" s="0" t="s">
        <v>200</v>
      </c>
      <c r="B738" s="2" t="n">
        <v>45854</v>
      </c>
      <c r="C738" s="0" t="str">
        <f aca="false">TEXT(B738,"mmm")</f>
        <v>Jul</v>
      </c>
      <c r="D738" s="0" t="str">
        <f aca="false">TEXT(B738,"ddd")</f>
        <v>Wed</v>
      </c>
      <c r="E738" s="3" t="s">
        <v>40</v>
      </c>
      <c r="F738" s="3" t="s">
        <v>31</v>
      </c>
      <c r="G738" s="3" t="s">
        <v>15</v>
      </c>
      <c r="H738" s="3" t="s">
        <v>22</v>
      </c>
      <c r="I738" s="4" t="n">
        <v>508</v>
      </c>
      <c r="J738" s="4" t="n">
        <v>85</v>
      </c>
      <c r="K738" s="4" t="n">
        <v>0</v>
      </c>
      <c r="L738" s="4" t="n">
        <f aca="false">IF(O738="Delivered",I738-J738+K738,0)</f>
        <v>423</v>
      </c>
      <c r="M738" s="0" t="n">
        <v>52</v>
      </c>
      <c r="N738" s="0" t="n">
        <v>4</v>
      </c>
      <c r="O738" s="3" t="s">
        <v>17</v>
      </c>
    </row>
    <row r="739" customFormat="false" ht="15" hidden="false" customHeight="false" outlineLevel="0" collapsed="false">
      <c r="A739" s="0" t="s">
        <v>446</v>
      </c>
      <c r="B739" s="2" t="n">
        <v>45854</v>
      </c>
      <c r="C739" s="0" t="str">
        <f aca="false">TEXT(B739,"mmm")</f>
        <v>Jul</v>
      </c>
      <c r="D739" s="0" t="str">
        <f aca="false">TEXT(B739,"ddd")</f>
        <v>Wed</v>
      </c>
      <c r="E739" s="3" t="s">
        <v>24</v>
      </c>
      <c r="F739" s="3" t="s">
        <v>28</v>
      </c>
      <c r="G739" s="3" t="s">
        <v>15</v>
      </c>
      <c r="H739" s="3" t="s">
        <v>16</v>
      </c>
      <c r="I739" s="4" t="n">
        <v>505</v>
      </c>
      <c r="J739" s="4" t="n">
        <v>0</v>
      </c>
      <c r="K739" s="4" t="n">
        <v>0</v>
      </c>
      <c r="L739" s="4" t="n">
        <f aca="false">IF(O739="Delivered",I739-J739+K739,0)</f>
        <v>505</v>
      </c>
      <c r="M739" s="0" t="n">
        <v>33</v>
      </c>
      <c r="N739" s="0" t="n">
        <v>5</v>
      </c>
      <c r="O739" s="3" t="s">
        <v>17</v>
      </c>
    </row>
    <row r="740" customFormat="false" ht="15" hidden="false" customHeight="false" outlineLevel="0" collapsed="false">
      <c r="A740" s="0" t="s">
        <v>1107</v>
      </c>
      <c r="B740" s="2" t="n">
        <v>45854</v>
      </c>
      <c r="C740" s="0" t="str">
        <f aca="false">TEXT(B740,"mmm")</f>
        <v>Jul</v>
      </c>
      <c r="D740" s="0" t="str">
        <f aca="false">TEXT(B740,"ddd")</f>
        <v>Wed</v>
      </c>
      <c r="E740" s="3" t="s">
        <v>24</v>
      </c>
      <c r="F740" s="3" t="s">
        <v>31</v>
      </c>
      <c r="G740" s="3" t="s">
        <v>15</v>
      </c>
      <c r="H740" s="3" t="s">
        <v>22</v>
      </c>
      <c r="I740" s="4" t="n">
        <v>340</v>
      </c>
      <c r="J740" s="4" t="n">
        <v>0</v>
      </c>
      <c r="K740" s="4" t="n">
        <v>20</v>
      </c>
      <c r="L740" s="4" t="n">
        <f aca="false">IF(O740="Delivered",I740-J740+K740,0)</f>
        <v>360</v>
      </c>
      <c r="M740" s="0" t="n">
        <v>32</v>
      </c>
      <c r="N740" s="0" t="n">
        <v>5</v>
      </c>
      <c r="O740" s="3" t="s">
        <v>17</v>
      </c>
    </row>
    <row r="741" customFormat="false" ht="15" hidden="false" customHeight="false" outlineLevel="0" collapsed="false">
      <c r="A741" s="0" t="s">
        <v>1307</v>
      </c>
      <c r="B741" s="2" t="n">
        <v>45854</v>
      </c>
      <c r="C741" s="0" t="str">
        <f aca="false">TEXT(B741,"mmm")</f>
        <v>Jul</v>
      </c>
      <c r="D741" s="0" t="str">
        <f aca="false">TEXT(B741,"ddd")</f>
        <v>Wed</v>
      </c>
      <c r="E741" s="3" t="s">
        <v>13</v>
      </c>
      <c r="F741" s="3" t="s">
        <v>56</v>
      </c>
      <c r="G741" s="3" t="s">
        <v>21</v>
      </c>
      <c r="H741" s="3" t="s">
        <v>36</v>
      </c>
      <c r="I741" s="4" t="n">
        <v>285</v>
      </c>
      <c r="J741" s="4" t="n">
        <v>33</v>
      </c>
      <c r="K741" s="4" t="n">
        <v>20</v>
      </c>
      <c r="L741" s="4" t="n">
        <f aca="false">IF(O741="Delivered",I741-J741+K741,0)</f>
        <v>272</v>
      </c>
      <c r="M741" s="0" t="n">
        <v>33</v>
      </c>
      <c r="N741" s="0" t="n">
        <v>4.2</v>
      </c>
      <c r="O741" s="3" t="s">
        <v>17</v>
      </c>
    </row>
    <row r="742" customFormat="false" ht="15" hidden="false" customHeight="false" outlineLevel="0" collapsed="false">
      <c r="A742" s="0" t="s">
        <v>181</v>
      </c>
      <c r="B742" s="2" t="n">
        <v>45855</v>
      </c>
      <c r="C742" s="0" t="str">
        <f aca="false">TEXT(B742,"mmm")</f>
        <v>Jul</v>
      </c>
      <c r="D742" s="0" t="str">
        <f aca="false">TEXT(B742,"ddd")</f>
        <v>Thu</v>
      </c>
      <c r="E742" s="3" t="s">
        <v>13</v>
      </c>
      <c r="F742" s="3" t="s">
        <v>31</v>
      </c>
      <c r="G742" s="3" t="s">
        <v>21</v>
      </c>
      <c r="H742" s="3" t="s">
        <v>22</v>
      </c>
      <c r="I742" s="4" t="n">
        <v>492</v>
      </c>
      <c r="J742" s="4" t="n">
        <v>0</v>
      </c>
      <c r="K742" s="4" t="n">
        <v>20</v>
      </c>
      <c r="L742" s="4" t="n">
        <f aca="false">IF(O742="Delivered",I742-J742+K742,0)</f>
        <v>512</v>
      </c>
      <c r="M742" s="0" t="n">
        <v>35</v>
      </c>
      <c r="N742" s="0" t="n">
        <v>4.4</v>
      </c>
      <c r="O742" s="3" t="s">
        <v>17</v>
      </c>
    </row>
    <row r="743" customFormat="false" ht="15" hidden="false" customHeight="false" outlineLevel="0" collapsed="false">
      <c r="A743" s="0" t="s">
        <v>617</v>
      </c>
      <c r="B743" s="2" t="n">
        <v>45855</v>
      </c>
      <c r="C743" s="0" t="str">
        <f aca="false">TEXT(B743,"mmm")</f>
        <v>Jul</v>
      </c>
      <c r="D743" s="0" t="str">
        <f aca="false">TEXT(B743,"ddd")</f>
        <v>Thu</v>
      </c>
      <c r="E743" s="3" t="s">
        <v>40</v>
      </c>
      <c r="F743" s="3" t="s">
        <v>28</v>
      </c>
      <c r="G743" s="3" t="s">
        <v>21</v>
      </c>
      <c r="H743" s="3" t="s">
        <v>34</v>
      </c>
      <c r="I743" s="4" t="n">
        <v>515</v>
      </c>
      <c r="J743" s="4" t="n">
        <v>0</v>
      </c>
      <c r="K743" s="4" t="n">
        <v>0</v>
      </c>
      <c r="L743" s="4" t="n">
        <f aca="false">IF(O743="Delivered",I743-J743+K743,0)</f>
        <v>515</v>
      </c>
      <c r="M743" s="0" t="n">
        <v>45</v>
      </c>
      <c r="N743" s="0" t="n">
        <v>4.6</v>
      </c>
      <c r="O743" s="3" t="s">
        <v>17</v>
      </c>
    </row>
    <row r="744" customFormat="false" ht="15" hidden="false" customHeight="false" outlineLevel="0" collapsed="false">
      <c r="A744" s="0" t="s">
        <v>674</v>
      </c>
      <c r="B744" s="2" t="n">
        <v>45855</v>
      </c>
      <c r="C744" s="0" t="str">
        <f aca="false">TEXT(B744,"mmm")</f>
        <v>Jul</v>
      </c>
      <c r="D744" s="0" t="str">
        <f aca="false">TEXT(B744,"ddd")</f>
        <v>Thu</v>
      </c>
      <c r="E744" s="3" t="s">
        <v>40</v>
      </c>
      <c r="F744" s="3" t="s">
        <v>56</v>
      </c>
      <c r="G744" s="3" t="s">
        <v>15</v>
      </c>
      <c r="H744" s="3" t="s">
        <v>22</v>
      </c>
      <c r="I744" s="4" t="n">
        <v>415</v>
      </c>
      <c r="J744" s="4" t="n">
        <v>94</v>
      </c>
      <c r="K744" s="4" t="n">
        <v>30</v>
      </c>
      <c r="L744" s="4" t="n">
        <f aca="false">IF(O744="Delivered",I744-J744+K744,0)</f>
        <v>351</v>
      </c>
      <c r="M744" s="0" t="n">
        <v>50</v>
      </c>
      <c r="N744" s="0" t="n">
        <v>3.8</v>
      </c>
      <c r="O744" s="3" t="s">
        <v>17</v>
      </c>
    </row>
    <row r="745" customFormat="false" ht="15" hidden="false" customHeight="false" outlineLevel="0" collapsed="false">
      <c r="A745" s="0" t="s">
        <v>1438</v>
      </c>
      <c r="B745" s="2" t="n">
        <v>45855</v>
      </c>
      <c r="C745" s="0" t="str">
        <f aca="false">TEXT(B745,"mmm")</f>
        <v>Jul</v>
      </c>
      <c r="D745" s="0" t="str">
        <f aca="false">TEXT(B745,"ddd")</f>
        <v>Thu</v>
      </c>
      <c r="E745" s="3" t="s">
        <v>19</v>
      </c>
      <c r="F745" s="3" t="s">
        <v>28</v>
      </c>
      <c r="G745" s="3" t="s">
        <v>21</v>
      </c>
      <c r="H745" s="3" t="s">
        <v>22</v>
      </c>
      <c r="I745" s="4" t="n">
        <v>484</v>
      </c>
      <c r="J745" s="4" t="n">
        <v>0</v>
      </c>
      <c r="K745" s="4" t="n">
        <v>40</v>
      </c>
      <c r="L745" s="4" t="n">
        <f aca="false">IF(O745="Delivered",I745-J745+K745,0)</f>
        <v>524</v>
      </c>
      <c r="M745" s="0" t="n">
        <v>27</v>
      </c>
      <c r="N745" s="0" t="n">
        <v>5</v>
      </c>
      <c r="O745" s="3" t="s">
        <v>17</v>
      </c>
    </row>
    <row r="746" customFormat="false" ht="15" hidden="false" customHeight="false" outlineLevel="0" collapsed="false">
      <c r="A746" s="0" t="s">
        <v>802</v>
      </c>
      <c r="B746" s="2" t="n">
        <v>45856</v>
      </c>
      <c r="C746" s="0" t="str">
        <f aca="false">TEXT(B746,"mmm")</f>
        <v>Jul</v>
      </c>
      <c r="D746" s="0" t="str">
        <f aca="false">TEXT(B746,"ddd")</f>
        <v>Fri</v>
      </c>
      <c r="E746" s="3" t="s">
        <v>30</v>
      </c>
      <c r="F746" s="3" t="s">
        <v>20</v>
      </c>
      <c r="G746" s="3" t="s">
        <v>15</v>
      </c>
      <c r="H746" s="3" t="s">
        <v>54</v>
      </c>
      <c r="I746" s="4" t="n">
        <v>766</v>
      </c>
      <c r="J746" s="4" t="n">
        <v>0</v>
      </c>
      <c r="K746" s="4" t="n">
        <v>0</v>
      </c>
      <c r="L746" s="4" t="n">
        <f aca="false">IF(O746="Delivered",I746-J746+K746,0)</f>
        <v>766</v>
      </c>
      <c r="M746" s="0" t="n">
        <v>22</v>
      </c>
      <c r="N746" s="0" t="n">
        <v>3.9</v>
      </c>
      <c r="O746" s="3" t="s">
        <v>17</v>
      </c>
    </row>
    <row r="747" customFormat="false" ht="15" hidden="false" customHeight="false" outlineLevel="0" collapsed="false">
      <c r="A747" s="0" t="s">
        <v>1049</v>
      </c>
      <c r="B747" s="2" t="n">
        <v>45856</v>
      </c>
      <c r="C747" s="0" t="str">
        <f aca="false">TEXT(B747,"mmm")</f>
        <v>Jul</v>
      </c>
      <c r="D747" s="0" t="str">
        <f aca="false">TEXT(B747,"ddd")</f>
        <v>Fri</v>
      </c>
      <c r="E747" s="3" t="s">
        <v>27</v>
      </c>
      <c r="F747" s="3" t="s">
        <v>14</v>
      </c>
      <c r="G747" s="3" t="s">
        <v>21</v>
      </c>
      <c r="H747" s="3" t="s">
        <v>36</v>
      </c>
      <c r="I747" s="4" t="n">
        <v>254</v>
      </c>
      <c r="J747" s="4" t="n">
        <v>0</v>
      </c>
      <c r="K747" s="4" t="n">
        <v>40</v>
      </c>
      <c r="L747" s="4" t="n">
        <f aca="false">IF(O747="Delivered",I747-J747+K747,0)</f>
        <v>294</v>
      </c>
      <c r="M747" s="0" t="n">
        <v>43</v>
      </c>
      <c r="N747" s="0" t="n">
        <v>4.1</v>
      </c>
      <c r="O747" s="3" t="s">
        <v>17</v>
      </c>
    </row>
    <row r="748" customFormat="false" ht="15" hidden="false" customHeight="false" outlineLevel="0" collapsed="false">
      <c r="A748" s="0" t="s">
        <v>1490</v>
      </c>
      <c r="B748" s="2" t="n">
        <v>45856</v>
      </c>
      <c r="C748" s="0" t="str">
        <f aca="false">TEXT(B748,"mmm")</f>
        <v>Jul</v>
      </c>
      <c r="D748" s="0" t="str">
        <f aca="false">TEXT(B748,"ddd")</f>
        <v>Fri</v>
      </c>
      <c r="E748" s="3" t="s">
        <v>24</v>
      </c>
      <c r="F748" s="3" t="s">
        <v>14</v>
      </c>
      <c r="G748" s="3" t="s">
        <v>21</v>
      </c>
      <c r="H748" s="3" t="s">
        <v>22</v>
      </c>
      <c r="I748" s="4" t="n">
        <v>396</v>
      </c>
      <c r="J748" s="4" t="n">
        <v>0</v>
      </c>
      <c r="K748" s="4" t="n">
        <v>45</v>
      </c>
      <c r="L748" s="4" t="n">
        <f aca="false">IF(O748="Delivered",I748-J748+K748,0)</f>
        <v>441</v>
      </c>
      <c r="M748" s="0" t="n">
        <v>30</v>
      </c>
      <c r="N748" s="0" t="n">
        <v>4.8</v>
      </c>
      <c r="O748" s="3" t="s">
        <v>17</v>
      </c>
    </row>
    <row r="749" customFormat="false" ht="15" hidden="false" customHeight="false" outlineLevel="0" collapsed="false">
      <c r="A749" s="0" t="s">
        <v>1504</v>
      </c>
      <c r="B749" s="2" t="n">
        <v>45856</v>
      </c>
      <c r="C749" s="0" t="str">
        <f aca="false">TEXT(B749,"mmm")</f>
        <v>Jul</v>
      </c>
      <c r="D749" s="0" t="str">
        <f aca="false">TEXT(B749,"ddd")</f>
        <v>Fri</v>
      </c>
      <c r="E749" s="3" t="s">
        <v>27</v>
      </c>
      <c r="F749" s="3" t="s">
        <v>49</v>
      </c>
      <c r="G749" s="3" t="s">
        <v>15</v>
      </c>
      <c r="H749" s="3" t="s">
        <v>54</v>
      </c>
      <c r="I749" s="4" t="n">
        <v>351</v>
      </c>
      <c r="J749" s="4" t="n">
        <v>0</v>
      </c>
      <c r="K749" s="4" t="n">
        <v>30</v>
      </c>
      <c r="L749" s="4" t="n">
        <f aca="false">IF(O749="Delivered",I749-J749+K749,0)</f>
        <v>381</v>
      </c>
      <c r="M749" s="0" t="n">
        <v>37</v>
      </c>
      <c r="N749" s="0" t="n">
        <v>5</v>
      </c>
      <c r="O749" s="3" t="s">
        <v>17</v>
      </c>
    </row>
    <row r="750" customFormat="false" ht="15" hidden="false" customHeight="false" outlineLevel="0" collapsed="false">
      <c r="A750" s="0" t="s">
        <v>1657</v>
      </c>
      <c r="B750" s="2" t="n">
        <v>45856</v>
      </c>
      <c r="C750" s="0" t="str">
        <f aca="false">TEXT(B750,"mmm")</f>
        <v>Jul</v>
      </c>
      <c r="D750" s="0" t="str">
        <f aca="false">TEXT(B750,"ddd")</f>
        <v>Fri</v>
      </c>
      <c r="E750" s="3" t="s">
        <v>51</v>
      </c>
      <c r="F750" s="3" t="s">
        <v>31</v>
      </c>
      <c r="G750" s="3" t="s">
        <v>21</v>
      </c>
      <c r="H750" s="3" t="s">
        <v>16</v>
      </c>
      <c r="I750" s="4" t="n">
        <v>630</v>
      </c>
      <c r="J750" s="4" t="n">
        <v>0</v>
      </c>
      <c r="K750" s="4" t="n">
        <v>0</v>
      </c>
      <c r="L750" s="4" t="n">
        <f aca="false">IF(O750="Delivered",I750-J750+K750,0)</f>
        <v>630</v>
      </c>
      <c r="M750" s="0" t="n">
        <v>30</v>
      </c>
      <c r="N750" s="0" t="n">
        <v>4.7</v>
      </c>
      <c r="O750" s="3" t="s">
        <v>17</v>
      </c>
    </row>
    <row r="751" customFormat="false" ht="15" hidden="false" customHeight="false" outlineLevel="0" collapsed="false">
      <c r="A751" s="0" t="s">
        <v>141</v>
      </c>
      <c r="B751" s="2" t="n">
        <v>45857</v>
      </c>
      <c r="C751" s="0" t="str">
        <f aca="false">TEXT(B751,"mmm")</f>
        <v>Jul</v>
      </c>
      <c r="D751" s="0" t="str">
        <f aca="false">TEXT(B751,"ddd")</f>
        <v>Sat</v>
      </c>
      <c r="E751" s="3" t="s">
        <v>40</v>
      </c>
      <c r="F751" s="3" t="s">
        <v>49</v>
      </c>
      <c r="G751" s="3" t="s">
        <v>21</v>
      </c>
      <c r="H751" s="3" t="s">
        <v>36</v>
      </c>
      <c r="I751" s="4" t="n">
        <v>394</v>
      </c>
      <c r="J751" s="4" t="n">
        <v>0</v>
      </c>
      <c r="K751" s="4" t="n">
        <v>20</v>
      </c>
      <c r="L751" s="4" t="n">
        <f aca="false">IF(O751="Delivered",I751-J751+K751,0)</f>
        <v>414</v>
      </c>
      <c r="M751" s="0" t="n">
        <v>39</v>
      </c>
      <c r="N751" s="0" t="n">
        <v>4.2</v>
      </c>
      <c r="O751" s="3" t="s">
        <v>17</v>
      </c>
    </row>
    <row r="752" customFormat="false" ht="15" hidden="false" customHeight="false" outlineLevel="0" collapsed="false">
      <c r="A752" s="0" t="s">
        <v>270</v>
      </c>
      <c r="B752" s="2" t="n">
        <v>45857</v>
      </c>
      <c r="C752" s="0" t="str">
        <f aca="false">TEXT(B752,"mmm")</f>
        <v>Jul</v>
      </c>
      <c r="D752" s="0" t="str">
        <f aca="false">TEXT(B752,"ddd")</f>
        <v>Sat</v>
      </c>
      <c r="E752" s="3" t="s">
        <v>24</v>
      </c>
      <c r="F752" s="3" t="s">
        <v>49</v>
      </c>
      <c r="G752" s="3" t="s">
        <v>15</v>
      </c>
      <c r="H752" s="3" t="s">
        <v>16</v>
      </c>
      <c r="I752" s="4" t="n">
        <v>478</v>
      </c>
      <c r="J752" s="4" t="n">
        <v>0</v>
      </c>
      <c r="K752" s="4" t="n">
        <v>20</v>
      </c>
      <c r="L752" s="4" t="n">
        <f aca="false">IF(O752="Delivered",I752-J752+K752,0)</f>
        <v>498</v>
      </c>
      <c r="M752" s="0" t="n">
        <v>39</v>
      </c>
      <c r="N752" s="0" t="n">
        <v>4.3</v>
      </c>
      <c r="O752" s="3" t="s">
        <v>17</v>
      </c>
    </row>
    <row r="753" customFormat="false" ht="15" hidden="false" customHeight="false" outlineLevel="0" collapsed="false">
      <c r="A753" s="0" t="s">
        <v>699</v>
      </c>
      <c r="B753" s="2" t="n">
        <v>45857</v>
      </c>
      <c r="C753" s="0" t="str">
        <f aca="false">TEXT(B753,"mmm")</f>
        <v>Jul</v>
      </c>
      <c r="D753" s="0" t="str">
        <f aca="false">TEXT(B753,"ddd")</f>
        <v>Sat</v>
      </c>
      <c r="E753" s="3" t="s">
        <v>24</v>
      </c>
      <c r="F753" s="3" t="s">
        <v>28</v>
      </c>
      <c r="G753" s="3" t="s">
        <v>15</v>
      </c>
      <c r="H753" s="3" t="s">
        <v>36</v>
      </c>
      <c r="I753" s="4" t="n">
        <v>406</v>
      </c>
      <c r="J753" s="4" t="n">
        <v>48</v>
      </c>
      <c r="K753" s="4" t="n">
        <v>30</v>
      </c>
      <c r="L753" s="4" t="n">
        <f aca="false">IF(O753="Delivered",I753-J753+K753,0)</f>
        <v>388</v>
      </c>
      <c r="M753" s="0" t="n">
        <v>38</v>
      </c>
      <c r="N753" s="0" t="n">
        <v>4.4</v>
      </c>
      <c r="O753" s="3" t="s">
        <v>17</v>
      </c>
    </row>
    <row r="754" customFormat="false" ht="15" hidden="false" customHeight="false" outlineLevel="0" collapsed="false">
      <c r="A754" s="0" t="s">
        <v>1283</v>
      </c>
      <c r="B754" s="2" t="n">
        <v>45857</v>
      </c>
      <c r="C754" s="0" t="str">
        <f aca="false">TEXT(B754,"mmm")</f>
        <v>Jul</v>
      </c>
      <c r="D754" s="0" t="str">
        <f aca="false">TEXT(B754,"ddd")</f>
        <v>Sat</v>
      </c>
      <c r="E754" s="3" t="s">
        <v>27</v>
      </c>
      <c r="F754" s="3" t="s">
        <v>56</v>
      </c>
      <c r="G754" s="3" t="s">
        <v>21</v>
      </c>
      <c r="H754" s="3" t="s">
        <v>22</v>
      </c>
      <c r="I754" s="4" t="n">
        <v>438</v>
      </c>
      <c r="J754" s="4" t="n">
        <v>49</v>
      </c>
      <c r="K754" s="4" t="n">
        <v>40</v>
      </c>
      <c r="L754" s="4" t="n">
        <f aca="false">IF(O754="Delivered",I754-J754+K754,0)</f>
        <v>429</v>
      </c>
      <c r="M754" s="0" t="n">
        <v>53</v>
      </c>
      <c r="N754" s="0" t="n">
        <v>4.2</v>
      </c>
      <c r="O754" s="3" t="s">
        <v>17</v>
      </c>
    </row>
    <row r="755" customFormat="false" ht="15" hidden="false" customHeight="false" outlineLevel="0" collapsed="false">
      <c r="A755" s="0" t="s">
        <v>1437</v>
      </c>
      <c r="B755" s="2" t="n">
        <v>45857</v>
      </c>
      <c r="C755" s="0" t="str">
        <f aca="false">TEXT(B755,"mmm")</f>
        <v>Jul</v>
      </c>
      <c r="D755" s="0" t="str">
        <f aca="false">TEXT(B755,"ddd")</f>
        <v>Sat</v>
      </c>
      <c r="E755" s="3" t="s">
        <v>45</v>
      </c>
      <c r="F755" s="3" t="s">
        <v>14</v>
      </c>
      <c r="G755" s="3" t="s">
        <v>21</v>
      </c>
      <c r="H755" s="3" t="s">
        <v>54</v>
      </c>
      <c r="I755" s="4" t="n">
        <v>353</v>
      </c>
      <c r="J755" s="4" t="n">
        <v>41</v>
      </c>
      <c r="K755" s="4" t="n">
        <v>30</v>
      </c>
      <c r="L755" s="4" t="n">
        <f aca="false">IF(O755="Delivered",I755-J755+K755,0)</f>
        <v>342</v>
      </c>
      <c r="M755" s="0" t="n">
        <v>40</v>
      </c>
      <c r="N755" s="0" t="n">
        <v>4.3</v>
      </c>
      <c r="O755" s="3" t="s">
        <v>17</v>
      </c>
    </row>
    <row r="756" customFormat="false" ht="15" hidden="false" customHeight="false" outlineLevel="0" collapsed="false">
      <c r="A756" s="0" t="s">
        <v>351</v>
      </c>
      <c r="B756" s="2" t="n">
        <v>45858</v>
      </c>
      <c r="C756" s="0" t="str">
        <f aca="false">TEXT(B756,"mmm")</f>
        <v>Jul</v>
      </c>
      <c r="D756" s="0" t="str">
        <f aca="false">TEXT(B756,"ddd")</f>
        <v>Sun</v>
      </c>
      <c r="E756" s="3" t="s">
        <v>27</v>
      </c>
      <c r="F756" s="3" t="s">
        <v>20</v>
      </c>
      <c r="G756" s="3" t="s">
        <v>15</v>
      </c>
      <c r="H756" s="3" t="s">
        <v>34</v>
      </c>
      <c r="I756" s="4" t="n">
        <v>829</v>
      </c>
      <c r="J756" s="4" t="n">
        <v>173</v>
      </c>
      <c r="K756" s="4" t="n">
        <v>0</v>
      </c>
      <c r="L756" s="4" t="n">
        <f aca="false">IF(O756="Delivered",I756-J756+K756,0)</f>
        <v>656</v>
      </c>
      <c r="M756" s="0" t="n">
        <v>46</v>
      </c>
      <c r="N756" s="0" t="n">
        <v>4.1</v>
      </c>
      <c r="O756" s="3" t="s">
        <v>17</v>
      </c>
    </row>
    <row r="757" customFormat="false" ht="15" hidden="false" customHeight="false" outlineLevel="0" collapsed="false">
      <c r="A757" s="0" t="s">
        <v>532</v>
      </c>
      <c r="B757" s="2" t="n">
        <v>45858</v>
      </c>
      <c r="C757" s="0" t="str">
        <f aca="false">TEXT(B757,"mmm")</f>
        <v>Jul</v>
      </c>
      <c r="D757" s="0" t="str">
        <f aca="false">TEXT(B757,"ddd")</f>
        <v>Sun</v>
      </c>
      <c r="E757" s="3" t="s">
        <v>27</v>
      </c>
      <c r="F757" s="3" t="s">
        <v>25</v>
      </c>
      <c r="G757" s="3" t="s">
        <v>21</v>
      </c>
      <c r="H757" s="3" t="s">
        <v>22</v>
      </c>
      <c r="I757" s="4" t="n">
        <v>634</v>
      </c>
      <c r="J757" s="4" t="n">
        <v>0</v>
      </c>
      <c r="K757" s="4" t="n">
        <v>0</v>
      </c>
      <c r="L757" s="4" t="n">
        <f aca="false">IF(O757="Delivered",I757-J757+K757,0)</f>
        <v>634</v>
      </c>
      <c r="M757" s="0" t="n">
        <v>38</v>
      </c>
      <c r="N757" s="0" t="n">
        <v>4.7</v>
      </c>
      <c r="O757" s="3" t="s">
        <v>17</v>
      </c>
    </row>
    <row r="758" customFormat="false" ht="15" hidden="false" customHeight="false" outlineLevel="0" collapsed="false">
      <c r="A758" s="0" t="s">
        <v>612</v>
      </c>
      <c r="B758" s="2" t="n">
        <v>45858</v>
      </c>
      <c r="C758" s="0" t="str">
        <f aca="false">TEXT(B758,"mmm")</f>
        <v>Jul</v>
      </c>
      <c r="D758" s="0" t="str">
        <f aca="false">TEXT(B758,"ddd")</f>
        <v>Sun</v>
      </c>
      <c r="E758" s="3" t="s">
        <v>13</v>
      </c>
      <c r="F758" s="3" t="s">
        <v>20</v>
      </c>
      <c r="G758" s="3" t="s">
        <v>15</v>
      </c>
      <c r="H758" s="3" t="s">
        <v>54</v>
      </c>
      <c r="I758" s="4" t="n">
        <v>522</v>
      </c>
      <c r="J758" s="4" t="n">
        <v>97</v>
      </c>
      <c r="K758" s="4" t="n">
        <v>0</v>
      </c>
      <c r="L758" s="4" t="n">
        <f aca="false">IF(O758="Delivered",I758-J758+K758,0)</f>
        <v>425</v>
      </c>
      <c r="M758" s="0" t="n">
        <v>36</v>
      </c>
      <c r="N758" s="0" t="n">
        <v>3.8</v>
      </c>
      <c r="O758" s="3" t="s">
        <v>17</v>
      </c>
    </row>
    <row r="759" customFormat="false" ht="15" hidden="false" customHeight="false" outlineLevel="0" collapsed="false">
      <c r="A759" s="0" t="s">
        <v>692</v>
      </c>
      <c r="B759" s="2" t="n">
        <v>45858</v>
      </c>
      <c r="C759" s="0" t="str">
        <f aca="false">TEXT(B759,"mmm")</f>
        <v>Jul</v>
      </c>
      <c r="D759" s="0" t="str">
        <f aca="false">TEXT(B759,"ddd")</f>
        <v>Sun</v>
      </c>
      <c r="E759" s="3" t="s">
        <v>27</v>
      </c>
      <c r="F759" s="3" t="s">
        <v>56</v>
      </c>
      <c r="G759" s="3" t="s">
        <v>15</v>
      </c>
      <c r="H759" s="3" t="s">
        <v>34</v>
      </c>
      <c r="I759" s="4" t="n">
        <v>334</v>
      </c>
      <c r="J759" s="4" t="n">
        <v>48</v>
      </c>
      <c r="K759" s="4" t="n">
        <v>40</v>
      </c>
      <c r="L759" s="4" t="n">
        <f aca="false">IF(O759="Delivered",I759-J759+K759,0)</f>
        <v>326</v>
      </c>
      <c r="M759" s="0" t="n">
        <v>15</v>
      </c>
      <c r="N759" s="0" t="n">
        <v>5</v>
      </c>
      <c r="O759" s="3" t="s">
        <v>17</v>
      </c>
    </row>
    <row r="760" customFormat="false" ht="15" hidden="false" customHeight="false" outlineLevel="0" collapsed="false">
      <c r="A760" s="0" t="s">
        <v>1335</v>
      </c>
      <c r="B760" s="2" t="n">
        <v>45858</v>
      </c>
      <c r="C760" s="0" t="str">
        <f aca="false">TEXT(B760,"mmm")</f>
        <v>Jul</v>
      </c>
      <c r="D760" s="0" t="str">
        <f aca="false">TEXT(B760,"ddd")</f>
        <v>Sun</v>
      </c>
      <c r="E760" s="3" t="s">
        <v>27</v>
      </c>
      <c r="F760" s="3" t="s">
        <v>28</v>
      </c>
      <c r="G760" s="3" t="s">
        <v>21</v>
      </c>
      <c r="H760" s="3" t="s">
        <v>22</v>
      </c>
      <c r="I760" s="4" t="n">
        <v>363</v>
      </c>
      <c r="J760" s="4" t="n">
        <v>49</v>
      </c>
      <c r="K760" s="4" t="n">
        <v>45</v>
      </c>
      <c r="L760" s="4" t="n">
        <f aca="false">IF(O760="Delivered",I760-J760+K760,0)</f>
        <v>359</v>
      </c>
      <c r="M760" s="0" t="n">
        <v>35</v>
      </c>
      <c r="N760" s="0" t="n">
        <v>4.2</v>
      </c>
      <c r="O760" s="3" t="s">
        <v>17</v>
      </c>
    </row>
    <row r="761" customFormat="false" ht="15" hidden="false" customHeight="false" outlineLevel="0" collapsed="false">
      <c r="A761" s="0" t="s">
        <v>278</v>
      </c>
      <c r="B761" s="2" t="n">
        <v>45859</v>
      </c>
      <c r="C761" s="0" t="str">
        <f aca="false">TEXT(B761,"mmm")</f>
        <v>Jul</v>
      </c>
      <c r="D761" s="0" t="str">
        <f aca="false">TEXT(B761,"ddd")</f>
        <v>Mon</v>
      </c>
      <c r="E761" s="3" t="s">
        <v>24</v>
      </c>
      <c r="F761" s="3" t="s">
        <v>31</v>
      </c>
      <c r="G761" s="3" t="s">
        <v>15</v>
      </c>
      <c r="H761" s="3" t="s">
        <v>36</v>
      </c>
      <c r="I761" s="4" t="n">
        <v>469</v>
      </c>
      <c r="J761" s="4" t="n">
        <v>47</v>
      </c>
      <c r="K761" s="4" t="n">
        <v>45</v>
      </c>
      <c r="L761" s="4" t="n">
        <f aca="false">IF(O761="Delivered",I761-J761+K761,0)</f>
        <v>467</v>
      </c>
      <c r="M761" s="0" t="n">
        <v>30</v>
      </c>
      <c r="N761" s="0" t="n">
        <v>3.8</v>
      </c>
      <c r="O761" s="3" t="s">
        <v>17</v>
      </c>
    </row>
    <row r="762" customFormat="false" ht="15" hidden="false" customHeight="false" outlineLevel="0" collapsed="false">
      <c r="A762" s="0" t="s">
        <v>943</v>
      </c>
      <c r="B762" s="2" t="n">
        <v>45859</v>
      </c>
      <c r="C762" s="0" t="str">
        <f aca="false">TEXT(B762,"mmm")</f>
        <v>Jul</v>
      </c>
      <c r="D762" s="0" t="str">
        <f aca="false">TEXT(B762,"ddd")</f>
        <v>Mon</v>
      </c>
      <c r="E762" s="3" t="s">
        <v>27</v>
      </c>
      <c r="F762" s="3" t="s">
        <v>49</v>
      </c>
      <c r="G762" s="3" t="s">
        <v>15</v>
      </c>
      <c r="H762" s="3" t="s">
        <v>16</v>
      </c>
      <c r="I762" s="4" t="n">
        <v>581</v>
      </c>
      <c r="J762" s="4" t="n">
        <v>0</v>
      </c>
      <c r="K762" s="4" t="n">
        <v>0</v>
      </c>
      <c r="L762" s="4" t="n">
        <f aca="false">IF(O762="Delivered",I762-J762+K762,0)</f>
        <v>581</v>
      </c>
      <c r="M762" s="0" t="n">
        <v>35</v>
      </c>
      <c r="N762" s="0" t="n">
        <v>4.8</v>
      </c>
      <c r="O762" s="3" t="s">
        <v>17</v>
      </c>
    </row>
    <row r="763" customFormat="false" ht="15" hidden="false" customHeight="false" outlineLevel="0" collapsed="false">
      <c r="A763" s="0" t="s">
        <v>571</v>
      </c>
      <c r="B763" s="2" t="n">
        <v>45860</v>
      </c>
      <c r="C763" s="0" t="str">
        <f aca="false">TEXT(B763,"mmm")</f>
        <v>Jul</v>
      </c>
      <c r="D763" s="0" t="str">
        <f aca="false">TEXT(B763,"ddd")</f>
        <v>Tue</v>
      </c>
      <c r="E763" s="3" t="s">
        <v>27</v>
      </c>
      <c r="F763" s="3" t="s">
        <v>78</v>
      </c>
      <c r="G763" s="3" t="s">
        <v>21</v>
      </c>
      <c r="H763" s="3" t="s">
        <v>36</v>
      </c>
      <c r="I763" s="4" t="n">
        <v>299</v>
      </c>
      <c r="J763" s="4" t="n">
        <v>0</v>
      </c>
      <c r="K763" s="4" t="n">
        <v>30</v>
      </c>
      <c r="L763" s="4" t="n">
        <f aca="false">IF(O763="Delivered",I763-J763+K763,0)</f>
        <v>329</v>
      </c>
      <c r="M763" s="0" t="n">
        <v>44</v>
      </c>
      <c r="N763" s="0" t="n">
        <v>4</v>
      </c>
      <c r="O763" s="3" t="s">
        <v>17</v>
      </c>
    </row>
    <row r="764" customFormat="false" ht="15" hidden="false" customHeight="false" outlineLevel="0" collapsed="false">
      <c r="A764" s="0" t="s">
        <v>876</v>
      </c>
      <c r="B764" s="2" t="n">
        <v>45860</v>
      </c>
      <c r="C764" s="0" t="str">
        <f aca="false">TEXT(B764,"mmm")</f>
        <v>Jul</v>
      </c>
      <c r="D764" s="0" t="str">
        <f aca="false">TEXT(B764,"ddd")</f>
        <v>Tue</v>
      </c>
      <c r="E764" s="3" t="s">
        <v>24</v>
      </c>
      <c r="F764" s="3" t="s">
        <v>31</v>
      </c>
      <c r="G764" s="3" t="s">
        <v>21</v>
      </c>
      <c r="H764" s="3" t="s">
        <v>22</v>
      </c>
      <c r="I764" s="4" t="n">
        <v>474</v>
      </c>
      <c r="J764" s="4" t="n">
        <v>0</v>
      </c>
      <c r="K764" s="4" t="n">
        <v>20</v>
      </c>
      <c r="L764" s="4" t="n">
        <f aca="false">IF(O764="Delivered",I764-J764+K764,0)</f>
        <v>0</v>
      </c>
      <c r="O764" s="3" t="s">
        <v>68</v>
      </c>
    </row>
    <row r="765" customFormat="false" ht="15" hidden="false" customHeight="false" outlineLevel="0" collapsed="false">
      <c r="A765" s="0" t="s">
        <v>1184</v>
      </c>
      <c r="B765" s="2" t="n">
        <v>45860</v>
      </c>
      <c r="C765" s="0" t="str">
        <f aca="false">TEXT(B765,"mmm")</f>
        <v>Jul</v>
      </c>
      <c r="D765" s="0" t="str">
        <f aca="false">TEXT(B765,"ddd")</f>
        <v>Tue</v>
      </c>
      <c r="E765" s="3" t="s">
        <v>13</v>
      </c>
      <c r="F765" s="3" t="s">
        <v>20</v>
      </c>
      <c r="G765" s="3" t="s">
        <v>21</v>
      </c>
      <c r="H765" s="3" t="s">
        <v>22</v>
      </c>
      <c r="I765" s="4" t="n">
        <v>831</v>
      </c>
      <c r="J765" s="4" t="n">
        <v>202</v>
      </c>
      <c r="K765" s="4" t="n">
        <v>0</v>
      </c>
      <c r="L765" s="4" t="n">
        <f aca="false">IF(O765="Delivered",I765-J765+K765,0)</f>
        <v>629</v>
      </c>
      <c r="M765" s="0" t="n">
        <v>24</v>
      </c>
      <c r="N765" s="0" t="n">
        <v>4.5</v>
      </c>
      <c r="O765" s="3" t="s">
        <v>17</v>
      </c>
    </row>
    <row r="766" customFormat="false" ht="15" hidden="false" customHeight="false" outlineLevel="0" collapsed="false">
      <c r="A766" s="0" t="s">
        <v>1659</v>
      </c>
      <c r="B766" s="2" t="n">
        <v>45860</v>
      </c>
      <c r="C766" s="0" t="str">
        <f aca="false">TEXT(B766,"mmm")</f>
        <v>Jul</v>
      </c>
      <c r="D766" s="0" t="str">
        <f aca="false">TEXT(B766,"ddd")</f>
        <v>Tue</v>
      </c>
      <c r="E766" s="3" t="s">
        <v>30</v>
      </c>
      <c r="F766" s="3" t="s">
        <v>20</v>
      </c>
      <c r="G766" s="3" t="s">
        <v>15</v>
      </c>
      <c r="H766" s="3" t="s">
        <v>16</v>
      </c>
      <c r="I766" s="4" t="n">
        <v>795</v>
      </c>
      <c r="J766" s="4" t="n">
        <v>94</v>
      </c>
      <c r="K766" s="4" t="n">
        <v>0</v>
      </c>
      <c r="L766" s="4" t="n">
        <f aca="false">IF(O766="Delivered",I766-J766+K766,0)</f>
        <v>701</v>
      </c>
      <c r="M766" s="0" t="n">
        <v>30</v>
      </c>
      <c r="N766" s="0" t="n">
        <v>3.9</v>
      </c>
      <c r="O766" s="3" t="s">
        <v>17</v>
      </c>
    </row>
    <row r="767" customFormat="false" ht="15" hidden="false" customHeight="false" outlineLevel="0" collapsed="false">
      <c r="A767" s="0" t="s">
        <v>382</v>
      </c>
      <c r="B767" s="2" t="n">
        <v>45862</v>
      </c>
      <c r="C767" s="0" t="str">
        <f aca="false">TEXT(B767,"mmm")</f>
        <v>Jul</v>
      </c>
      <c r="D767" s="0" t="str">
        <f aca="false">TEXT(B767,"ddd")</f>
        <v>Thu</v>
      </c>
      <c r="E767" s="3" t="s">
        <v>13</v>
      </c>
      <c r="F767" s="3" t="s">
        <v>78</v>
      </c>
      <c r="G767" s="3" t="s">
        <v>21</v>
      </c>
      <c r="H767" s="3" t="s">
        <v>22</v>
      </c>
      <c r="I767" s="4" t="n">
        <v>458</v>
      </c>
      <c r="J767" s="4" t="n">
        <v>0</v>
      </c>
      <c r="K767" s="4" t="n">
        <v>40</v>
      </c>
      <c r="L767" s="4" t="n">
        <f aca="false">IF(O767="Delivered",I767-J767+K767,0)</f>
        <v>498</v>
      </c>
      <c r="M767" s="0" t="n">
        <v>26</v>
      </c>
      <c r="N767" s="0" t="n">
        <v>4.5</v>
      </c>
      <c r="O767" s="3" t="s">
        <v>17</v>
      </c>
    </row>
    <row r="768" customFormat="false" ht="15" hidden="false" customHeight="false" outlineLevel="0" collapsed="false">
      <c r="A768" s="0" t="s">
        <v>608</v>
      </c>
      <c r="B768" s="2" t="n">
        <v>45862</v>
      </c>
      <c r="C768" s="0" t="str">
        <f aca="false">TEXT(B768,"mmm")</f>
        <v>Jul</v>
      </c>
      <c r="D768" s="0" t="str">
        <f aca="false">TEXT(B768,"ddd")</f>
        <v>Thu</v>
      </c>
      <c r="E768" s="3" t="s">
        <v>27</v>
      </c>
      <c r="F768" s="3" t="s">
        <v>14</v>
      </c>
      <c r="G768" s="3" t="s">
        <v>21</v>
      </c>
      <c r="H768" s="3" t="s">
        <v>34</v>
      </c>
      <c r="I768" s="4" t="n">
        <v>185</v>
      </c>
      <c r="J768" s="4" t="n">
        <v>0</v>
      </c>
      <c r="K768" s="4" t="n">
        <v>40</v>
      </c>
      <c r="L768" s="4" t="n">
        <f aca="false">IF(O768="Delivered",I768-J768+K768,0)</f>
        <v>225</v>
      </c>
      <c r="M768" s="0" t="n">
        <v>41</v>
      </c>
      <c r="N768" s="0" t="n">
        <v>3.8</v>
      </c>
      <c r="O768" s="3" t="s">
        <v>17</v>
      </c>
    </row>
    <row r="769" customFormat="false" ht="15" hidden="false" customHeight="false" outlineLevel="0" collapsed="false">
      <c r="A769" s="0" t="s">
        <v>770</v>
      </c>
      <c r="B769" s="2" t="n">
        <v>45862</v>
      </c>
      <c r="C769" s="0" t="str">
        <f aca="false">TEXT(B769,"mmm")</f>
        <v>Jul</v>
      </c>
      <c r="D769" s="0" t="str">
        <f aca="false">TEXT(B769,"ddd")</f>
        <v>Thu</v>
      </c>
      <c r="E769" s="3" t="s">
        <v>19</v>
      </c>
      <c r="F769" s="3" t="s">
        <v>56</v>
      </c>
      <c r="G769" s="3" t="s">
        <v>21</v>
      </c>
      <c r="H769" s="3" t="s">
        <v>22</v>
      </c>
      <c r="I769" s="4" t="n">
        <v>430</v>
      </c>
      <c r="J769" s="4" t="n">
        <v>0</v>
      </c>
      <c r="K769" s="4" t="n">
        <v>20</v>
      </c>
      <c r="L769" s="4" t="n">
        <f aca="false">IF(O769="Delivered",I769-J769+K769,0)</f>
        <v>450</v>
      </c>
      <c r="M769" s="0" t="n">
        <v>35</v>
      </c>
      <c r="N769" s="0" t="n">
        <v>3.8</v>
      </c>
      <c r="O769" s="3" t="s">
        <v>17</v>
      </c>
    </row>
    <row r="770" customFormat="false" ht="15" hidden="false" customHeight="false" outlineLevel="0" collapsed="false">
      <c r="A770" s="0" t="s">
        <v>849</v>
      </c>
      <c r="B770" s="2" t="n">
        <v>45862</v>
      </c>
      <c r="C770" s="0" t="str">
        <f aca="false">TEXT(B770,"mmm")</f>
        <v>Jul</v>
      </c>
      <c r="D770" s="0" t="str">
        <f aca="false">TEXT(B770,"ddd")</f>
        <v>Thu</v>
      </c>
      <c r="E770" s="3" t="s">
        <v>24</v>
      </c>
      <c r="F770" s="3" t="s">
        <v>20</v>
      </c>
      <c r="G770" s="3" t="s">
        <v>15</v>
      </c>
      <c r="H770" s="3" t="s">
        <v>22</v>
      </c>
      <c r="I770" s="4" t="n">
        <v>592</v>
      </c>
      <c r="J770" s="4" t="n">
        <v>128</v>
      </c>
      <c r="K770" s="4" t="n">
        <v>0</v>
      </c>
      <c r="L770" s="4" t="n">
        <f aca="false">IF(O770="Delivered",I770-J770+K770,0)</f>
        <v>464</v>
      </c>
      <c r="M770" s="0" t="n">
        <v>45</v>
      </c>
      <c r="N770" s="0" t="n">
        <v>4.5</v>
      </c>
      <c r="O770" s="3" t="s">
        <v>17</v>
      </c>
    </row>
    <row r="771" customFormat="false" ht="15" hidden="false" customHeight="false" outlineLevel="0" collapsed="false">
      <c r="A771" s="0" t="s">
        <v>978</v>
      </c>
      <c r="B771" s="2" t="n">
        <v>45862</v>
      </c>
      <c r="C771" s="0" t="str">
        <f aca="false">TEXT(B771,"mmm")</f>
        <v>Jul</v>
      </c>
      <c r="D771" s="0" t="str">
        <f aca="false">TEXT(B771,"ddd")</f>
        <v>Thu</v>
      </c>
      <c r="E771" s="3" t="s">
        <v>40</v>
      </c>
      <c r="F771" s="3" t="s">
        <v>25</v>
      </c>
      <c r="G771" s="3" t="s">
        <v>15</v>
      </c>
      <c r="H771" s="3" t="s">
        <v>54</v>
      </c>
      <c r="I771" s="4" t="n">
        <v>321</v>
      </c>
      <c r="J771" s="4" t="n">
        <v>62</v>
      </c>
      <c r="K771" s="4" t="n">
        <v>20</v>
      </c>
      <c r="L771" s="4" t="n">
        <f aca="false">IF(O771="Delivered",I771-J771+K771,0)</f>
        <v>0</v>
      </c>
      <c r="O771" s="3" t="s">
        <v>68</v>
      </c>
    </row>
    <row r="772" customFormat="false" ht="15" hidden="false" customHeight="false" outlineLevel="0" collapsed="false">
      <c r="A772" s="0" t="s">
        <v>236</v>
      </c>
      <c r="B772" s="2" t="n">
        <v>45863</v>
      </c>
      <c r="C772" s="0" t="str">
        <f aca="false">TEXT(B772,"mmm")</f>
        <v>Jul</v>
      </c>
      <c r="D772" s="0" t="str">
        <f aca="false">TEXT(B772,"ddd")</f>
        <v>Fri</v>
      </c>
      <c r="E772" s="3" t="s">
        <v>27</v>
      </c>
      <c r="F772" s="3" t="s">
        <v>28</v>
      </c>
      <c r="G772" s="3" t="s">
        <v>15</v>
      </c>
      <c r="H772" s="3" t="s">
        <v>16</v>
      </c>
      <c r="I772" s="4" t="n">
        <v>260</v>
      </c>
      <c r="J772" s="4" t="n">
        <v>30</v>
      </c>
      <c r="K772" s="4" t="n">
        <v>20</v>
      </c>
      <c r="L772" s="4" t="n">
        <f aca="false">IF(O772="Delivered",I772-J772+K772,0)</f>
        <v>250</v>
      </c>
      <c r="M772" s="0" t="n">
        <v>37</v>
      </c>
      <c r="N772" s="0" t="n">
        <v>4.1</v>
      </c>
      <c r="O772" s="3" t="s">
        <v>17</v>
      </c>
    </row>
    <row r="773" customFormat="false" ht="15" hidden="false" customHeight="false" outlineLevel="0" collapsed="false">
      <c r="A773" s="0" t="s">
        <v>859</v>
      </c>
      <c r="B773" s="2" t="n">
        <v>45863</v>
      </c>
      <c r="C773" s="0" t="str">
        <f aca="false">TEXT(B773,"mmm")</f>
        <v>Jul</v>
      </c>
      <c r="D773" s="0" t="str">
        <f aca="false">TEXT(B773,"ddd")</f>
        <v>Fri</v>
      </c>
      <c r="E773" s="3" t="s">
        <v>13</v>
      </c>
      <c r="F773" s="3" t="s">
        <v>28</v>
      </c>
      <c r="G773" s="3" t="s">
        <v>15</v>
      </c>
      <c r="H773" s="3" t="s">
        <v>34</v>
      </c>
      <c r="I773" s="4" t="n">
        <v>313</v>
      </c>
      <c r="J773" s="4" t="n">
        <v>0</v>
      </c>
      <c r="K773" s="4" t="n">
        <v>20</v>
      </c>
      <c r="L773" s="4" t="n">
        <f aca="false">IF(O773="Delivered",I773-J773+K773,0)</f>
        <v>333</v>
      </c>
      <c r="M773" s="0" t="n">
        <v>34</v>
      </c>
      <c r="N773" s="0" t="n">
        <v>4</v>
      </c>
      <c r="O773" s="3" t="s">
        <v>17</v>
      </c>
    </row>
    <row r="774" customFormat="false" ht="15" hidden="false" customHeight="false" outlineLevel="0" collapsed="false">
      <c r="A774" s="0" t="s">
        <v>999</v>
      </c>
      <c r="B774" s="2" t="n">
        <v>45863</v>
      </c>
      <c r="C774" s="0" t="str">
        <f aca="false">TEXT(B774,"mmm")</f>
        <v>Jul</v>
      </c>
      <c r="D774" s="0" t="str">
        <f aca="false">TEXT(B774,"ddd")</f>
        <v>Fri</v>
      </c>
      <c r="E774" s="3" t="s">
        <v>40</v>
      </c>
      <c r="F774" s="3" t="s">
        <v>31</v>
      </c>
      <c r="G774" s="3" t="s">
        <v>21</v>
      </c>
      <c r="H774" s="3" t="s">
        <v>22</v>
      </c>
      <c r="I774" s="4" t="n">
        <v>552</v>
      </c>
      <c r="J774" s="4" t="n">
        <v>0</v>
      </c>
      <c r="K774" s="4" t="n">
        <v>0</v>
      </c>
      <c r="L774" s="4" t="n">
        <f aca="false">IF(O774="Delivered",I774-J774+K774,0)</f>
        <v>552</v>
      </c>
      <c r="M774" s="0" t="n">
        <v>33</v>
      </c>
      <c r="N774" s="0" t="n">
        <v>4.4</v>
      </c>
      <c r="O774" s="3" t="s">
        <v>17</v>
      </c>
    </row>
    <row r="775" customFormat="false" ht="15" hidden="false" customHeight="false" outlineLevel="0" collapsed="false">
      <c r="A775" s="0" t="s">
        <v>1106</v>
      </c>
      <c r="B775" s="2" t="n">
        <v>45863</v>
      </c>
      <c r="C775" s="0" t="str">
        <f aca="false">TEXT(B775,"mmm")</f>
        <v>Jul</v>
      </c>
      <c r="D775" s="0" t="str">
        <f aca="false">TEXT(B775,"ddd")</f>
        <v>Fri</v>
      </c>
      <c r="E775" s="3" t="s">
        <v>40</v>
      </c>
      <c r="F775" s="3" t="s">
        <v>49</v>
      </c>
      <c r="G775" s="3" t="s">
        <v>21</v>
      </c>
      <c r="H775" s="3" t="s">
        <v>16</v>
      </c>
      <c r="I775" s="4" t="n">
        <v>509</v>
      </c>
      <c r="J775" s="4" t="n">
        <v>0</v>
      </c>
      <c r="K775" s="4" t="n">
        <v>0</v>
      </c>
      <c r="L775" s="4" t="n">
        <f aca="false">IF(O775="Delivered",I775-J775+K775,0)</f>
        <v>509</v>
      </c>
      <c r="M775" s="0" t="n">
        <v>43</v>
      </c>
      <c r="N775" s="0" t="n">
        <v>3.9</v>
      </c>
      <c r="O775" s="3" t="s">
        <v>17</v>
      </c>
    </row>
    <row r="776" customFormat="false" ht="15" hidden="false" customHeight="false" outlineLevel="0" collapsed="false">
      <c r="A776" s="0" t="s">
        <v>1289</v>
      </c>
      <c r="B776" s="2" t="n">
        <v>45863</v>
      </c>
      <c r="C776" s="0" t="str">
        <f aca="false">TEXT(B776,"mmm")</f>
        <v>Jul</v>
      </c>
      <c r="D776" s="0" t="str">
        <f aca="false">TEXT(B776,"ddd")</f>
        <v>Fri</v>
      </c>
      <c r="E776" s="3" t="s">
        <v>27</v>
      </c>
      <c r="F776" s="3" t="s">
        <v>20</v>
      </c>
      <c r="G776" s="3" t="s">
        <v>15</v>
      </c>
      <c r="H776" s="3" t="s">
        <v>34</v>
      </c>
      <c r="I776" s="4" t="n">
        <v>500</v>
      </c>
      <c r="J776" s="4" t="n">
        <v>0</v>
      </c>
      <c r="K776" s="4" t="n">
        <v>0</v>
      </c>
      <c r="L776" s="4" t="n">
        <f aca="false">IF(O776="Delivered",I776-J776+K776,0)</f>
        <v>500</v>
      </c>
      <c r="M776" s="0" t="n">
        <v>33</v>
      </c>
      <c r="N776" s="0" t="n">
        <v>4.2</v>
      </c>
      <c r="O776" s="3" t="s">
        <v>17</v>
      </c>
    </row>
    <row r="777" customFormat="false" ht="15" hidden="false" customHeight="false" outlineLevel="0" collapsed="false">
      <c r="A777" s="0" t="s">
        <v>1618</v>
      </c>
      <c r="B777" s="2" t="n">
        <v>45863</v>
      </c>
      <c r="C777" s="0" t="str">
        <f aca="false">TEXT(B777,"mmm")</f>
        <v>Jul</v>
      </c>
      <c r="D777" s="0" t="str">
        <f aca="false">TEXT(B777,"ddd")</f>
        <v>Fri</v>
      </c>
      <c r="E777" s="3" t="s">
        <v>40</v>
      </c>
      <c r="F777" s="3" t="s">
        <v>25</v>
      </c>
      <c r="G777" s="3" t="s">
        <v>21</v>
      </c>
      <c r="H777" s="3" t="s">
        <v>22</v>
      </c>
      <c r="I777" s="4" t="n">
        <v>507</v>
      </c>
      <c r="J777" s="4" t="n">
        <v>0</v>
      </c>
      <c r="K777" s="4" t="n">
        <v>0</v>
      </c>
      <c r="L777" s="4" t="n">
        <f aca="false">IF(O777="Delivered",I777-J777+K777,0)</f>
        <v>507</v>
      </c>
      <c r="M777" s="0" t="n">
        <v>47</v>
      </c>
      <c r="N777" s="0" t="n">
        <v>4.6</v>
      </c>
      <c r="O777" s="3" t="s">
        <v>17</v>
      </c>
    </row>
    <row r="778" customFormat="false" ht="15" hidden="false" customHeight="false" outlineLevel="0" collapsed="false">
      <c r="A778" s="0" t="s">
        <v>208</v>
      </c>
      <c r="B778" s="2" t="n">
        <v>45864</v>
      </c>
      <c r="C778" s="0" t="str">
        <f aca="false">TEXT(B778,"mmm")</f>
        <v>Jul</v>
      </c>
      <c r="D778" s="0" t="str">
        <f aca="false">TEXT(B778,"ddd")</f>
        <v>Sat</v>
      </c>
      <c r="E778" s="3" t="s">
        <v>30</v>
      </c>
      <c r="F778" s="3" t="s">
        <v>28</v>
      </c>
      <c r="G778" s="3" t="s">
        <v>15</v>
      </c>
      <c r="H778" s="3" t="s">
        <v>22</v>
      </c>
      <c r="I778" s="4" t="n">
        <v>485</v>
      </c>
      <c r="J778" s="4" t="n">
        <v>0</v>
      </c>
      <c r="K778" s="4" t="n">
        <v>40</v>
      </c>
      <c r="L778" s="4" t="n">
        <f aca="false">IF(O778="Delivered",I778-J778+K778,0)</f>
        <v>525</v>
      </c>
      <c r="M778" s="0" t="n">
        <v>26</v>
      </c>
      <c r="N778" s="0" t="n">
        <v>4.3</v>
      </c>
      <c r="O778" s="3" t="s">
        <v>17</v>
      </c>
    </row>
    <row r="779" customFormat="false" ht="15" hidden="false" customHeight="false" outlineLevel="0" collapsed="false">
      <c r="A779" s="0" t="s">
        <v>249</v>
      </c>
      <c r="B779" s="2" t="n">
        <v>45864</v>
      </c>
      <c r="C779" s="0" t="str">
        <f aca="false">TEXT(B779,"mmm")</f>
        <v>Jul</v>
      </c>
      <c r="D779" s="0" t="str">
        <f aca="false">TEXT(B779,"ddd")</f>
        <v>Sat</v>
      </c>
      <c r="E779" s="3" t="s">
        <v>13</v>
      </c>
      <c r="F779" s="3" t="s">
        <v>56</v>
      </c>
      <c r="G779" s="3" t="s">
        <v>21</v>
      </c>
      <c r="H779" s="3" t="s">
        <v>36</v>
      </c>
      <c r="I779" s="4" t="n">
        <v>424</v>
      </c>
      <c r="J779" s="4" t="n">
        <v>0</v>
      </c>
      <c r="K779" s="4" t="n">
        <v>20</v>
      </c>
      <c r="L779" s="4" t="n">
        <f aca="false">IF(O779="Delivered",I779-J779+K779,0)</f>
        <v>444</v>
      </c>
      <c r="M779" s="0" t="n">
        <v>34</v>
      </c>
      <c r="N779" s="0" t="n">
        <v>4.3</v>
      </c>
      <c r="O779" s="3" t="s">
        <v>17</v>
      </c>
    </row>
    <row r="780" customFormat="false" ht="15" hidden="false" customHeight="false" outlineLevel="0" collapsed="false">
      <c r="A780" s="0" t="s">
        <v>613</v>
      </c>
      <c r="B780" s="2" t="n">
        <v>45864</v>
      </c>
      <c r="C780" s="0" t="str">
        <f aca="false">TEXT(B780,"mmm")</f>
        <v>Jul</v>
      </c>
      <c r="D780" s="0" t="str">
        <f aca="false">TEXT(B780,"ddd")</f>
        <v>Sat</v>
      </c>
      <c r="E780" s="3" t="s">
        <v>40</v>
      </c>
      <c r="F780" s="3" t="s">
        <v>28</v>
      </c>
      <c r="G780" s="3" t="s">
        <v>15</v>
      </c>
      <c r="H780" s="3" t="s">
        <v>36</v>
      </c>
      <c r="I780" s="4" t="n">
        <v>539</v>
      </c>
      <c r="J780" s="4" t="n">
        <v>0</v>
      </c>
      <c r="K780" s="4" t="n">
        <v>0</v>
      </c>
      <c r="L780" s="4" t="n">
        <f aca="false">IF(O780="Delivered",I780-J780+K780,0)</f>
        <v>539</v>
      </c>
      <c r="M780" s="0" t="n">
        <v>37</v>
      </c>
      <c r="N780" s="0" t="n">
        <v>4.4</v>
      </c>
      <c r="O780" s="3" t="s">
        <v>17</v>
      </c>
    </row>
    <row r="781" customFormat="false" ht="15" hidden="false" customHeight="false" outlineLevel="0" collapsed="false">
      <c r="A781" s="0" t="s">
        <v>981</v>
      </c>
      <c r="B781" s="2" t="n">
        <v>45864</v>
      </c>
      <c r="C781" s="0" t="str">
        <f aca="false">TEXT(B781,"mmm")</f>
        <v>Jul</v>
      </c>
      <c r="D781" s="0" t="str">
        <f aca="false">TEXT(B781,"ddd")</f>
        <v>Sat</v>
      </c>
      <c r="E781" s="3" t="s">
        <v>13</v>
      </c>
      <c r="F781" s="3" t="s">
        <v>20</v>
      </c>
      <c r="G781" s="3" t="s">
        <v>21</v>
      </c>
      <c r="H781" s="3" t="s">
        <v>36</v>
      </c>
      <c r="I781" s="4" t="n">
        <v>744</v>
      </c>
      <c r="J781" s="4" t="n">
        <v>0</v>
      </c>
      <c r="K781" s="4" t="n">
        <v>0</v>
      </c>
      <c r="L781" s="4" t="n">
        <f aca="false">IF(O781="Delivered",I781-J781+K781,0)</f>
        <v>744</v>
      </c>
      <c r="M781" s="0" t="n">
        <v>35</v>
      </c>
      <c r="N781" s="0" t="n">
        <v>3.5</v>
      </c>
      <c r="O781" s="3" t="s">
        <v>17</v>
      </c>
    </row>
    <row r="782" customFormat="false" ht="15" hidden="false" customHeight="false" outlineLevel="0" collapsed="false">
      <c r="A782" s="0" t="s">
        <v>1531</v>
      </c>
      <c r="B782" s="2" t="n">
        <v>45864</v>
      </c>
      <c r="C782" s="0" t="str">
        <f aca="false">TEXT(B782,"mmm")</f>
        <v>Jul</v>
      </c>
      <c r="D782" s="0" t="str">
        <f aca="false">TEXT(B782,"ddd")</f>
        <v>Sat</v>
      </c>
      <c r="E782" s="3" t="s">
        <v>13</v>
      </c>
      <c r="F782" s="3" t="s">
        <v>78</v>
      </c>
      <c r="G782" s="3" t="s">
        <v>21</v>
      </c>
      <c r="H782" s="3" t="s">
        <v>36</v>
      </c>
      <c r="I782" s="4" t="n">
        <v>509</v>
      </c>
      <c r="J782" s="4" t="n">
        <v>0</v>
      </c>
      <c r="K782" s="4" t="n">
        <v>0</v>
      </c>
      <c r="L782" s="4" t="n">
        <f aca="false">IF(O782="Delivered",I782-J782+K782,0)</f>
        <v>509</v>
      </c>
      <c r="M782" s="0" t="n">
        <v>39</v>
      </c>
      <c r="N782" s="0" t="n">
        <v>4.9</v>
      </c>
      <c r="O782" s="3" t="s">
        <v>17</v>
      </c>
    </row>
    <row r="783" customFormat="false" ht="15" hidden="false" customHeight="false" outlineLevel="0" collapsed="false">
      <c r="A783" s="0" t="s">
        <v>1658</v>
      </c>
      <c r="B783" s="2" t="n">
        <v>45864</v>
      </c>
      <c r="C783" s="0" t="str">
        <f aca="false">TEXT(B783,"mmm")</f>
        <v>Jul</v>
      </c>
      <c r="D783" s="0" t="str">
        <f aca="false">TEXT(B783,"ddd")</f>
        <v>Sat</v>
      </c>
      <c r="E783" s="3" t="s">
        <v>27</v>
      </c>
      <c r="F783" s="3" t="s">
        <v>56</v>
      </c>
      <c r="G783" s="3" t="s">
        <v>21</v>
      </c>
      <c r="H783" s="3" t="s">
        <v>22</v>
      </c>
      <c r="I783" s="4" t="n">
        <v>301</v>
      </c>
      <c r="J783" s="4" t="n">
        <v>34</v>
      </c>
      <c r="K783" s="4" t="n">
        <v>45</v>
      </c>
      <c r="L783" s="4" t="n">
        <f aca="false">IF(O783="Delivered",I783-J783+K783,0)</f>
        <v>312</v>
      </c>
      <c r="M783" s="0" t="n">
        <v>41</v>
      </c>
      <c r="N783" s="0" t="n">
        <v>4</v>
      </c>
      <c r="O783" s="3" t="s">
        <v>17</v>
      </c>
    </row>
    <row r="784" customFormat="false" ht="15" hidden="false" customHeight="false" outlineLevel="0" collapsed="false">
      <c r="A784" s="0" t="s">
        <v>364</v>
      </c>
      <c r="B784" s="2" t="n">
        <v>45865</v>
      </c>
      <c r="C784" s="0" t="str">
        <f aca="false">TEXT(B784,"mmm")</f>
        <v>Jul</v>
      </c>
      <c r="D784" s="0" t="str">
        <f aca="false">TEXT(B784,"ddd")</f>
        <v>Sun</v>
      </c>
      <c r="E784" s="3" t="s">
        <v>45</v>
      </c>
      <c r="F784" s="3" t="s">
        <v>31</v>
      </c>
      <c r="G784" s="3" t="s">
        <v>15</v>
      </c>
      <c r="H784" s="3" t="s">
        <v>22</v>
      </c>
      <c r="I784" s="4" t="n">
        <v>396</v>
      </c>
      <c r="J784" s="4" t="n">
        <v>87</v>
      </c>
      <c r="K784" s="4" t="n">
        <v>20</v>
      </c>
      <c r="L784" s="4" t="n">
        <f aca="false">IF(O784="Delivered",I784-J784+K784,0)</f>
        <v>329</v>
      </c>
      <c r="M784" s="0" t="n">
        <v>29</v>
      </c>
      <c r="N784" s="0" t="n">
        <v>4</v>
      </c>
      <c r="O784" s="3" t="s">
        <v>17</v>
      </c>
    </row>
    <row r="785" customFormat="false" ht="15" hidden="false" customHeight="false" outlineLevel="0" collapsed="false">
      <c r="A785" s="0" t="s">
        <v>443</v>
      </c>
      <c r="B785" s="2" t="n">
        <v>45865</v>
      </c>
      <c r="C785" s="0" t="str">
        <f aca="false">TEXT(B785,"mmm")</f>
        <v>Jul</v>
      </c>
      <c r="D785" s="0" t="str">
        <f aca="false">TEXT(B785,"ddd")</f>
        <v>Sun</v>
      </c>
      <c r="E785" s="3" t="s">
        <v>19</v>
      </c>
      <c r="F785" s="3" t="s">
        <v>25</v>
      </c>
      <c r="G785" s="3" t="s">
        <v>21</v>
      </c>
      <c r="H785" s="3" t="s">
        <v>16</v>
      </c>
      <c r="I785" s="4" t="n">
        <v>397</v>
      </c>
      <c r="J785" s="4" t="n">
        <v>46</v>
      </c>
      <c r="K785" s="4" t="n">
        <v>20</v>
      </c>
      <c r="L785" s="4" t="n">
        <f aca="false">IF(O785="Delivered",I785-J785+K785,0)</f>
        <v>371</v>
      </c>
      <c r="M785" s="0" t="n">
        <v>35</v>
      </c>
      <c r="N785" s="0" t="n">
        <v>5</v>
      </c>
      <c r="O785" s="3" t="s">
        <v>17</v>
      </c>
    </row>
    <row r="786" customFormat="false" ht="15" hidden="false" customHeight="false" outlineLevel="0" collapsed="false">
      <c r="A786" s="0" t="s">
        <v>1042</v>
      </c>
      <c r="B786" s="2" t="n">
        <v>45865</v>
      </c>
      <c r="C786" s="0" t="str">
        <f aca="false">TEXT(B786,"mmm")</f>
        <v>Jul</v>
      </c>
      <c r="D786" s="0" t="str">
        <f aca="false">TEXT(B786,"ddd")</f>
        <v>Sun</v>
      </c>
      <c r="E786" s="3" t="s">
        <v>27</v>
      </c>
      <c r="F786" s="3" t="s">
        <v>31</v>
      </c>
      <c r="G786" s="3" t="s">
        <v>15</v>
      </c>
      <c r="H786" s="3" t="s">
        <v>54</v>
      </c>
      <c r="I786" s="4" t="n">
        <v>682</v>
      </c>
      <c r="J786" s="4" t="n">
        <v>124</v>
      </c>
      <c r="K786" s="4" t="n">
        <v>0</v>
      </c>
      <c r="L786" s="4" t="n">
        <f aca="false">IF(O786="Delivered",I786-J786+K786,0)</f>
        <v>558</v>
      </c>
      <c r="M786" s="0" t="n">
        <v>31</v>
      </c>
      <c r="N786" s="0" t="n">
        <v>4.1</v>
      </c>
      <c r="O786" s="3" t="s">
        <v>17</v>
      </c>
    </row>
    <row r="787" customFormat="false" ht="15" hidden="false" customHeight="false" outlineLevel="0" collapsed="false">
      <c r="A787" s="0" t="s">
        <v>1380</v>
      </c>
      <c r="B787" s="2" t="n">
        <v>45865</v>
      </c>
      <c r="C787" s="0" t="str">
        <f aca="false">TEXT(B787,"mmm")</f>
        <v>Jul</v>
      </c>
      <c r="D787" s="0" t="str">
        <f aca="false">TEXT(B787,"ddd")</f>
        <v>Sun</v>
      </c>
      <c r="E787" s="3" t="s">
        <v>24</v>
      </c>
      <c r="F787" s="3" t="s">
        <v>31</v>
      </c>
      <c r="G787" s="3" t="s">
        <v>15</v>
      </c>
      <c r="H787" s="3" t="s">
        <v>22</v>
      </c>
      <c r="I787" s="4" t="n">
        <v>508</v>
      </c>
      <c r="J787" s="4" t="n">
        <v>110</v>
      </c>
      <c r="K787" s="4" t="n">
        <v>0</v>
      </c>
      <c r="L787" s="4" t="n">
        <f aca="false">IF(O787="Delivered",I787-J787+K787,0)</f>
        <v>398</v>
      </c>
      <c r="M787" s="0" t="n">
        <v>29</v>
      </c>
      <c r="N787" s="0" t="n">
        <v>4.8</v>
      </c>
      <c r="O787" s="3" t="s">
        <v>17</v>
      </c>
    </row>
    <row r="788" customFormat="false" ht="15" hidden="false" customHeight="false" outlineLevel="0" collapsed="false">
      <c r="A788" s="0" t="s">
        <v>1540</v>
      </c>
      <c r="B788" s="2" t="n">
        <v>45865</v>
      </c>
      <c r="C788" s="0" t="str">
        <f aca="false">TEXT(B788,"mmm")</f>
        <v>Jul</v>
      </c>
      <c r="D788" s="0" t="str">
        <f aca="false">TEXT(B788,"ddd")</f>
        <v>Sun</v>
      </c>
      <c r="E788" s="3" t="s">
        <v>40</v>
      </c>
      <c r="F788" s="3" t="s">
        <v>31</v>
      </c>
      <c r="G788" s="3" t="s">
        <v>15</v>
      </c>
      <c r="H788" s="3" t="s">
        <v>22</v>
      </c>
      <c r="I788" s="4" t="n">
        <v>539</v>
      </c>
      <c r="J788" s="4" t="n">
        <v>118</v>
      </c>
      <c r="K788" s="4" t="n">
        <v>0</v>
      </c>
      <c r="L788" s="4" t="n">
        <f aca="false">IF(O788="Delivered",I788-J788+K788,0)</f>
        <v>421</v>
      </c>
      <c r="M788" s="0" t="n">
        <v>28</v>
      </c>
      <c r="N788" s="0" t="n">
        <v>5</v>
      </c>
      <c r="O788" s="3" t="s">
        <v>17</v>
      </c>
    </row>
    <row r="789" customFormat="false" ht="15" hidden="false" customHeight="false" outlineLevel="0" collapsed="false">
      <c r="A789" s="0" t="s">
        <v>645</v>
      </c>
      <c r="B789" s="2" t="n">
        <v>45866</v>
      </c>
      <c r="C789" s="0" t="str">
        <f aca="false">TEXT(B789,"mmm")</f>
        <v>Jul</v>
      </c>
      <c r="D789" s="0" t="str">
        <f aca="false">TEXT(B789,"ddd")</f>
        <v>Mon</v>
      </c>
      <c r="E789" s="3" t="s">
        <v>51</v>
      </c>
      <c r="F789" s="3" t="s">
        <v>25</v>
      </c>
      <c r="G789" s="3" t="s">
        <v>21</v>
      </c>
      <c r="H789" s="3" t="s">
        <v>22</v>
      </c>
      <c r="I789" s="4" t="n">
        <v>600</v>
      </c>
      <c r="J789" s="4" t="n">
        <v>0</v>
      </c>
      <c r="K789" s="4" t="n">
        <v>0</v>
      </c>
      <c r="L789" s="4" t="n">
        <f aca="false">IF(O789="Delivered",I789-J789+K789,0)</f>
        <v>0</v>
      </c>
      <c r="O789" s="3" t="s">
        <v>68</v>
      </c>
    </row>
    <row r="790" customFormat="false" ht="15" hidden="false" customHeight="false" outlineLevel="0" collapsed="false">
      <c r="A790" s="0" t="s">
        <v>1427</v>
      </c>
      <c r="B790" s="2" t="n">
        <v>45866</v>
      </c>
      <c r="C790" s="0" t="str">
        <f aca="false">TEXT(B790,"mmm")</f>
        <v>Jul</v>
      </c>
      <c r="D790" s="0" t="str">
        <f aca="false">TEXT(B790,"ddd")</f>
        <v>Mon</v>
      </c>
      <c r="E790" s="3" t="s">
        <v>13</v>
      </c>
      <c r="F790" s="3" t="s">
        <v>78</v>
      </c>
      <c r="G790" s="3" t="s">
        <v>15</v>
      </c>
      <c r="H790" s="3" t="s">
        <v>36</v>
      </c>
      <c r="I790" s="4" t="n">
        <v>368</v>
      </c>
      <c r="J790" s="4" t="n">
        <v>84</v>
      </c>
      <c r="K790" s="4" t="n">
        <v>30</v>
      </c>
      <c r="L790" s="4" t="n">
        <f aca="false">IF(O790="Delivered",I790-J790+K790,0)</f>
        <v>314</v>
      </c>
      <c r="M790" s="0" t="n">
        <v>34</v>
      </c>
      <c r="O790" s="3" t="s">
        <v>17</v>
      </c>
    </row>
    <row r="791" customFormat="false" ht="15" hidden="false" customHeight="false" outlineLevel="0" collapsed="false">
      <c r="A791" s="0" t="s">
        <v>316</v>
      </c>
      <c r="B791" s="2" t="n">
        <v>45868</v>
      </c>
      <c r="C791" s="0" t="str">
        <f aca="false">TEXT(B791,"mmm")</f>
        <v>Jul</v>
      </c>
      <c r="D791" s="0" t="str">
        <f aca="false">TEXT(B791,"ddd")</f>
        <v>Wed</v>
      </c>
      <c r="E791" s="3" t="s">
        <v>51</v>
      </c>
      <c r="F791" s="3" t="s">
        <v>25</v>
      </c>
      <c r="G791" s="3" t="s">
        <v>15</v>
      </c>
      <c r="H791" s="3" t="s">
        <v>36</v>
      </c>
      <c r="I791" s="4" t="n">
        <v>478</v>
      </c>
      <c r="J791" s="4" t="n">
        <v>60</v>
      </c>
      <c r="K791" s="4" t="n">
        <v>20</v>
      </c>
      <c r="L791" s="4" t="n">
        <f aca="false">IF(O791="Delivered",I791-J791+K791,0)</f>
        <v>438</v>
      </c>
      <c r="M791" s="0" t="n">
        <v>41</v>
      </c>
      <c r="N791" s="0" t="n">
        <v>4.2</v>
      </c>
      <c r="O791" s="3" t="s">
        <v>17</v>
      </c>
    </row>
    <row r="792" customFormat="false" ht="15" hidden="false" customHeight="false" outlineLevel="0" collapsed="false">
      <c r="A792" s="0" t="s">
        <v>700</v>
      </c>
      <c r="B792" s="2" t="n">
        <v>45868</v>
      </c>
      <c r="C792" s="0" t="str">
        <f aca="false">TEXT(B792,"mmm")</f>
        <v>Jul</v>
      </c>
      <c r="D792" s="0" t="str">
        <f aca="false">TEXT(B792,"ddd")</f>
        <v>Wed</v>
      </c>
      <c r="E792" s="3" t="s">
        <v>24</v>
      </c>
      <c r="F792" s="3" t="s">
        <v>14</v>
      </c>
      <c r="G792" s="3" t="s">
        <v>21</v>
      </c>
      <c r="H792" s="3" t="s">
        <v>34</v>
      </c>
      <c r="I792" s="4" t="n">
        <v>254</v>
      </c>
      <c r="J792" s="4" t="n">
        <v>0</v>
      </c>
      <c r="K792" s="4" t="n">
        <v>45</v>
      </c>
      <c r="L792" s="4" t="n">
        <f aca="false">IF(O792="Delivered",I792-J792+K792,0)</f>
        <v>299</v>
      </c>
      <c r="M792" s="0" t="n">
        <v>41</v>
      </c>
      <c r="N792" s="0" t="n">
        <v>3.7</v>
      </c>
      <c r="O792" s="3" t="s">
        <v>17</v>
      </c>
    </row>
    <row r="793" customFormat="false" ht="15" hidden="false" customHeight="false" outlineLevel="0" collapsed="false">
      <c r="A793" s="0" t="s">
        <v>823</v>
      </c>
      <c r="B793" s="2" t="n">
        <v>45868</v>
      </c>
      <c r="C793" s="0" t="str">
        <f aca="false">TEXT(B793,"mmm")</f>
        <v>Jul</v>
      </c>
      <c r="D793" s="0" t="str">
        <f aca="false">TEXT(B793,"ddd")</f>
        <v>Wed</v>
      </c>
      <c r="E793" s="3" t="s">
        <v>30</v>
      </c>
      <c r="F793" s="3" t="s">
        <v>56</v>
      </c>
      <c r="G793" s="3" t="s">
        <v>21</v>
      </c>
      <c r="H793" s="3" t="s">
        <v>22</v>
      </c>
      <c r="I793" s="4" t="n">
        <v>429</v>
      </c>
      <c r="J793" s="4" t="n">
        <v>84</v>
      </c>
      <c r="K793" s="4" t="n">
        <v>20</v>
      </c>
      <c r="L793" s="4" t="n">
        <f aca="false">IF(O793="Delivered",I793-J793+K793,0)</f>
        <v>365</v>
      </c>
      <c r="M793" s="0" t="n">
        <v>27</v>
      </c>
      <c r="N793" s="0" t="n">
        <v>5</v>
      </c>
      <c r="O793" s="3" t="s">
        <v>17</v>
      </c>
    </row>
    <row r="794" customFormat="false" ht="15" hidden="false" customHeight="false" outlineLevel="0" collapsed="false">
      <c r="A794" s="0" t="s">
        <v>1097</v>
      </c>
      <c r="B794" s="2" t="n">
        <v>45868</v>
      </c>
      <c r="C794" s="0" t="str">
        <f aca="false">TEXT(B794,"mmm")</f>
        <v>Jul</v>
      </c>
      <c r="D794" s="0" t="str">
        <f aca="false">TEXT(B794,"ddd")</f>
        <v>Wed</v>
      </c>
      <c r="E794" s="3" t="s">
        <v>13</v>
      </c>
      <c r="F794" s="3" t="s">
        <v>56</v>
      </c>
      <c r="G794" s="3" t="s">
        <v>15</v>
      </c>
      <c r="H794" s="3" t="s">
        <v>34</v>
      </c>
      <c r="I794" s="4" t="n">
        <v>316</v>
      </c>
      <c r="J794" s="4" t="n">
        <v>0</v>
      </c>
      <c r="K794" s="4" t="n">
        <v>20</v>
      </c>
      <c r="L794" s="4" t="n">
        <f aca="false">IF(O794="Delivered",I794-J794+K794,0)</f>
        <v>336</v>
      </c>
      <c r="M794" s="0" t="n">
        <v>29</v>
      </c>
      <c r="N794" s="0" t="n">
        <v>4.2</v>
      </c>
      <c r="O794" s="3" t="s">
        <v>17</v>
      </c>
    </row>
    <row r="795" customFormat="false" ht="15" hidden="false" customHeight="false" outlineLevel="0" collapsed="false">
      <c r="A795" s="0" t="s">
        <v>1108</v>
      </c>
      <c r="B795" s="2" t="n">
        <v>45868</v>
      </c>
      <c r="C795" s="0" t="str">
        <f aca="false">TEXT(B795,"mmm")</f>
        <v>Jul</v>
      </c>
      <c r="D795" s="0" t="str">
        <f aca="false">TEXT(B795,"ddd")</f>
        <v>Wed</v>
      </c>
      <c r="E795" s="3" t="s">
        <v>27</v>
      </c>
      <c r="F795" s="3" t="s">
        <v>56</v>
      </c>
      <c r="G795" s="3" t="s">
        <v>15</v>
      </c>
      <c r="H795" s="3" t="s">
        <v>54</v>
      </c>
      <c r="I795" s="4" t="n">
        <v>460</v>
      </c>
      <c r="J795" s="4" t="n">
        <v>0</v>
      </c>
      <c r="K795" s="4" t="n">
        <v>40</v>
      </c>
      <c r="L795" s="4" t="n">
        <f aca="false">IF(O795="Delivered",I795-J795+K795,0)</f>
        <v>500</v>
      </c>
      <c r="M795" s="0" t="n">
        <v>37</v>
      </c>
      <c r="N795" s="0" t="n">
        <v>4.7</v>
      </c>
      <c r="O795" s="3" t="s">
        <v>17</v>
      </c>
    </row>
    <row r="796" customFormat="false" ht="15" hidden="false" customHeight="false" outlineLevel="0" collapsed="false">
      <c r="A796" s="0" t="s">
        <v>1175</v>
      </c>
      <c r="B796" s="2" t="n">
        <v>45868</v>
      </c>
      <c r="C796" s="0" t="str">
        <f aca="false">TEXT(B796,"mmm")</f>
        <v>Jul</v>
      </c>
      <c r="D796" s="0" t="str">
        <f aca="false">TEXT(B796,"ddd")</f>
        <v>Wed</v>
      </c>
      <c r="E796" s="3" t="s">
        <v>13</v>
      </c>
      <c r="F796" s="3" t="s">
        <v>49</v>
      </c>
      <c r="G796" s="3" t="s">
        <v>21</v>
      </c>
      <c r="H796" s="3" t="s">
        <v>16</v>
      </c>
      <c r="I796" s="4" t="n">
        <v>452</v>
      </c>
      <c r="J796" s="4" t="n">
        <v>0</v>
      </c>
      <c r="K796" s="4" t="n">
        <v>20</v>
      </c>
      <c r="L796" s="4" t="n">
        <f aca="false">IF(O796="Delivered",I796-J796+K796,0)</f>
        <v>472</v>
      </c>
      <c r="M796" s="0" t="n">
        <v>28</v>
      </c>
      <c r="N796" s="0" t="n">
        <v>4.3</v>
      </c>
      <c r="O796" s="3" t="s">
        <v>17</v>
      </c>
    </row>
    <row r="797" customFormat="false" ht="15" hidden="false" customHeight="false" outlineLevel="0" collapsed="false">
      <c r="A797" s="0" t="s">
        <v>409</v>
      </c>
      <c r="B797" s="2" t="n">
        <v>45869</v>
      </c>
      <c r="C797" s="0" t="str">
        <f aca="false">TEXT(B797,"mmm")</f>
        <v>Jul</v>
      </c>
      <c r="D797" s="0" t="str">
        <f aca="false">TEXT(B797,"ddd")</f>
        <v>Thu</v>
      </c>
      <c r="E797" s="3" t="s">
        <v>27</v>
      </c>
      <c r="F797" s="3" t="s">
        <v>14</v>
      </c>
      <c r="G797" s="3" t="s">
        <v>21</v>
      </c>
      <c r="H797" s="3" t="s">
        <v>34</v>
      </c>
      <c r="I797" s="4" t="n">
        <v>392</v>
      </c>
      <c r="J797" s="4" t="n">
        <v>52</v>
      </c>
      <c r="K797" s="4" t="n">
        <v>45</v>
      </c>
      <c r="L797" s="4" t="n">
        <f aca="false">IF(O797="Delivered",I797-J797+K797,0)</f>
        <v>385</v>
      </c>
      <c r="M797" s="0" t="n">
        <v>40</v>
      </c>
      <c r="N797" s="0" t="n">
        <v>4.4</v>
      </c>
      <c r="O797" s="3" t="s">
        <v>17</v>
      </c>
    </row>
    <row r="798" customFormat="false" ht="15" hidden="false" customHeight="false" outlineLevel="0" collapsed="false">
      <c r="A798" s="0" t="s">
        <v>1128</v>
      </c>
      <c r="B798" s="2" t="n">
        <v>45869</v>
      </c>
      <c r="C798" s="0" t="str">
        <f aca="false">TEXT(B798,"mmm")</f>
        <v>Jul</v>
      </c>
      <c r="D798" s="0" t="str">
        <f aca="false">TEXT(B798,"ddd")</f>
        <v>Thu</v>
      </c>
      <c r="E798" s="3" t="s">
        <v>24</v>
      </c>
      <c r="F798" s="3" t="s">
        <v>56</v>
      </c>
      <c r="G798" s="3" t="s">
        <v>21</v>
      </c>
      <c r="H798" s="3" t="s">
        <v>36</v>
      </c>
      <c r="I798" s="4" t="n">
        <v>362</v>
      </c>
      <c r="J798" s="4" t="n">
        <v>0</v>
      </c>
      <c r="K798" s="4" t="n">
        <v>30</v>
      </c>
      <c r="L798" s="4" t="n">
        <f aca="false">IF(O798="Delivered",I798-J798+K798,0)</f>
        <v>392</v>
      </c>
      <c r="M798" s="0" t="n">
        <v>42</v>
      </c>
      <c r="N798" s="0" t="n">
        <v>4.1</v>
      </c>
      <c r="O798" s="3" t="s">
        <v>17</v>
      </c>
    </row>
    <row r="799" customFormat="false" ht="15" hidden="false" customHeight="false" outlineLevel="0" collapsed="false">
      <c r="A799" s="0" t="s">
        <v>1314</v>
      </c>
      <c r="B799" s="2" t="n">
        <v>45869</v>
      </c>
      <c r="C799" s="0" t="str">
        <f aca="false">TEXT(B799,"mmm")</f>
        <v>Jul</v>
      </c>
      <c r="D799" s="0" t="str">
        <f aca="false">TEXT(B799,"ddd")</f>
        <v>Thu</v>
      </c>
      <c r="E799" s="3" t="s">
        <v>27</v>
      </c>
      <c r="F799" s="3" t="s">
        <v>20</v>
      </c>
      <c r="G799" s="3" t="s">
        <v>15</v>
      </c>
      <c r="H799" s="3" t="s">
        <v>36</v>
      </c>
      <c r="I799" s="4" t="n">
        <v>753</v>
      </c>
      <c r="J799" s="4" t="n">
        <v>181</v>
      </c>
      <c r="K799" s="4" t="n">
        <v>0</v>
      </c>
      <c r="L799" s="4" t="n">
        <f aca="false">IF(O799="Delivered",I799-J799+K799,0)</f>
        <v>572</v>
      </c>
      <c r="M799" s="0" t="n">
        <v>28</v>
      </c>
      <c r="N799" s="0" t="n">
        <v>5</v>
      </c>
      <c r="O799" s="3" t="s">
        <v>17</v>
      </c>
    </row>
    <row r="800" customFormat="false" ht="15" hidden="false" customHeight="false" outlineLevel="0" collapsed="false">
      <c r="A800" s="0" t="s">
        <v>381</v>
      </c>
      <c r="B800" s="2" t="n">
        <v>45870</v>
      </c>
      <c r="C800" s="0" t="str">
        <f aca="false">TEXT(B800,"mmm")</f>
        <v>Aug</v>
      </c>
      <c r="D800" s="0" t="str">
        <f aca="false">TEXT(B800,"ddd")</f>
        <v>Fri</v>
      </c>
      <c r="E800" s="3" t="s">
        <v>40</v>
      </c>
      <c r="F800" s="3" t="s">
        <v>25</v>
      </c>
      <c r="G800" s="3" t="s">
        <v>15</v>
      </c>
      <c r="H800" s="3" t="s">
        <v>16</v>
      </c>
      <c r="I800" s="4" t="n">
        <v>363</v>
      </c>
      <c r="J800" s="4" t="n">
        <v>0</v>
      </c>
      <c r="K800" s="4" t="n">
        <v>20</v>
      </c>
      <c r="L800" s="4" t="n">
        <f aca="false">IF(O800="Delivered",I800-J800+K800,0)</f>
        <v>383</v>
      </c>
      <c r="M800" s="0" t="n">
        <v>40</v>
      </c>
      <c r="N800" s="0" t="n">
        <v>4.5</v>
      </c>
      <c r="O800" s="3" t="s">
        <v>17</v>
      </c>
    </row>
    <row r="801" customFormat="false" ht="15" hidden="false" customHeight="false" outlineLevel="0" collapsed="false">
      <c r="A801" s="0" t="s">
        <v>405</v>
      </c>
      <c r="B801" s="2" t="n">
        <v>45870</v>
      </c>
      <c r="C801" s="0" t="str">
        <f aca="false">TEXT(B801,"mmm")</f>
        <v>Aug</v>
      </c>
      <c r="D801" s="0" t="str">
        <f aca="false">TEXT(B801,"ddd")</f>
        <v>Fri</v>
      </c>
      <c r="E801" s="3" t="s">
        <v>27</v>
      </c>
      <c r="F801" s="3" t="s">
        <v>14</v>
      </c>
      <c r="G801" s="3" t="s">
        <v>21</v>
      </c>
      <c r="H801" s="3" t="s">
        <v>22</v>
      </c>
      <c r="I801" s="4" t="n">
        <v>293</v>
      </c>
      <c r="J801" s="4" t="n">
        <v>0</v>
      </c>
      <c r="K801" s="4" t="n">
        <v>30</v>
      </c>
      <c r="L801" s="4" t="n">
        <f aca="false">IF(O801="Delivered",I801-J801+K801,0)</f>
        <v>323</v>
      </c>
      <c r="M801" s="0" t="n">
        <v>43</v>
      </c>
      <c r="N801" s="0" t="n">
        <v>4.5</v>
      </c>
      <c r="O801" s="3" t="s">
        <v>17</v>
      </c>
    </row>
    <row r="802" customFormat="false" ht="15" hidden="false" customHeight="false" outlineLevel="0" collapsed="false">
      <c r="A802" s="0" t="s">
        <v>952</v>
      </c>
      <c r="B802" s="2" t="n">
        <v>45870</v>
      </c>
      <c r="C802" s="0" t="str">
        <f aca="false">TEXT(B802,"mmm")</f>
        <v>Aug</v>
      </c>
      <c r="D802" s="0" t="str">
        <f aca="false">TEXT(B802,"ddd")</f>
        <v>Fri</v>
      </c>
      <c r="E802" s="3" t="s">
        <v>30</v>
      </c>
      <c r="F802" s="3" t="s">
        <v>25</v>
      </c>
      <c r="G802" s="3" t="s">
        <v>21</v>
      </c>
      <c r="H802" s="3" t="s">
        <v>22</v>
      </c>
      <c r="I802" s="4" t="n">
        <v>668</v>
      </c>
      <c r="J802" s="4" t="n">
        <v>0</v>
      </c>
      <c r="K802" s="4" t="n">
        <v>0</v>
      </c>
      <c r="L802" s="4" t="n">
        <f aca="false">IF(O802="Delivered",I802-J802+K802,0)</f>
        <v>668</v>
      </c>
      <c r="M802" s="0" t="n">
        <v>33</v>
      </c>
      <c r="N802" s="0" t="n">
        <v>4</v>
      </c>
      <c r="O802" s="3" t="s">
        <v>17</v>
      </c>
    </row>
    <row r="803" customFormat="false" ht="15" hidden="false" customHeight="false" outlineLevel="0" collapsed="false">
      <c r="A803" s="0" t="s">
        <v>1109</v>
      </c>
      <c r="B803" s="2" t="n">
        <v>45870</v>
      </c>
      <c r="C803" s="0" t="str">
        <f aca="false">TEXT(B803,"mmm")</f>
        <v>Aug</v>
      </c>
      <c r="D803" s="0" t="str">
        <f aca="false">TEXT(B803,"ddd")</f>
        <v>Fri</v>
      </c>
      <c r="E803" s="3" t="s">
        <v>45</v>
      </c>
      <c r="F803" s="3" t="s">
        <v>25</v>
      </c>
      <c r="G803" s="3" t="s">
        <v>21</v>
      </c>
      <c r="H803" s="3" t="s">
        <v>22</v>
      </c>
      <c r="I803" s="4" t="n">
        <v>305</v>
      </c>
      <c r="J803" s="4" t="n">
        <v>0</v>
      </c>
      <c r="K803" s="4" t="n">
        <v>45</v>
      </c>
      <c r="L803" s="4" t="n">
        <f aca="false">IF(O803="Delivered",I803-J803+K803,0)</f>
        <v>350</v>
      </c>
      <c r="M803" s="0" t="n">
        <v>35</v>
      </c>
      <c r="N803" s="0" t="n">
        <v>4.2</v>
      </c>
      <c r="O803" s="3" t="s">
        <v>17</v>
      </c>
    </row>
    <row r="804" customFormat="false" ht="15" hidden="false" customHeight="false" outlineLevel="0" collapsed="false">
      <c r="A804" s="0" t="s">
        <v>1505</v>
      </c>
      <c r="B804" s="2" t="n">
        <v>45870</v>
      </c>
      <c r="C804" s="0" t="str">
        <f aca="false">TEXT(B804,"mmm")</f>
        <v>Aug</v>
      </c>
      <c r="D804" s="0" t="str">
        <f aca="false">TEXT(B804,"ddd")</f>
        <v>Fri</v>
      </c>
      <c r="E804" s="3" t="s">
        <v>27</v>
      </c>
      <c r="F804" s="3" t="s">
        <v>31</v>
      </c>
      <c r="G804" s="3" t="s">
        <v>15</v>
      </c>
      <c r="H804" s="3" t="s">
        <v>22</v>
      </c>
      <c r="I804" s="4" t="n">
        <v>642</v>
      </c>
      <c r="J804" s="4" t="n">
        <v>122</v>
      </c>
      <c r="K804" s="4" t="n">
        <v>0</v>
      </c>
      <c r="L804" s="4" t="n">
        <f aca="false">IF(O804="Delivered",I804-J804+K804,0)</f>
        <v>520</v>
      </c>
      <c r="M804" s="0" t="n">
        <v>38</v>
      </c>
      <c r="N804" s="0" t="n">
        <v>3.9</v>
      </c>
      <c r="O804" s="3" t="s">
        <v>17</v>
      </c>
    </row>
    <row r="805" customFormat="false" ht="15" hidden="false" customHeight="false" outlineLevel="0" collapsed="false">
      <c r="A805" s="0" t="s">
        <v>1558</v>
      </c>
      <c r="B805" s="2" t="n">
        <v>45870</v>
      </c>
      <c r="C805" s="0" t="str">
        <f aca="false">TEXT(B805,"mmm")</f>
        <v>Aug</v>
      </c>
      <c r="D805" s="0" t="str">
        <f aca="false">TEXT(B805,"ddd")</f>
        <v>Fri</v>
      </c>
      <c r="E805" s="3" t="s">
        <v>27</v>
      </c>
      <c r="F805" s="3" t="s">
        <v>25</v>
      </c>
      <c r="G805" s="3" t="s">
        <v>21</v>
      </c>
      <c r="H805" s="3" t="s">
        <v>54</v>
      </c>
      <c r="I805" s="4" t="n">
        <v>551</v>
      </c>
      <c r="J805" s="4" t="n">
        <v>134</v>
      </c>
      <c r="K805" s="4" t="n">
        <v>0</v>
      </c>
      <c r="L805" s="4" t="n">
        <f aca="false">IF(O805="Delivered",I805-J805+K805,0)</f>
        <v>417</v>
      </c>
      <c r="M805" s="0" t="n">
        <v>29</v>
      </c>
      <c r="N805" s="0" t="n">
        <v>4.4</v>
      </c>
      <c r="O805" s="3" t="s">
        <v>17</v>
      </c>
    </row>
    <row r="806" customFormat="false" ht="15" hidden="false" customHeight="false" outlineLevel="0" collapsed="false">
      <c r="A806" s="0" t="s">
        <v>1573</v>
      </c>
      <c r="B806" s="2" t="n">
        <v>45870</v>
      </c>
      <c r="C806" s="0" t="str">
        <f aca="false">TEXT(B806,"mmm")</f>
        <v>Aug</v>
      </c>
      <c r="D806" s="0" t="str">
        <f aca="false">TEXT(B806,"ddd")</f>
        <v>Fri</v>
      </c>
      <c r="E806" s="3" t="s">
        <v>19</v>
      </c>
      <c r="F806" s="3" t="s">
        <v>31</v>
      </c>
      <c r="G806" s="3" t="s">
        <v>15</v>
      </c>
      <c r="H806" s="3" t="s">
        <v>22</v>
      </c>
      <c r="I806" s="4" t="n">
        <v>449</v>
      </c>
      <c r="J806" s="4" t="n">
        <v>54</v>
      </c>
      <c r="K806" s="4" t="n">
        <v>20</v>
      </c>
      <c r="L806" s="4" t="n">
        <f aca="false">IF(O806="Delivered",I806-J806+K806,0)</f>
        <v>415</v>
      </c>
      <c r="M806" s="0" t="n">
        <v>30</v>
      </c>
      <c r="N806" s="0" t="n">
        <v>4.6</v>
      </c>
      <c r="O806" s="3" t="s">
        <v>17</v>
      </c>
    </row>
    <row r="807" customFormat="false" ht="15" hidden="false" customHeight="false" outlineLevel="0" collapsed="false">
      <c r="A807" s="0" t="s">
        <v>1628</v>
      </c>
      <c r="B807" s="2" t="n">
        <v>45870</v>
      </c>
      <c r="C807" s="0" t="str">
        <f aca="false">TEXT(B807,"mmm")</f>
        <v>Aug</v>
      </c>
      <c r="D807" s="0" t="str">
        <f aca="false">TEXT(B807,"ddd")</f>
        <v>Fri</v>
      </c>
      <c r="E807" s="3" t="s">
        <v>30</v>
      </c>
      <c r="F807" s="3" t="s">
        <v>56</v>
      </c>
      <c r="G807" s="3" t="s">
        <v>21</v>
      </c>
      <c r="H807" s="3" t="s">
        <v>22</v>
      </c>
      <c r="I807" s="4" t="n">
        <v>427</v>
      </c>
      <c r="J807" s="4" t="n">
        <v>91</v>
      </c>
      <c r="K807" s="4" t="n">
        <v>20</v>
      </c>
      <c r="L807" s="4" t="n">
        <f aca="false">IF(O807="Delivered",I807-J807+K807,0)</f>
        <v>356</v>
      </c>
      <c r="M807" s="0" t="n">
        <v>46</v>
      </c>
      <c r="O807" s="3" t="s">
        <v>17</v>
      </c>
    </row>
    <row r="808" customFormat="false" ht="15" hidden="false" customHeight="false" outlineLevel="0" collapsed="false">
      <c r="A808" s="0" t="s">
        <v>684</v>
      </c>
      <c r="B808" s="2" t="n">
        <v>45871</v>
      </c>
      <c r="C808" s="0" t="str">
        <f aca="false">TEXT(B808,"mmm")</f>
        <v>Aug</v>
      </c>
      <c r="D808" s="0" t="str">
        <f aca="false">TEXT(B808,"ddd")</f>
        <v>Sat</v>
      </c>
      <c r="E808" s="3" t="s">
        <v>27</v>
      </c>
      <c r="F808" s="3" t="s">
        <v>25</v>
      </c>
      <c r="G808" s="3" t="s">
        <v>21</v>
      </c>
      <c r="H808" s="3" t="s">
        <v>54</v>
      </c>
      <c r="I808" s="4" t="n">
        <v>416</v>
      </c>
      <c r="J808" s="4" t="n">
        <v>0</v>
      </c>
      <c r="K808" s="4" t="n">
        <v>20</v>
      </c>
      <c r="L808" s="4" t="n">
        <f aca="false">IF(O808="Delivered",I808-J808+K808,0)</f>
        <v>436</v>
      </c>
      <c r="M808" s="0" t="n">
        <v>52</v>
      </c>
      <c r="N808" s="0" t="n">
        <v>3</v>
      </c>
      <c r="O808" s="3" t="s">
        <v>17</v>
      </c>
    </row>
    <row r="809" customFormat="false" ht="15" hidden="false" customHeight="false" outlineLevel="0" collapsed="false">
      <c r="A809" s="0" t="s">
        <v>1327</v>
      </c>
      <c r="B809" s="2" t="n">
        <v>45871</v>
      </c>
      <c r="C809" s="0" t="str">
        <f aca="false">TEXT(B809,"mmm")</f>
        <v>Aug</v>
      </c>
      <c r="D809" s="0" t="str">
        <f aca="false">TEXT(B809,"ddd")</f>
        <v>Sat</v>
      </c>
      <c r="E809" s="3" t="s">
        <v>40</v>
      </c>
      <c r="F809" s="3" t="s">
        <v>56</v>
      </c>
      <c r="G809" s="3" t="s">
        <v>21</v>
      </c>
      <c r="H809" s="3" t="s">
        <v>22</v>
      </c>
      <c r="I809" s="4" t="n">
        <v>287</v>
      </c>
      <c r="J809" s="4" t="n">
        <v>0</v>
      </c>
      <c r="K809" s="4" t="n">
        <v>30</v>
      </c>
      <c r="L809" s="4" t="n">
        <f aca="false">IF(O809="Delivered",I809-J809+K809,0)</f>
        <v>317</v>
      </c>
      <c r="M809" s="0" t="n">
        <v>40</v>
      </c>
      <c r="N809" s="0" t="n">
        <v>4.8</v>
      </c>
      <c r="O809" s="3" t="s">
        <v>17</v>
      </c>
    </row>
    <row r="810" customFormat="false" ht="15" hidden="false" customHeight="false" outlineLevel="0" collapsed="false">
      <c r="A810" s="0" t="s">
        <v>1644</v>
      </c>
      <c r="B810" s="2" t="n">
        <v>45871</v>
      </c>
      <c r="C810" s="0" t="str">
        <f aca="false">TEXT(B810,"mmm")</f>
        <v>Aug</v>
      </c>
      <c r="D810" s="0" t="str">
        <f aca="false">TEXT(B810,"ddd")</f>
        <v>Sat</v>
      </c>
      <c r="E810" s="3" t="s">
        <v>19</v>
      </c>
      <c r="F810" s="3" t="s">
        <v>56</v>
      </c>
      <c r="G810" s="3" t="s">
        <v>15</v>
      </c>
      <c r="H810" s="3" t="s">
        <v>34</v>
      </c>
      <c r="I810" s="4" t="n">
        <v>376</v>
      </c>
      <c r="J810" s="4" t="n">
        <v>0</v>
      </c>
      <c r="K810" s="4" t="n">
        <v>30</v>
      </c>
      <c r="L810" s="4" t="n">
        <f aca="false">IF(O810="Delivered",I810-J810+K810,0)</f>
        <v>406</v>
      </c>
      <c r="M810" s="0" t="n">
        <v>30</v>
      </c>
      <c r="N810" s="0" t="n">
        <v>3.5</v>
      </c>
      <c r="O810" s="3" t="s">
        <v>17</v>
      </c>
    </row>
    <row r="811" customFormat="false" ht="15" hidden="false" customHeight="false" outlineLevel="0" collapsed="false">
      <c r="A811" s="0" t="s">
        <v>817</v>
      </c>
      <c r="B811" s="2" t="n">
        <v>45872</v>
      </c>
      <c r="C811" s="0" t="str">
        <f aca="false">TEXT(B811,"mmm")</f>
        <v>Aug</v>
      </c>
      <c r="D811" s="0" t="str">
        <f aca="false">TEXT(B811,"ddd")</f>
        <v>Sun</v>
      </c>
      <c r="E811" s="3" t="s">
        <v>51</v>
      </c>
      <c r="F811" s="3" t="s">
        <v>56</v>
      </c>
      <c r="G811" s="3" t="s">
        <v>21</v>
      </c>
      <c r="H811" s="3" t="s">
        <v>16</v>
      </c>
      <c r="I811" s="4" t="n">
        <v>496</v>
      </c>
      <c r="J811" s="4" t="n">
        <v>0</v>
      </c>
      <c r="K811" s="4" t="n">
        <v>30</v>
      </c>
      <c r="L811" s="4" t="n">
        <f aca="false">IF(O811="Delivered",I811-J811+K811,0)</f>
        <v>526</v>
      </c>
      <c r="M811" s="0" t="n">
        <v>32</v>
      </c>
      <c r="N811" s="0" t="n">
        <v>4.6</v>
      </c>
      <c r="O811" s="3" t="s">
        <v>17</v>
      </c>
    </row>
    <row r="812" customFormat="false" ht="15" hidden="false" customHeight="false" outlineLevel="0" collapsed="false">
      <c r="A812" s="0" t="s">
        <v>1067</v>
      </c>
      <c r="B812" s="2" t="n">
        <v>45872</v>
      </c>
      <c r="C812" s="0" t="str">
        <f aca="false">TEXT(B812,"mmm")</f>
        <v>Aug</v>
      </c>
      <c r="D812" s="0" t="str">
        <f aca="false">TEXT(B812,"ddd")</f>
        <v>Sun</v>
      </c>
      <c r="E812" s="3" t="s">
        <v>40</v>
      </c>
      <c r="F812" s="3" t="s">
        <v>49</v>
      </c>
      <c r="G812" s="3" t="s">
        <v>15</v>
      </c>
      <c r="H812" s="3" t="s">
        <v>16</v>
      </c>
      <c r="I812" s="4" t="n">
        <v>407</v>
      </c>
      <c r="J812" s="4" t="n">
        <v>0</v>
      </c>
      <c r="K812" s="4" t="n">
        <v>30</v>
      </c>
      <c r="L812" s="4" t="n">
        <f aca="false">IF(O812="Delivered",I812-J812+K812,0)</f>
        <v>437</v>
      </c>
      <c r="M812" s="0" t="n">
        <v>40</v>
      </c>
      <c r="N812" s="0" t="n">
        <v>4.6</v>
      </c>
      <c r="O812" s="3" t="s">
        <v>17</v>
      </c>
    </row>
    <row r="813" customFormat="false" ht="15" hidden="false" customHeight="false" outlineLevel="0" collapsed="false">
      <c r="A813" s="0" t="s">
        <v>1213</v>
      </c>
      <c r="B813" s="2" t="n">
        <v>45872</v>
      </c>
      <c r="C813" s="0" t="str">
        <f aca="false">TEXT(B813,"mmm")</f>
        <v>Aug</v>
      </c>
      <c r="D813" s="0" t="str">
        <f aca="false">TEXT(B813,"ddd")</f>
        <v>Sun</v>
      </c>
      <c r="E813" s="3" t="s">
        <v>27</v>
      </c>
      <c r="F813" s="3" t="s">
        <v>56</v>
      </c>
      <c r="G813" s="3" t="s">
        <v>21</v>
      </c>
      <c r="H813" s="3" t="s">
        <v>34</v>
      </c>
      <c r="I813" s="4" t="n">
        <v>394</v>
      </c>
      <c r="J813" s="4" t="n">
        <v>78</v>
      </c>
      <c r="K813" s="4" t="n">
        <v>30</v>
      </c>
      <c r="L813" s="4" t="n">
        <f aca="false">IF(O813="Delivered",I813-J813+K813,0)</f>
        <v>346</v>
      </c>
      <c r="M813" s="0" t="n">
        <v>43</v>
      </c>
      <c r="N813" s="0" t="n">
        <v>4.3</v>
      </c>
      <c r="O813" s="3" t="s">
        <v>17</v>
      </c>
    </row>
    <row r="814" customFormat="false" ht="15" hidden="false" customHeight="false" outlineLevel="0" collapsed="false">
      <c r="A814" s="0" t="s">
        <v>1597</v>
      </c>
      <c r="B814" s="2" t="n">
        <v>45872</v>
      </c>
      <c r="C814" s="0" t="str">
        <f aca="false">TEXT(B814,"mmm")</f>
        <v>Aug</v>
      </c>
      <c r="D814" s="0" t="str">
        <f aca="false">TEXT(B814,"ddd")</f>
        <v>Sun</v>
      </c>
      <c r="E814" s="3" t="s">
        <v>45</v>
      </c>
      <c r="F814" s="3" t="s">
        <v>31</v>
      </c>
      <c r="G814" s="3" t="s">
        <v>21</v>
      </c>
      <c r="H814" s="3" t="s">
        <v>54</v>
      </c>
      <c r="I814" s="4" t="n">
        <v>445</v>
      </c>
      <c r="J814" s="4" t="n">
        <v>0</v>
      </c>
      <c r="K814" s="4" t="n">
        <v>40</v>
      </c>
      <c r="L814" s="4" t="n">
        <f aca="false">IF(O814="Delivered",I814-J814+K814,0)</f>
        <v>485</v>
      </c>
      <c r="M814" s="0" t="n">
        <v>19</v>
      </c>
      <c r="N814" s="0" t="n">
        <v>5</v>
      </c>
      <c r="O814" s="3" t="s">
        <v>17</v>
      </c>
    </row>
    <row r="815" customFormat="false" ht="15" hidden="false" customHeight="false" outlineLevel="0" collapsed="false">
      <c r="A815" s="0" t="s">
        <v>1231</v>
      </c>
      <c r="B815" s="2" t="n">
        <v>45873</v>
      </c>
      <c r="C815" s="0" t="str">
        <f aca="false">TEXT(B815,"mmm")</f>
        <v>Aug</v>
      </c>
      <c r="D815" s="0" t="str">
        <f aca="false">TEXT(B815,"ddd")</f>
        <v>Mon</v>
      </c>
      <c r="E815" s="3" t="s">
        <v>13</v>
      </c>
      <c r="F815" s="3" t="s">
        <v>20</v>
      </c>
      <c r="G815" s="3" t="s">
        <v>21</v>
      </c>
      <c r="H815" s="3" t="s">
        <v>22</v>
      </c>
      <c r="I815" s="4" t="n">
        <v>573</v>
      </c>
      <c r="J815" s="4" t="n">
        <v>0</v>
      </c>
      <c r="K815" s="4" t="n">
        <v>0</v>
      </c>
      <c r="L815" s="4" t="n">
        <f aca="false">IF(O815="Delivered",I815-J815+K815,0)</f>
        <v>573</v>
      </c>
      <c r="M815" s="0" t="n">
        <v>43</v>
      </c>
      <c r="N815" s="0" t="n">
        <v>4.6</v>
      </c>
      <c r="O815" s="3" t="s">
        <v>17</v>
      </c>
    </row>
    <row r="816" customFormat="false" ht="15" hidden="false" customHeight="false" outlineLevel="0" collapsed="false">
      <c r="A816" s="0" t="s">
        <v>1596</v>
      </c>
      <c r="B816" s="2" t="n">
        <v>45873</v>
      </c>
      <c r="C816" s="0" t="str">
        <f aca="false">TEXT(B816,"mmm")</f>
        <v>Aug</v>
      </c>
      <c r="D816" s="0" t="str">
        <f aca="false">TEXT(B816,"ddd")</f>
        <v>Mon</v>
      </c>
      <c r="E816" s="3" t="s">
        <v>24</v>
      </c>
      <c r="F816" s="3" t="s">
        <v>20</v>
      </c>
      <c r="G816" s="3" t="s">
        <v>21</v>
      </c>
      <c r="H816" s="3" t="s">
        <v>22</v>
      </c>
      <c r="I816" s="4" t="n">
        <v>670</v>
      </c>
      <c r="J816" s="4" t="n">
        <v>74</v>
      </c>
      <c r="K816" s="4" t="n">
        <v>0</v>
      </c>
      <c r="L816" s="4" t="n">
        <f aca="false">IF(O816="Delivered",I816-J816+K816,0)</f>
        <v>596</v>
      </c>
      <c r="M816" s="0" t="n">
        <v>47</v>
      </c>
      <c r="N816" s="0" t="n">
        <v>4.2</v>
      </c>
      <c r="O816" s="3" t="s">
        <v>17</v>
      </c>
    </row>
    <row r="817" customFormat="false" ht="15" hidden="false" customHeight="false" outlineLevel="0" collapsed="false">
      <c r="A817" s="0" t="s">
        <v>604</v>
      </c>
      <c r="B817" s="2" t="n">
        <v>45874</v>
      </c>
      <c r="C817" s="0" t="str">
        <f aca="false">TEXT(B817,"mmm")</f>
        <v>Aug</v>
      </c>
      <c r="D817" s="0" t="str">
        <f aca="false">TEXT(B817,"ddd")</f>
        <v>Tue</v>
      </c>
      <c r="E817" s="3" t="s">
        <v>13</v>
      </c>
      <c r="F817" s="3" t="s">
        <v>14</v>
      </c>
      <c r="G817" s="3" t="s">
        <v>15</v>
      </c>
      <c r="H817" s="3" t="s">
        <v>22</v>
      </c>
      <c r="I817" s="4" t="n">
        <v>363</v>
      </c>
      <c r="J817" s="4" t="n">
        <v>0</v>
      </c>
      <c r="K817" s="4" t="n">
        <v>30</v>
      </c>
      <c r="L817" s="4" t="n">
        <f aca="false">IF(O817="Delivered",I817-J817+K817,0)</f>
        <v>393</v>
      </c>
      <c r="M817" s="0" t="n">
        <v>44</v>
      </c>
      <c r="N817" s="0" t="n">
        <v>3.9</v>
      </c>
      <c r="O817" s="3" t="s">
        <v>17</v>
      </c>
    </row>
    <row r="818" customFormat="false" ht="15" hidden="false" customHeight="false" outlineLevel="0" collapsed="false">
      <c r="A818" s="0" t="s">
        <v>1365</v>
      </c>
      <c r="B818" s="2" t="n">
        <v>45875</v>
      </c>
      <c r="C818" s="0" t="str">
        <f aca="false">TEXT(B818,"mmm")</f>
        <v>Aug</v>
      </c>
      <c r="D818" s="0" t="str">
        <f aca="false">TEXT(B818,"ddd")</f>
        <v>Wed</v>
      </c>
      <c r="E818" s="3" t="s">
        <v>27</v>
      </c>
      <c r="F818" s="3" t="s">
        <v>14</v>
      </c>
      <c r="G818" s="3" t="s">
        <v>15</v>
      </c>
      <c r="H818" s="3" t="s">
        <v>22</v>
      </c>
      <c r="I818" s="4" t="n">
        <v>221</v>
      </c>
      <c r="J818" s="4" t="n">
        <v>0</v>
      </c>
      <c r="K818" s="4" t="n">
        <v>40</v>
      </c>
      <c r="L818" s="4" t="n">
        <f aca="false">IF(O818="Delivered",I818-J818+K818,0)</f>
        <v>261</v>
      </c>
      <c r="M818" s="0" t="n">
        <v>34</v>
      </c>
      <c r="N818" s="0" t="n">
        <v>3.3</v>
      </c>
      <c r="O818" s="3" t="s">
        <v>17</v>
      </c>
    </row>
    <row r="819" customFormat="false" ht="15" hidden="false" customHeight="false" outlineLevel="0" collapsed="false">
      <c r="A819" s="0" t="s">
        <v>115</v>
      </c>
      <c r="B819" s="2" t="n">
        <v>45876</v>
      </c>
      <c r="C819" s="0" t="str">
        <f aca="false">TEXT(B819,"mmm")</f>
        <v>Aug</v>
      </c>
      <c r="D819" s="0" t="str">
        <f aca="false">TEXT(B819,"ddd")</f>
        <v>Thu</v>
      </c>
      <c r="E819" s="3" t="s">
        <v>27</v>
      </c>
      <c r="F819" s="3" t="s">
        <v>56</v>
      </c>
      <c r="G819" s="3" t="s">
        <v>21</v>
      </c>
      <c r="H819" s="3" t="s">
        <v>54</v>
      </c>
      <c r="I819" s="4" t="n">
        <v>381</v>
      </c>
      <c r="J819" s="4" t="n">
        <v>51</v>
      </c>
      <c r="K819" s="4" t="n">
        <v>40</v>
      </c>
      <c r="L819" s="4" t="n">
        <f aca="false">IF(O819="Delivered",I819-J819+K819,0)</f>
        <v>370</v>
      </c>
      <c r="M819" s="0" t="n">
        <v>50</v>
      </c>
      <c r="N819" s="0" t="n">
        <v>3.2</v>
      </c>
      <c r="O819" s="3" t="s">
        <v>17</v>
      </c>
    </row>
    <row r="820" customFormat="false" ht="15" hidden="false" customHeight="false" outlineLevel="0" collapsed="false">
      <c r="A820" s="0" t="s">
        <v>215</v>
      </c>
      <c r="B820" s="2" t="n">
        <v>45876</v>
      </c>
      <c r="C820" s="0" t="str">
        <f aca="false">TEXT(B820,"mmm")</f>
        <v>Aug</v>
      </c>
      <c r="D820" s="0" t="str">
        <f aca="false">TEXT(B820,"ddd")</f>
        <v>Thu</v>
      </c>
      <c r="E820" s="3" t="s">
        <v>40</v>
      </c>
      <c r="F820" s="3" t="s">
        <v>31</v>
      </c>
      <c r="G820" s="3" t="s">
        <v>15</v>
      </c>
      <c r="H820" s="3" t="s">
        <v>22</v>
      </c>
      <c r="I820" s="4" t="n">
        <v>500</v>
      </c>
      <c r="J820" s="4" t="n">
        <v>63</v>
      </c>
      <c r="K820" s="4" t="n">
        <v>0</v>
      </c>
      <c r="L820" s="4" t="n">
        <f aca="false">IF(O820="Delivered",I820-J820+K820,0)</f>
        <v>437</v>
      </c>
      <c r="M820" s="0" t="n">
        <v>49</v>
      </c>
      <c r="N820" s="0" t="n">
        <v>4.3</v>
      </c>
      <c r="O820" s="3" t="s">
        <v>17</v>
      </c>
    </row>
    <row r="821" customFormat="false" ht="15" hidden="false" customHeight="false" outlineLevel="0" collapsed="false">
      <c r="A821" s="0" t="s">
        <v>470</v>
      </c>
      <c r="B821" s="2" t="n">
        <v>45876</v>
      </c>
      <c r="C821" s="0" t="str">
        <f aca="false">TEXT(B821,"mmm")</f>
        <v>Aug</v>
      </c>
      <c r="D821" s="0" t="str">
        <f aca="false">TEXT(B821,"ddd")</f>
        <v>Thu</v>
      </c>
      <c r="E821" s="3" t="s">
        <v>27</v>
      </c>
      <c r="F821" s="3" t="s">
        <v>25</v>
      </c>
      <c r="G821" s="3" t="s">
        <v>15</v>
      </c>
      <c r="H821" s="3" t="s">
        <v>36</v>
      </c>
      <c r="I821" s="4" t="n">
        <v>387</v>
      </c>
      <c r="J821" s="4" t="n">
        <v>0</v>
      </c>
      <c r="K821" s="4" t="n">
        <v>30</v>
      </c>
      <c r="L821" s="4" t="n">
        <f aca="false">IF(O821="Delivered",I821-J821+K821,0)</f>
        <v>417</v>
      </c>
      <c r="M821" s="0" t="n">
        <v>38</v>
      </c>
      <c r="N821" s="0" t="n">
        <v>4</v>
      </c>
      <c r="O821" s="3" t="s">
        <v>17</v>
      </c>
    </row>
    <row r="822" customFormat="false" ht="15" hidden="false" customHeight="false" outlineLevel="0" collapsed="false">
      <c r="A822" s="0" t="s">
        <v>732</v>
      </c>
      <c r="B822" s="2" t="n">
        <v>45876</v>
      </c>
      <c r="C822" s="0" t="str">
        <f aca="false">TEXT(B822,"mmm")</f>
        <v>Aug</v>
      </c>
      <c r="D822" s="0" t="str">
        <f aca="false">TEXT(B822,"ddd")</f>
        <v>Thu</v>
      </c>
      <c r="E822" s="3" t="s">
        <v>27</v>
      </c>
      <c r="F822" s="3" t="s">
        <v>20</v>
      </c>
      <c r="G822" s="3" t="s">
        <v>15</v>
      </c>
      <c r="H822" s="3" t="s">
        <v>36</v>
      </c>
      <c r="I822" s="4" t="n">
        <v>767</v>
      </c>
      <c r="J822" s="4" t="n">
        <v>0</v>
      </c>
      <c r="K822" s="4" t="n">
        <v>0</v>
      </c>
      <c r="L822" s="4" t="n">
        <f aca="false">IF(O822="Delivered",I822-J822+K822,0)</f>
        <v>767</v>
      </c>
      <c r="M822" s="0" t="n">
        <v>30</v>
      </c>
      <c r="N822" s="0" t="n">
        <v>4.7</v>
      </c>
      <c r="O822" s="3" t="s">
        <v>17</v>
      </c>
    </row>
    <row r="823" customFormat="false" ht="15" hidden="false" customHeight="false" outlineLevel="0" collapsed="false">
      <c r="A823" s="0" t="s">
        <v>969</v>
      </c>
      <c r="B823" s="2" t="n">
        <v>45876</v>
      </c>
      <c r="C823" s="0" t="str">
        <f aca="false">TEXT(B823,"mmm")</f>
        <v>Aug</v>
      </c>
      <c r="D823" s="0" t="str">
        <f aca="false">TEXT(B823,"ddd")</f>
        <v>Thu</v>
      </c>
      <c r="E823" s="3" t="s">
        <v>24</v>
      </c>
      <c r="F823" s="3" t="s">
        <v>20</v>
      </c>
      <c r="G823" s="3" t="s">
        <v>21</v>
      </c>
      <c r="H823" s="3" t="s">
        <v>34</v>
      </c>
      <c r="I823" s="4" t="n">
        <v>778</v>
      </c>
      <c r="J823" s="4" t="n">
        <v>0</v>
      </c>
      <c r="K823" s="4" t="n">
        <v>0</v>
      </c>
      <c r="L823" s="4" t="n">
        <f aca="false">IF(O823="Delivered",I823-J823+K823,0)</f>
        <v>778</v>
      </c>
      <c r="M823" s="0" t="n">
        <v>36</v>
      </c>
      <c r="N823" s="0" t="n">
        <v>4.2</v>
      </c>
      <c r="O823" s="3" t="s">
        <v>17</v>
      </c>
    </row>
    <row r="824" customFormat="false" ht="15" hidden="false" customHeight="false" outlineLevel="0" collapsed="false">
      <c r="A824" s="0" t="s">
        <v>1062</v>
      </c>
      <c r="B824" s="2" t="n">
        <v>45876</v>
      </c>
      <c r="C824" s="0" t="str">
        <f aca="false">TEXT(B824,"mmm")</f>
        <v>Aug</v>
      </c>
      <c r="D824" s="0" t="str">
        <f aca="false">TEXT(B824,"ddd")</f>
        <v>Thu</v>
      </c>
      <c r="E824" s="3" t="s">
        <v>51</v>
      </c>
      <c r="F824" s="3" t="s">
        <v>56</v>
      </c>
      <c r="G824" s="3" t="s">
        <v>21</v>
      </c>
      <c r="H824" s="3" t="s">
        <v>34</v>
      </c>
      <c r="I824" s="4" t="n">
        <v>320</v>
      </c>
      <c r="J824" s="4" t="n">
        <v>61</v>
      </c>
      <c r="K824" s="4" t="n">
        <v>45</v>
      </c>
      <c r="L824" s="4" t="n">
        <f aca="false">IF(O824="Delivered",I824-J824+K824,0)</f>
        <v>304</v>
      </c>
      <c r="M824" s="0" t="n">
        <v>25</v>
      </c>
      <c r="N824" s="0" t="n">
        <v>4.7</v>
      </c>
      <c r="O824" s="3" t="s">
        <v>17</v>
      </c>
    </row>
    <row r="825" customFormat="false" ht="15" hidden="false" customHeight="false" outlineLevel="0" collapsed="false">
      <c r="A825" s="0" t="s">
        <v>1282</v>
      </c>
      <c r="B825" s="2" t="n">
        <v>45876</v>
      </c>
      <c r="C825" s="0" t="str">
        <f aca="false">TEXT(B825,"mmm")</f>
        <v>Aug</v>
      </c>
      <c r="D825" s="0" t="str">
        <f aca="false">TEXT(B825,"ddd")</f>
        <v>Thu</v>
      </c>
      <c r="E825" s="3" t="s">
        <v>27</v>
      </c>
      <c r="F825" s="3" t="s">
        <v>31</v>
      </c>
      <c r="G825" s="3" t="s">
        <v>21</v>
      </c>
      <c r="H825" s="3" t="s">
        <v>54</v>
      </c>
      <c r="I825" s="4" t="n">
        <v>612</v>
      </c>
      <c r="J825" s="4" t="n">
        <v>0</v>
      </c>
      <c r="K825" s="4" t="n">
        <v>0</v>
      </c>
      <c r="L825" s="4" t="n">
        <f aca="false">IF(O825="Delivered",I825-J825+K825,0)</f>
        <v>612</v>
      </c>
      <c r="M825" s="0" t="n">
        <v>35</v>
      </c>
      <c r="N825" s="0" t="n">
        <v>5</v>
      </c>
      <c r="O825" s="3" t="s">
        <v>17</v>
      </c>
    </row>
    <row r="826" customFormat="false" ht="15" hidden="false" customHeight="false" outlineLevel="0" collapsed="false">
      <c r="A826" s="0" t="s">
        <v>48</v>
      </c>
      <c r="B826" s="2" t="n">
        <v>45877</v>
      </c>
      <c r="C826" s="0" t="str">
        <f aca="false">TEXT(B826,"mmm")</f>
        <v>Aug</v>
      </c>
      <c r="D826" s="0" t="str">
        <f aca="false">TEXT(B826,"ddd")</f>
        <v>Fri</v>
      </c>
      <c r="E826" s="3" t="s">
        <v>40</v>
      </c>
      <c r="F826" s="3" t="s">
        <v>49</v>
      </c>
      <c r="G826" s="3" t="s">
        <v>21</v>
      </c>
      <c r="H826" s="3" t="s">
        <v>22</v>
      </c>
      <c r="I826" s="4" t="n">
        <v>379</v>
      </c>
      <c r="J826" s="4" t="n">
        <v>70</v>
      </c>
      <c r="K826" s="4" t="n">
        <v>40</v>
      </c>
      <c r="L826" s="4" t="n">
        <f aca="false">IF(O826="Delivered",I826-J826+K826,0)</f>
        <v>349</v>
      </c>
      <c r="M826" s="0" t="n">
        <v>26</v>
      </c>
      <c r="N826" s="0" t="n">
        <v>4.5</v>
      </c>
      <c r="O826" s="3" t="s">
        <v>17</v>
      </c>
    </row>
    <row r="827" customFormat="false" ht="15" hidden="false" customHeight="false" outlineLevel="0" collapsed="false">
      <c r="A827" s="0" t="s">
        <v>130</v>
      </c>
      <c r="B827" s="2" t="n">
        <v>45877</v>
      </c>
      <c r="C827" s="0" t="str">
        <f aca="false">TEXT(B827,"mmm")</f>
        <v>Aug</v>
      </c>
      <c r="D827" s="0" t="str">
        <f aca="false">TEXT(B827,"ddd")</f>
        <v>Fri</v>
      </c>
      <c r="E827" s="3" t="s">
        <v>19</v>
      </c>
      <c r="F827" s="3" t="s">
        <v>20</v>
      </c>
      <c r="G827" s="3" t="s">
        <v>21</v>
      </c>
      <c r="H827" s="3" t="s">
        <v>22</v>
      </c>
      <c r="I827" s="4" t="n">
        <v>631</v>
      </c>
      <c r="J827" s="4" t="n">
        <v>0</v>
      </c>
      <c r="K827" s="4" t="n">
        <v>0</v>
      </c>
      <c r="L827" s="4" t="n">
        <f aca="false">IF(O827="Delivered",I827-J827+K827,0)</f>
        <v>631</v>
      </c>
      <c r="M827" s="0" t="n">
        <v>37</v>
      </c>
      <c r="N827" s="0" t="n">
        <v>4</v>
      </c>
      <c r="O827" s="3" t="s">
        <v>17</v>
      </c>
    </row>
    <row r="828" customFormat="false" ht="15" hidden="false" customHeight="false" outlineLevel="0" collapsed="false">
      <c r="A828" s="0" t="s">
        <v>227</v>
      </c>
      <c r="B828" s="2" t="n">
        <v>45877</v>
      </c>
      <c r="C828" s="0" t="str">
        <f aca="false">TEXT(B828,"mmm")</f>
        <v>Aug</v>
      </c>
      <c r="D828" s="0" t="str">
        <f aca="false">TEXT(B828,"ddd")</f>
        <v>Fri</v>
      </c>
      <c r="E828" s="3" t="s">
        <v>51</v>
      </c>
      <c r="F828" s="3" t="s">
        <v>20</v>
      </c>
      <c r="G828" s="3" t="s">
        <v>21</v>
      </c>
      <c r="H828" s="3" t="s">
        <v>54</v>
      </c>
      <c r="I828" s="4" t="n">
        <v>695</v>
      </c>
      <c r="J828" s="4" t="n">
        <v>0</v>
      </c>
      <c r="K828" s="4" t="n">
        <v>0</v>
      </c>
      <c r="L828" s="4" t="n">
        <f aca="false">IF(O828="Delivered",I828-J828+K828,0)</f>
        <v>695</v>
      </c>
      <c r="M828" s="0" t="n">
        <v>26</v>
      </c>
      <c r="N828" s="0" t="n">
        <v>4.3</v>
      </c>
      <c r="O828" s="3" t="s">
        <v>17</v>
      </c>
    </row>
    <row r="829" customFormat="false" ht="15" hidden="false" customHeight="false" outlineLevel="0" collapsed="false">
      <c r="A829" s="0" t="s">
        <v>299</v>
      </c>
      <c r="B829" s="2" t="n">
        <v>45877</v>
      </c>
      <c r="C829" s="0" t="str">
        <f aca="false">TEXT(B829,"mmm")</f>
        <v>Aug</v>
      </c>
      <c r="D829" s="0" t="str">
        <f aca="false">TEXT(B829,"ddd")</f>
        <v>Fri</v>
      </c>
      <c r="E829" s="3" t="s">
        <v>45</v>
      </c>
      <c r="F829" s="3" t="s">
        <v>31</v>
      </c>
      <c r="G829" s="3" t="s">
        <v>15</v>
      </c>
      <c r="H829" s="3" t="s">
        <v>22</v>
      </c>
      <c r="I829" s="4" t="n">
        <v>499</v>
      </c>
      <c r="J829" s="4" t="n">
        <v>0</v>
      </c>
      <c r="K829" s="4" t="n">
        <v>20</v>
      </c>
      <c r="L829" s="4" t="n">
        <f aca="false">IF(O829="Delivered",I829-J829+K829,0)</f>
        <v>0</v>
      </c>
      <c r="O829" s="3" t="s">
        <v>68</v>
      </c>
    </row>
    <row r="830" customFormat="false" ht="15" hidden="false" customHeight="false" outlineLevel="0" collapsed="false">
      <c r="A830" s="0" t="s">
        <v>651</v>
      </c>
      <c r="B830" s="2" t="n">
        <v>45877</v>
      </c>
      <c r="C830" s="0" t="str">
        <f aca="false">TEXT(B830,"mmm")</f>
        <v>Aug</v>
      </c>
      <c r="D830" s="0" t="str">
        <f aca="false">TEXT(B830,"ddd")</f>
        <v>Fri</v>
      </c>
      <c r="E830" s="3" t="s">
        <v>30</v>
      </c>
      <c r="F830" s="3" t="s">
        <v>20</v>
      </c>
      <c r="G830" s="3" t="s">
        <v>15</v>
      </c>
      <c r="H830" s="3" t="s">
        <v>22</v>
      </c>
      <c r="I830" s="4" t="n">
        <v>376</v>
      </c>
      <c r="J830" s="4" t="n">
        <v>0</v>
      </c>
      <c r="K830" s="4" t="n">
        <v>45</v>
      </c>
      <c r="L830" s="4" t="n">
        <f aca="false">IF(O830="Delivered",I830-J830+K830,0)</f>
        <v>421</v>
      </c>
      <c r="M830" s="0" t="n">
        <v>33</v>
      </c>
      <c r="N830" s="0" t="n">
        <v>5</v>
      </c>
      <c r="O830" s="3" t="s">
        <v>17</v>
      </c>
    </row>
    <row r="831" customFormat="false" ht="15" hidden="false" customHeight="false" outlineLevel="0" collapsed="false">
      <c r="A831" s="0" t="s">
        <v>750</v>
      </c>
      <c r="B831" s="2" t="n">
        <v>45877</v>
      </c>
      <c r="C831" s="0" t="str">
        <f aca="false">TEXT(B831,"mmm")</f>
        <v>Aug</v>
      </c>
      <c r="D831" s="0" t="str">
        <f aca="false">TEXT(B831,"ddd")</f>
        <v>Fri</v>
      </c>
      <c r="E831" s="3" t="s">
        <v>40</v>
      </c>
      <c r="F831" s="3" t="s">
        <v>20</v>
      </c>
      <c r="G831" s="3" t="s">
        <v>21</v>
      </c>
      <c r="H831" s="3" t="s">
        <v>22</v>
      </c>
      <c r="I831" s="4" t="n">
        <v>529</v>
      </c>
      <c r="J831" s="4" t="n">
        <v>0</v>
      </c>
      <c r="K831" s="4" t="n">
        <v>0</v>
      </c>
      <c r="L831" s="4" t="n">
        <f aca="false">IF(O831="Delivered",I831-J831+K831,0)</f>
        <v>529</v>
      </c>
      <c r="M831" s="0" t="n">
        <v>37</v>
      </c>
      <c r="N831" s="0" t="n">
        <v>4</v>
      </c>
      <c r="O831" s="3" t="s">
        <v>17</v>
      </c>
    </row>
    <row r="832" customFormat="false" ht="15" hidden="false" customHeight="false" outlineLevel="0" collapsed="false">
      <c r="A832" s="0" t="s">
        <v>1118</v>
      </c>
      <c r="B832" s="2" t="n">
        <v>45877</v>
      </c>
      <c r="C832" s="0" t="str">
        <f aca="false">TEXT(B832,"mmm")</f>
        <v>Aug</v>
      </c>
      <c r="D832" s="0" t="str">
        <f aca="false">TEXT(B832,"ddd")</f>
        <v>Fri</v>
      </c>
      <c r="E832" s="3" t="s">
        <v>27</v>
      </c>
      <c r="F832" s="3" t="s">
        <v>56</v>
      </c>
      <c r="G832" s="3" t="s">
        <v>21</v>
      </c>
      <c r="H832" s="3" t="s">
        <v>34</v>
      </c>
      <c r="I832" s="4" t="n">
        <v>284</v>
      </c>
      <c r="J832" s="4" t="n">
        <v>70</v>
      </c>
      <c r="K832" s="4" t="n">
        <v>30</v>
      </c>
      <c r="L832" s="4" t="n">
        <f aca="false">IF(O832="Delivered",I832-J832+K832,0)</f>
        <v>244</v>
      </c>
      <c r="M832" s="0" t="n">
        <v>22</v>
      </c>
      <c r="N832" s="0" t="n">
        <v>4.5</v>
      </c>
      <c r="O832" s="3" t="s">
        <v>17</v>
      </c>
    </row>
    <row r="833" customFormat="false" ht="15" hidden="false" customHeight="false" outlineLevel="0" collapsed="false">
      <c r="A833" s="0" t="s">
        <v>1461</v>
      </c>
      <c r="B833" s="2" t="n">
        <v>45877</v>
      </c>
      <c r="C833" s="0" t="str">
        <f aca="false">TEXT(B833,"mmm")</f>
        <v>Aug</v>
      </c>
      <c r="D833" s="0" t="str">
        <f aca="false">TEXT(B833,"ddd")</f>
        <v>Fri</v>
      </c>
      <c r="E833" s="3" t="s">
        <v>13</v>
      </c>
      <c r="F833" s="3" t="s">
        <v>31</v>
      </c>
      <c r="G833" s="3" t="s">
        <v>15</v>
      </c>
      <c r="H833" s="3" t="s">
        <v>36</v>
      </c>
      <c r="I833" s="4" t="n">
        <v>497</v>
      </c>
      <c r="J833" s="4" t="n">
        <v>0</v>
      </c>
      <c r="K833" s="4" t="n">
        <v>20</v>
      </c>
      <c r="L833" s="4" t="n">
        <f aca="false">IF(O833="Delivered",I833-J833+K833,0)</f>
        <v>517</v>
      </c>
      <c r="M833" s="0" t="n">
        <v>32</v>
      </c>
      <c r="N833" s="0" t="n">
        <v>5</v>
      </c>
      <c r="O833" s="3" t="s">
        <v>17</v>
      </c>
    </row>
    <row r="834" customFormat="false" ht="15" hidden="false" customHeight="false" outlineLevel="0" collapsed="false">
      <c r="A834" s="0" t="s">
        <v>116</v>
      </c>
      <c r="B834" s="2" t="n">
        <v>45878</v>
      </c>
      <c r="C834" s="0" t="str">
        <f aca="false">TEXT(B834,"mmm")</f>
        <v>Aug</v>
      </c>
      <c r="D834" s="0" t="str">
        <f aca="false">TEXT(B834,"ddd")</f>
        <v>Sat</v>
      </c>
      <c r="E834" s="3" t="s">
        <v>40</v>
      </c>
      <c r="F834" s="3" t="s">
        <v>56</v>
      </c>
      <c r="G834" s="3" t="s">
        <v>21</v>
      </c>
      <c r="H834" s="3" t="s">
        <v>16</v>
      </c>
      <c r="I834" s="4" t="n">
        <v>345</v>
      </c>
      <c r="J834" s="4" t="n">
        <v>53</v>
      </c>
      <c r="K834" s="4" t="n">
        <v>40</v>
      </c>
      <c r="L834" s="4" t="n">
        <f aca="false">IF(O834="Delivered",I834-J834+K834,0)</f>
        <v>332</v>
      </c>
      <c r="M834" s="0" t="n">
        <v>40</v>
      </c>
      <c r="N834" s="0" t="n">
        <v>5</v>
      </c>
      <c r="O834" s="3" t="s">
        <v>17</v>
      </c>
    </row>
    <row r="835" customFormat="false" ht="15" hidden="false" customHeight="false" outlineLevel="0" collapsed="false">
      <c r="A835" s="0" t="s">
        <v>834</v>
      </c>
      <c r="B835" s="2" t="n">
        <v>45879</v>
      </c>
      <c r="C835" s="0" t="str">
        <f aca="false">TEXT(B835,"mmm")</f>
        <v>Aug</v>
      </c>
      <c r="D835" s="0" t="str">
        <f aca="false">TEXT(B835,"ddd")</f>
        <v>Sun</v>
      </c>
      <c r="E835" s="3" t="s">
        <v>27</v>
      </c>
      <c r="F835" s="3" t="s">
        <v>31</v>
      </c>
      <c r="G835" s="3" t="s">
        <v>15</v>
      </c>
      <c r="H835" s="3" t="s">
        <v>16</v>
      </c>
      <c r="I835" s="4" t="n">
        <v>468</v>
      </c>
      <c r="J835" s="4" t="n">
        <v>0</v>
      </c>
      <c r="K835" s="4" t="n">
        <v>30</v>
      </c>
      <c r="L835" s="4" t="n">
        <f aca="false">IF(O835="Delivered",I835-J835+K835,0)</f>
        <v>498</v>
      </c>
      <c r="M835" s="0" t="n">
        <v>50</v>
      </c>
      <c r="N835" s="0" t="n">
        <v>4.7</v>
      </c>
      <c r="O835" s="3" t="s">
        <v>17</v>
      </c>
    </row>
    <row r="836" customFormat="false" ht="15" hidden="false" customHeight="false" outlineLevel="0" collapsed="false">
      <c r="A836" s="0" t="s">
        <v>845</v>
      </c>
      <c r="B836" s="2" t="n">
        <v>45879</v>
      </c>
      <c r="C836" s="0" t="str">
        <f aca="false">TEXT(B836,"mmm")</f>
        <v>Aug</v>
      </c>
      <c r="D836" s="0" t="str">
        <f aca="false">TEXT(B836,"ddd")</f>
        <v>Sun</v>
      </c>
      <c r="E836" s="3" t="s">
        <v>40</v>
      </c>
      <c r="F836" s="3" t="s">
        <v>28</v>
      </c>
      <c r="G836" s="3" t="s">
        <v>21</v>
      </c>
      <c r="H836" s="3" t="s">
        <v>36</v>
      </c>
      <c r="I836" s="4" t="n">
        <v>509</v>
      </c>
      <c r="J836" s="4" t="n">
        <v>0</v>
      </c>
      <c r="K836" s="4" t="n">
        <v>0</v>
      </c>
      <c r="L836" s="4" t="n">
        <f aca="false">IF(O836="Delivered",I836-J836+K836,0)</f>
        <v>509</v>
      </c>
      <c r="M836" s="0" t="n">
        <v>38</v>
      </c>
      <c r="N836" s="0" t="n">
        <v>3.2</v>
      </c>
      <c r="O836" s="3" t="s">
        <v>17</v>
      </c>
    </row>
    <row r="837" customFormat="false" ht="15" hidden="false" customHeight="false" outlineLevel="0" collapsed="false">
      <c r="A837" s="0" t="s">
        <v>1182</v>
      </c>
      <c r="B837" s="2" t="n">
        <v>45879</v>
      </c>
      <c r="C837" s="0" t="str">
        <f aca="false">TEXT(B837,"mmm")</f>
        <v>Aug</v>
      </c>
      <c r="D837" s="0" t="str">
        <f aca="false">TEXT(B837,"ddd")</f>
        <v>Sun</v>
      </c>
      <c r="E837" s="3" t="s">
        <v>13</v>
      </c>
      <c r="F837" s="3" t="s">
        <v>56</v>
      </c>
      <c r="G837" s="3" t="s">
        <v>15</v>
      </c>
      <c r="H837" s="3" t="s">
        <v>22</v>
      </c>
      <c r="I837" s="4" t="n">
        <v>265</v>
      </c>
      <c r="J837" s="4" t="n">
        <v>28</v>
      </c>
      <c r="K837" s="4" t="n">
        <v>20</v>
      </c>
      <c r="L837" s="4" t="n">
        <f aca="false">IF(O837="Delivered",I837-J837+K837,0)</f>
        <v>257</v>
      </c>
      <c r="M837" s="0" t="n">
        <v>34</v>
      </c>
      <c r="O837" s="3" t="s">
        <v>17</v>
      </c>
    </row>
    <row r="838" customFormat="false" ht="15" hidden="false" customHeight="false" outlineLevel="0" collapsed="false">
      <c r="A838" s="0" t="s">
        <v>1377</v>
      </c>
      <c r="B838" s="2" t="n">
        <v>45879</v>
      </c>
      <c r="C838" s="0" t="str">
        <f aca="false">TEXT(B838,"mmm")</f>
        <v>Aug</v>
      </c>
      <c r="D838" s="0" t="str">
        <f aca="false">TEXT(B838,"ddd")</f>
        <v>Sun</v>
      </c>
      <c r="E838" s="3" t="s">
        <v>24</v>
      </c>
      <c r="F838" s="3" t="s">
        <v>56</v>
      </c>
      <c r="G838" s="3" t="s">
        <v>21</v>
      </c>
      <c r="H838" s="3" t="s">
        <v>34</v>
      </c>
      <c r="I838" s="4" t="n">
        <v>385</v>
      </c>
      <c r="J838" s="4" t="n">
        <v>0</v>
      </c>
      <c r="K838" s="4" t="n">
        <v>30</v>
      </c>
      <c r="L838" s="4" t="n">
        <f aca="false">IF(O838="Delivered",I838-J838+K838,0)</f>
        <v>415</v>
      </c>
      <c r="M838" s="0" t="n">
        <v>28</v>
      </c>
      <c r="N838" s="0" t="n">
        <v>4.3</v>
      </c>
      <c r="O838" s="3" t="s">
        <v>17</v>
      </c>
    </row>
    <row r="839" customFormat="false" ht="15" hidden="false" customHeight="false" outlineLevel="0" collapsed="false">
      <c r="A839" s="0" t="s">
        <v>1382</v>
      </c>
      <c r="B839" s="2" t="n">
        <v>45879</v>
      </c>
      <c r="C839" s="0" t="str">
        <f aca="false">TEXT(B839,"mmm")</f>
        <v>Aug</v>
      </c>
      <c r="D839" s="0" t="str">
        <f aca="false">TEXT(B839,"ddd")</f>
        <v>Sun</v>
      </c>
      <c r="E839" s="3" t="s">
        <v>19</v>
      </c>
      <c r="F839" s="3" t="s">
        <v>31</v>
      </c>
      <c r="G839" s="3" t="s">
        <v>21</v>
      </c>
      <c r="H839" s="3" t="s">
        <v>36</v>
      </c>
      <c r="I839" s="4" t="n">
        <v>498</v>
      </c>
      <c r="J839" s="4" t="n">
        <v>0</v>
      </c>
      <c r="K839" s="4" t="n">
        <v>30</v>
      </c>
      <c r="L839" s="4" t="n">
        <f aca="false">IF(O839="Delivered",I839-J839+K839,0)</f>
        <v>528</v>
      </c>
      <c r="M839" s="0" t="n">
        <v>29</v>
      </c>
      <c r="N839" s="0" t="n">
        <v>4.7</v>
      </c>
      <c r="O839" s="3" t="s">
        <v>17</v>
      </c>
    </row>
    <row r="840" customFormat="false" ht="15" hidden="false" customHeight="false" outlineLevel="0" collapsed="false">
      <c r="A840" s="0" t="s">
        <v>1470</v>
      </c>
      <c r="B840" s="2" t="n">
        <v>45879</v>
      </c>
      <c r="C840" s="0" t="str">
        <f aca="false">TEXT(B840,"mmm")</f>
        <v>Aug</v>
      </c>
      <c r="D840" s="0" t="str">
        <f aca="false">TEXT(B840,"ddd")</f>
        <v>Sun</v>
      </c>
      <c r="E840" s="3" t="s">
        <v>27</v>
      </c>
      <c r="F840" s="3" t="s">
        <v>28</v>
      </c>
      <c r="G840" s="3" t="s">
        <v>21</v>
      </c>
      <c r="H840" s="3" t="s">
        <v>34</v>
      </c>
      <c r="I840" s="4" t="n">
        <v>468</v>
      </c>
      <c r="J840" s="4" t="n">
        <v>0</v>
      </c>
      <c r="K840" s="4" t="n">
        <v>20</v>
      </c>
      <c r="L840" s="4" t="n">
        <f aca="false">IF(O840="Delivered",I840-J840+K840,0)</f>
        <v>488</v>
      </c>
      <c r="M840" s="0" t="n">
        <v>38</v>
      </c>
      <c r="N840" s="0" t="n">
        <v>4.7</v>
      </c>
      <c r="O840" s="3" t="s">
        <v>17</v>
      </c>
    </row>
    <row r="841" customFormat="false" ht="15" hidden="false" customHeight="false" outlineLevel="0" collapsed="false">
      <c r="A841" s="0" t="s">
        <v>1486</v>
      </c>
      <c r="B841" s="2" t="n">
        <v>45879</v>
      </c>
      <c r="C841" s="0" t="str">
        <f aca="false">TEXT(B841,"mmm")</f>
        <v>Aug</v>
      </c>
      <c r="D841" s="0" t="str">
        <f aca="false">TEXT(B841,"ddd")</f>
        <v>Sun</v>
      </c>
      <c r="E841" s="3" t="s">
        <v>24</v>
      </c>
      <c r="F841" s="3" t="s">
        <v>49</v>
      </c>
      <c r="G841" s="3" t="s">
        <v>15</v>
      </c>
      <c r="H841" s="3" t="s">
        <v>36</v>
      </c>
      <c r="I841" s="4" t="n">
        <v>438</v>
      </c>
      <c r="J841" s="4" t="n">
        <v>0</v>
      </c>
      <c r="K841" s="4" t="n">
        <v>30</v>
      </c>
      <c r="L841" s="4" t="n">
        <f aca="false">IF(O841="Delivered",I841-J841+K841,0)</f>
        <v>468</v>
      </c>
      <c r="M841" s="0" t="n">
        <v>33</v>
      </c>
      <c r="N841" s="0" t="n">
        <v>4.3</v>
      </c>
      <c r="O841" s="3" t="s">
        <v>17</v>
      </c>
    </row>
    <row r="842" customFormat="false" ht="15" hidden="false" customHeight="false" outlineLevel="0" collapsed="false">
      <c r="A842" s="0" t="s">
        <v>112</v>
      </c>
      <c r="B842" s="2" t="n">
        <v>45880</v>
      </c>
      <c r="C842" s="0" t="str">
        <f aca="false">TEXT(B842,"mmm")</f>
        <v>Aug</v>
      </c>
      <c r="D842" s="0" t="str">
        <f aca="false">TEXT(B842,"ddd")</f>
        <v>Mon</v>
      </c>
      <c r="E842" s="3" t="s">
        <v>45</v>
      </c>
      <c r="F842" s="3" t="s">
        <v>25</v>
      </c>
      <c r="G842" s="3" t="s">
        <v>15</v>
      </c>
      <c r="H842" s="3" t="s">
        <v>22</v>
      </c>
      <c r="I842" s="4" t="n">
        <v>497</v>
      </c>
      <c r="J842" s="4" t="n">
        <v>0</v>
      </c>
      <c r="K842" s="4" t="n">
        <v>30</v>
      </c>
      <c r="L842" s="4" t="n">
        <f aca="false">IF(O842="Delivered",I842-J842+K842,0)</f>
        <v>527</v>
      </c>
      <c r="M842" s="0" t="n">
        <v>25</v>
      </c>
      <c r="N842" s="0" t="n">
        <v>4.9</v>
      </c>
      <c r="O842" s="3" t="s">
        <v>17</v>
      </c>
    </row>
    <row r="843" customFormat="false" ht="15" hidden="false" customHeight="false" outlineLevel="0" collapsed="false">
      <c r="A843" s="0" t="s">
        <v>440</v>
      </c>
      <c r="B843" s="2" t="n">
        <v>45880</v>
      </c>
      <c r="C843" s="0" t="str">
        <f aca="false">TEXT(B843,"mmm")</f>
        <v>Aug</v>
      </c>
      <c r="D843" s="0" t="str">
        <f aca="false">TEXT(B843,"ddd")</f>
        <v>Mon</v>
      </c>
      <c r="E843" s="3" t="s">
        <v>27</v>
      </c>
      <c r="F843" s="3" t="s">
        <v>31</v>
      </c>
      <c r="G843" s="3" t="s">
        <v>21</v>
      </c>
      <c r="H843" s="3" t="s">
        <v>36</v>
      </c>
      <c r="I843" s="4" t="n">
        <v>717</v>
      </c>
      <c r="J843" s="4" t="n">
        <v>0</v>
      </c>
      <c r="K843" s="4" t="n">
        <v>0</v>
      </c>
      <c r="L843" s="4" t="n">
        <f aca="false">IF(O843="Delivered",I843-J843+K843,0)</f>
        <v>717</v>
      </c>
      <c r="M843" s="0" t="n">
        <v>41</v>
      </c>
      <c r="N843" s="0" t="n">
        <v>4.2</v>
      </c>
      <c r="O843" s="3" t="s">
        <v>17</v>
      </c>
    </row>
    <row r="844" customFormat="false" ht="15" hidden="false" customHeight="false" outlineLevel="0" collapsed="false">
      <c r="A844" s="0" t="s">
        <v>597</v>
      </c>
      <c r="B844" s="2" t="n">
        <v>45880</v>
      </c>
      <c r="C844" s="0" t="str">
        <f aca="false">TEXT(B844,"mmm")</f>
        <v>Aug</v>
      </c>
      <c r="D844" s="0" t="str">
        <f aca="false">TEXT(B844,"ddd")</f>
        <v>Mon</v>
      </c>
      <c r="E844" s="3" t="s">
        <v>40</v>
      </c>
      <c r="F844" s="3" t="s">
        <v>56</v>
      </c>
      <c r="G844" s="3" t="s">
        <v>15</v>
      </c>
      <c r="H844" s="3" t="s">
        <v>54</v>
      </c>
      <c r="I844" s="4" t="n">
        <v>491</v>
      </c>
      <c r="J844" s="4" t="n">
        <v>102</v>
      </c>
      <c r="K844" s="4" t="n">
        <v>45</v>
      </c>
      <c r="L844" s="4" t="n">
        <f aca="false">IF(O844="Delivered",I844-J844+K844,0)</f>
        <v>434</v>
      </c>
      <c r="M844" s="0" t="n">
        <v>31</v>
      </c>
      <c r="N844" s="0" t="n">
        <v>4.1</v>
      </c>
      <c r="O844" s="3" t="s">
        <v>17</v>
      </c>
    </row>
    <row r="845" customFormat="false" ht="15" hidden="false" customHeight="false" outlineLevel="0" collapsed="false">
      <c r="A845" s="0" t="s">
        <v>1364</v>
      </c>
      <c r="B845" s="2" t="n">
        <v>45880</v>
      </c>
      <c r="C845" s="0" t="str">
        <f aca="false">TEXT(B845,"mmm")</f>
        <v>Aug</v>
      </c>
      <c r="D845" s="0" t="str">
        <f aca="false">TEXT(B845,"ddd")</f>
        <v>Mon</v>
      </c>
      <c r="E845" s="3" t="s">
        <v>13</v>
      </c>
      <c r="F845" s="3" t="s">
        <v>25</v>
      </c>
      <c r="G845" s="3" t="s">
        <v>21</v>
      </c>
      <c r="H845" s="3" t="s">
        <v>22</v>
      </c>
      <c r="I845" s="4" t="n">
        <v>611</v>
      </c>
      <c r="J845" s="4" t="n">
        <v>0</v>
      </c>
      <c r="K845" s="4" t="n">
        <v>0</v>
      </c>
      <c r="L845" s="4" t="n">
        <f aca="false">IF(O845="Delivered",I845-J845+K845,0)</f>
        <v>611</v>
      </c>
      <c r="M845" s="0" t="n">
        <v>32</v>
      </c>
      <c r="O845" s="3" t="s">
        <v>17</v>
      </c>
    </row>
    <row r="846" customFormat="false" ht="15" hidden="false" customHeight="false" outlineLevel="0" collapsed="false">
      <c r="A846" s="0" t="s">
        <v>1498</v>
      </c>
      <c r="B846" s="2" t="n">
        <v>45880</v>
      </c>
      <c r="C846" s="0" t="str">
        <f aca="false">TEXT(B846,"mmm")</f>
        <v>Aug</v>
      </c>
      <c r="D846" s="0" t="str">
        <f aca="false">TEXT(B846,"ddd")</f>
        <v>Mon</v>
      </c>
      <c r="E846" s="3" t="s">
        <v>24</v>
      </c>
      <c r="F846" s="3" t="s">
        <v>28</v>
      </c>
      <c r="G846" s="3" t="s">
        <v>15</v>
      </c>
      <c r="H846" s="3" t="s">
        <v>16</v>
      </c>
      <c r="I846" s="4" t="n">
        <v>508</v>
      </c>
      <c r="J846" s="4" t="n">
        <v>125</v>
      </c>
      <c r="K846" s="4" t="n">
        <v>0</v>
      </c>
      <c r="L846" s="4" t="n">
        <f aca="false">IF(O846="Delivered",I846-J846+K846,0)</f>
        <v>383</v>
      </c>
      <c r="M846" s="0" t="n">
        <v>33</v>
      </c>
      <c r="N846" s="0" t="n">
        <v>4.3</v>
      </c>
      <c r="O846" s="3" t="s">
        <v>17</v>
      </c>
    </row>
    <row r="847" customFormat="false" ht="15" hidden="false" customHeight="false" outlineLevel="0" collapsed="false">
      <c r="A847" s="0" t="s">
        <v>1517</v>
      </c>
      <c r="B847" s="2" t="n">
        <v>45880</v>
      </c>
      <c r="C847" s="0" t="str">
        <f aca="false">TEXT(B847,"mmm")</f>
        <v>Aug</v>
      </c>
      <c r="D847" s="0" t="str">
        <f aca="false">TEXT(B847,"ddd")</f>
        <v>Mon</v>
      </c>
      <c r="E847" s="3" t="s">
        <v>24</v>
      </c>
      <c r="F847" s="3" t="s">
        <v>25</v>
      </c>
      <c r="G847" s="3" t="s">
        <v>21</v>
      </c>
      <c r="H847" s="3" t="s">
        <v>22</v>
      </c>
      <c r="I847" s="4" t="n">
        <v>532</v>
      </c>
      <c r="J847" s="4" t="n">
        <v>0</v>
      </c>
      <c r="K847" s="4" t="n">
        <v>0</v>
      </c>
      <c r="L847" s="4" t="n">
        <f aca="false">IF(O847="Delivered",I847-J847+K847,0)</f>
        <v>532</v>
      </c>
      <c r="M847" s="0" t="n">
        <v>37</v>
      </c>
      <c r="N847" s="0" t="n">
        <v>4.9</v>
      </c>
      <c r="O847" s="3" t="s">
        <v>17</v>
      </c>
    </row>
    <row r="848" customFormat="false" ht="15" hidden="false" customHeight="false" outlineLevel="0" collapsed="false">
      <c r="A848" s="0" t="s">
        <v>104</v>
      </c>
      <c r="B848" s="2" t="n">
        <v>45881</v>
      </c>
      <c r="C848" s="0" t="str">
        <f aca="false">TEXT(B848,"mmm")</f>
        <v>Aug</v>
      </c>
      <c r="D848" s="0" t="str">
        <f aca="false">TEXT(B848,"ddd")</f>
        <v>Tue</v>
      </c>
      <c r="E848" s="3" t="s">
        <v>27</v>
      </c>
      <c r="F848" s="3" t="s">
        <v>31</v>
      </c>
      <c r="G848" s="3" t="s">
        <v>21</v>
      </c>
      <c r="H848" s="3" t="s">
        <v>34</v>
      </c>
      <c r="I848" s="4" t="n">
        <v>340</v>
      </c>
      <c r="J848" s="4" t="n">
        <v>79</v>
      </c>
      <c r="K848" s="4" t="n">
        <v>30</v>
      </c>
      <c r="L848" s="4" t="n">
        <f aca="false">IF(O848="Delivered",I848-J848+K848,0)</f>
        <v>291</v>
      </c>
      <c r="M848" s="0" t="n">
        <v>31</v>
      </c>
      <c r="N848" s="0" t="n">
        <v>5</v>
      </c>
      <c r="O848" s="3" t="s">
        <v>17</v>
      </c>
    </row>
    <row r="849" customFormat="false" ht="15" hidden="false" customHeight="false" outlineLevel="0" collapsed="false">
      <c r="A849" s="0" t="s">
        <v>904</v>
      </c>
      <c r="B849" s="2" t="n">
        <v>45881</v>
      </c>
      <c r="C849" s="0" t="str">
        <f aca="false">TEXT(B849,"mmm")</f>
        <v>Aug</v>
      </c>
      <c r="D849" s="0" t="str">
        <f aca="false">TEXT(B849,"ddd")</f>
        <v>Tue</v>
      </c>
      <c r="E849" s="3" t="s">
        <v>27</v>
      </c>
      <c r="F849" s="3" t="s">
        <v>78</v>
      </c>
      <c r="G849" s="3" t="s">
        <v>21</v>
      </c>
      <c r="H849" s="3" t="s">
        <v>34</v>
      </c>
      <c r="I849" s="4" t="n">
        <v>299</v>
      </c>
      <c r="J849" s="4" t="n">
        <v>0</v>
      </c>
      <c r="K849" s="4" t="n">
        <v>45</v>
      </c>
      <c r="L849" s="4" t="n">
        <f aca="false">IF(O849="Delivered",I849-J849+K849,0)</f>
        <v>344</v>
      </c>
      <c r="M849" s="0" t="n">
        <v>56</v>
      </c>
      <c r="N849" s="0" t="n">
        <v>3.9</v>
      </c>
      <c r="O849" s="3" t="s">
        <v>17</v>
      </c>
    </row>
    <row r="850" customFormat="false" ht="15" hidden="false" customHeight="false" outlineLevel="0" collapsed="false">
      <c r="A850" s="0" t="s">
        <v>973</v>
      </c>
      <c r="B850" s="2" t="n">
        <v>45881</v>
      </c>
      <c r="C850" s="0" t="str">
        <f aca="false">TEXT(B850,"mmm")</f>
        <v>Aug</v>
      </c>
      <c r="D850" s="0" t="str">
        <f aca="false">TEXT(B850,"ddd")</f>
        <v>Tue</v>
      </c>
      <c r="E850" s="3" t="s">
        <v>13</v>
      </c>
      <c r="F850" s="3" t="s">
        <v>56</v>
      </c>
      <c r="G850" s="3" t="s">
        <v>21</v>
      </c>
      <c r="H850" s="3" t="s">
        <v>22</v>
      </c>
      <c r="I850" s="4" t="n">
        <v>477</v>
      </c>
      <c r="J850" s="4" t="n">
        <v>0</v>
      </c>
      <c r="K850" s="4" t="n">
        <v>30</v>
      </c>
      <c r="L850" s="4" t="n">
        <f aca="false">IF(O850="Delivered",I850-J850+K850,0)</f>
        <v>507</v>
      </c>
      <c r="M850" s="0" t="n">
        <v>40</v>
      </c>
      <c r="N850" s="0" t="n">
        <v>4.8</v>
      </c>
      <c r="O850" s="3" t="s">
        <v>17</v>
      </c>
    </row>
    <row r="851" customFormat="false" ht="15" hidden="false" customHeight="false" outlineLevel="0" collapsed="false">
      <c r="A851" s="0" t="s">
        <v>1458</v>
      </c>
      <c r="B851" s="2" t="n">
        <v>45881</v>
      </c>
      <c r="C851" s="0" t="str">
        <f aca="false">TEXT(B851,"mmm")</f>
        <v>Aug</v>
      </c>
      <c r="D851" s="0" t="str">
        <f aca="false">TEXT(B851,"ddd")</f>
        <v>Tue</v>
      </c>
      <c r="E851" s="3" t="s">
        <v>24</v>
      </c>
      <c r="F851" s="3" t="s">
        <v>20</v>
      </c>
      <c r="G851" s="3" t="s">
        <v>21</v>
      </c>
      <c r="H851" s="3" t="s">
        <v>22</v>
      </c>
      <c r="I851" s="4" t="n">
        <v>705</v>
      </c>
      <c r="J851" s="4" t="n">
        <v>0</v>
      </c>
      <c r="K851" s="4" t="n">
        <v>0</v>
      </c>
      <c r="L851" s="4" t="n">
        <f aca="false">IF(O851="Delivered",I851-J851+K851,0)</f>
        <v>705</v>
      </c>
      <c r="M851" s="0" t="n">
        <v>50</v>
      </c>
      <c r="N851" s="0" t="n">
        <v>4</v>
      </c>
      <c r="O851" s="3" t="s">
        <v>17</v>
      </c>
    </row>
    <row r="852" customFormat="false" ht="15" hidden="false" customHeight="false" outlineLevel="0" collapsed="false">
      <c r="A852" s="0" t="s">
        <v>1575</v>
      </c>
      <c r="B852" s="2" t="n">
        <v>45881</v>
      </c>
      <c r="C852" s="0" t="str">
        <f aca="false">TEXT(B852,"mmm")</f>
        <v>Aug</v>
      </c>
      <c r="D852" s="0" t="str">
        <f aca="false">TEXT(B852,"ddd")</f>
        <v>Tue</v>
      </c>
      <c r="E852" s="3" t="s">
        <v>13</v>
      </c>
      <c r="F852" s="3" t="s">
        <v>31</v>
      </c>
      <c r="G852" s="3" t="s">
        <v>21</v>
      </c>
      <c r="H852" s="3" t="s">
        <v>54</v>
      </c>
      <c r="I852" s="4" t="n">
        <v>483</v>
      </c>
      <c r="J852" s="4" t="n">
        <v>62</v>
      </c>
      <c r="K852" s="4" t="n">
        <v>30</v>
      </c>
      <c r="L852" s="4" t="n">
        <f aca="false">IF(O852="Delivered",I852-J852+K852,0)</f>
        <v>451</v>
      </c>
      <c r="M852" s="0" t="n">
        <v>32</v>
      </c>
      <c r="N852" s="0" t="n">
        <v>5</v>
      </c>
      <c r="O852" s="3" t="s">
        <v>17</v>
      </c>
    </row>
    <row r="853" customFormat="false" ht="15" hidden="false" customHeight="false" outlineLevel="0" collapsed="false">
      <c r="A853" s="0" t="s">
        <v>1626</v>
      </c>
      <c r="B853" s="2" t="n">
        <v>45881</v>
      </c>
      <c r="C853" s="0" t="str">
        <f aca="false">TEXT(B853,"mmm")</f>
        <v>Aug</v>
      </c>
      <c r="D853" s="0" t="str">
        <f aca="false">TEXT(B853,"ddd")</f>
        <v>Tue</v>
      </c>
      <c r="E853" s="3" t="s">
        <v>27</v>
      </c>
      <c r="F853" s="3" t="s">
        <v>56</v>
      </c>
      <c r="G853" s="3" t="s">
        <v>15</v>
      </c>
      <c r="H853" s="3" t="s">
        <v>34</v>
      </c>
      <c r="I853" s="4" t="n">
        <v>538</v>
      </c>
      <c r="J853" s="4" t="n">
        <v>0</v>
      </c>
      <c r="K853" s="4" t="n">
        <v>0</v>
      </c>
      <c r="L853" s="4" t="n">
        <f aca="false">IF(O853="Delivered",I853-J853+K853,0)</f>
        <v>538</v>
      </c>
      <c r="M853" s="0" t="n">
        <v>49</v>
      </c>
      <c r="N853" s="0" t="n">
        <v>4.2</v>
      </c>
      <c r="O853" s="3" t="s">
        <v>17</v>
      </c>
    </row>
    <row r="854" customFormat="false" ht="15" hidden="false" customHeight="false" outlineLevel="0" collapsed="false">
      <c r="A854" s="0" t="s">
        <v>203</v>
      </c>
      <c r="B854" s="2" t="n">
        <v>45882</v>
      </c>
      <c r="C854" s="0" t="str">
        <f aca="false">TEXT(B854,"mmm")</f>
        <v>Aug</v>
      </c>
      <c r="D854" s="0" t="str">
        <f aca="false">TEXT(B854,"ddd")</f>
        <v>Wed</v>
      </c>
      <c r="E854" s="3" t="s">
        <v>24</v>
      </c>
      <c r="F854" s="3" t="s">
        <v>31</v>
      </c>
      <c r="G854" s="3" t="s">
        <v>15</v>
      </c>
      <c r="H854" s="3" t="s">
        <v>34</v>
      </c>
      <c r="I854" s="4" t="n">
        <v>308</v>
      </c>
      <c r="J854" s="4" t="n">
        <v>0</v>
      </c>
      <c r="K854" s="4" t="n">
        <v>30</v>
      </c>
      <c r="L854" s="4" t="n">
        <f aca="false">IF(O854="Delivered",I854-J854+K854,0)</f>
        <v>338</v>
      </c>
      <c r="M854" s="0" t="n">
        <v>43</v>
      </c>
      <c r="N854" s="0" t="n">
        <v>3.6</v>
      </c>
      <c r="O854" s="3" t="s">
        <v>17</v>
      </c>
    </row>
    <row r="855" customFormat="false" ht="15" hidden="false" customHeight="false" outlineLevel="0" collapsed="false">
      <c r="A855" s="0" t="s">
        <v>360</v>
      </c>
      <c r="B855" s="2" t="n">
        <v>45882</v>
      </c>
      <c r="C855" s="0" t="str">
        <f aca="false">TEXT(B855,"mmm")</f>
        <v>Aug</v>
      </c>
      <c r="D855" s="0" t="str">
        <f aca="false">TEXT(B855,"ddd")</f>
        <v>Wed</v>
      </c>
      <c r="E855" s="3" t="s">
        <v>24</v>
      </c>
      <c r="F855" s="3" t="s">
        <v>31</v>
      </c>
      <c r="G855" s="3" t="s">
        <v>21</v>
      </c>
      <c r="H855" s="3" t="s">
        <v>36</v>
      </c>
      <c r="I855" s="4" t="n">
        <v>432</v>
      </c>
      <c r="J855" s="4" t="n">
        <v>0</v>
      </c>
      <c r="K855" s="4" t="n">
        <v>20</v>
      </c>
      <c r="L855" s="4" t="n">
        <f aca="false">IF(O855="Delivered",I855-J855+K855,0)</f>
        <v>452</v>
      </c>
      <c r="M855" s="0" t="n">
        <v>36</v>
      </c>
      <c r="N855" s="0" t="n">
        <v>3.6</v>
      </c>
      <c r="O855" s="3" t="s">
        <v>17</v>
      </c>
    </row>
    <row r="856" customFormat="false" ht="15" hidden="false" customHeight="false" outlineLevel="0" collapsed="false">
      <c r="A856" s="0" t="s">
        <v>1003</v>
      </c>
      <c r="B856" s="2" t="n">
        <v>45882</v>
      </c>
      <c r="C856" s="0" t="str">
        <f aca="false">TEXT(B856,"mmm")</f>
        <v>Aug</v>
      </c>
      <c r="D856" s="0" t="str">
        <f aca="false">TEXT(B856,"ddd")</f>
        <v>Wed</v>
      </c>
      <c r="E856" s="3" t="s">
        <v>45</v>
      </c>
      <c r="F856" s="3" t="s">
        <v>25</v>
      </c>
      <c r="G856" s="3" t="s">
        <v>21</v>
      </c>
      <c r="H856" s="3" t="s">
        <v>22</v>
      </c>
      <c r="I856" s="4" t="n">
        <v>475</v>
      </c>
      <c r="J856" s="4" t="n">
        <v>59</v>
      </c>
      <c r="K856" s="4" t="n">
        <v>45</v>
      </c>
      <c r="L856" s="4" t="n">
        <f aca="false">IF(O856="Delivered",I856-J856+K856,0)</f>
        <v>461</v>
      </c>
      <c r="M856" s="0" t="n">
        <v>24</v>
      </c>
      <c r="N856" s="0" t="n">
        <v>4.7</v>
      </c>
      <c r="O856" s="3" t="s">
        <v>17</v>
      </c>
    </row>
    <row r="857" customFormat="false" ht="15" hidden="false" customHeight="false" outlineLevel="0" collapsed="false">
      <c r="A857" s="0" t="s">
        <v>441</v>
      </c>
      <c r="B857" s="2" t="n">
        <v>45883</v>
      </c>
      <c r="C857" s="0" t="str">
        <f aca="false">TEXT(B857,"mmm")</f>
        <v>Aug</v>
      </c>
      <c r="D857" s="0" t="str">
        <f aca="false">TEXT(B857,"ddd")</f>
        <v>Thu</v>
      </c>
      <c r="E857" s="3" t="s">
        <v>13</v>
      </c>
      <c r="F857" s="3" t="s">
        <v>25</v>
      </c>
      <c r="G857" s="3" t="s">
        <v>15</v>
      </c>
      <c r="H857" s="3" t="s">
        <v>16</v>
      </c>
      <c r="I857" s="4" t="n">
        <v>474</v>
      </c>
      <c r="J857" s="4" t="n">
        <v>0</v>
      </c>
      <c r="K857" s="4" t="n">
        <v>40</v>
      </c>
      <c r="L857" s="4" t="n">
        <f aca="false">IF(O857="Delivered",I857-J857+K857,0)</f>
        <v>514</v>
      </c>
      <c r="M857" s="0" t="n">
        <v>51</v>
      </c>
      <c r="N857" s="0" t="n">
        <v>3.2</v>
      </c>
      <c r="O857" s="3" t="s">
        <v>17</v>
      </c>
    </row>
    <row r="858" customFormat="false" ht="15" hidden="false" customHeight="false" outlineLevel="0" collapsed="false">
      <c r="A858" s="0" t="s">
        <v>559</v>
      </c>
      <c r="B858" s="2" t="n">
        <v>45883</v>
      </c>
      <c r="C858" s="0" t="str">
        <f aca="false">TEXT(B858,"mmm")</f>
        <v>Aug</v>
      </c>
      <c r="D858" s="0" t="str">
        <f aca="false">TEXT(B858,"ddd")</f>
        <v>Thu</v>
      </c>
      <c r="E858" s="3" t="s">
        <v>27</v>
      </c>
      <c r="F858" s="3" t="s">
        <v>56</v>
      </c>
      <c r="G858" s="3" t="s">
        <v>15</v>
      </c>
      <c r="H858" s="3" t="s">
        <v>22</v>
      </c>
      <c r="I858" s="4" t="n">
        <v>480</v>
      </c>
      <c r="J858" s="4" t="n">
        <v>92</v>
      </c>
      <c r="K858" s="4" t="n">
        <v>40</v>
      </c>
      <c r="L858" s="4" t="n">
        <f aca="false">IF(O858="Delivered",I858-J858+K858,0)</f>
        <v>428</v>
      </c>
      <c r="M858" s="0" t="n">
        <v>37</v>
      </c>
      <c r="N858" s="0" t="n">
        <v>4.7</v>
      </c>
      <c r="O858" s="3" t="s">
        <v>17</v>
      </c>
    </row>
    <row r="859" customFormat="false" ht="15" hidden="false" customHeight="false" outlineLevel="0" collapsed="false">
      <c r="A859" s="0" t="s">
        <v>595</v>
      </c>
      <c r="B859" s="2" t="n">
        <v>45883</v>
      </c>
      <c r="C859" s="0" t="str">
        <f aca="false">TEXT(B859,"mmm")</f>
        <v>Aug</v>
      </c>
      <c r="D859" s="0" t="str">
        <f aca="false">TEXT(B859,"ddd")</f>
        <v>Thu</v>
      </c>
      <c r="E859" s="3" t="s">
        <v>19</v>
      </c>
      <c r="F859" s="3" t="s">
        <v>25</v>
      </c>
      <c r="G859" s="3" t="s">
        <v>21</v>
      </c>
      <c r="H859" s="3" t="s">
        <v>22</v>
      </c>
      <c r="I859" s="4" t="n">
        <v>529</v>
      </c>
      <c r="J859" s="4" t="n">
        <v>0</v>
      </c>
      <c r="K859" s="4" t="n">
        <v>0</v>
      </c>
      <c r="L859" s="4" t="n">
        <f aca="false">IF(O859="Delivered",I859-J859+K859,0)</f>
        <v>529</v>
      </c>
      <c r="M859" s="0" t="n">
        <v>39</v>
      </c>
      <c r="N859" s="0" t="n">
        <v>4.1</v>
      </c>
      <c r="O859" s="3" t="s">
        <v>17</v>
      </c>
    </row>
    <row r="860" customFormat="false" ht="15" hidden="false" customHeight="false" outlineLevel="0" collapsed="false">
      <c r="A860" s="0" t="s">
        <v>795</v>
      </c>
      <c r="B860" s="2" t="n">
        <v>45884</v>
      </c>
      <c r="C860" s="0" t="str">
        <f aca="false">TEXT(B860,"mmm")</f>
        <v>Aug</v>
      </c>
      <c r="D860" s="0" t="str">
        <f aca="false">TEXT(B860,"ddd")</f>
        <v>Fri</v>
      </c>
      <c r="E860" s="3" t="s">
        <v>24</v>
      </c>
      <c r="F860" s="3" t="s">
        <v>20</v>
      </c>
      <c r="G860" s="3" t="s">
        <v>21</v>
      </c>
      <c r="H860" s="3" t="s">
        <v>22</v>
      </c>
      <c r="I860" s="4" t="n">
        <v>498</v>
      </c>
      <c r="J860" s="4" t="n">
        <v>102</v>
      </c>
      <c r="K860" s="4" t="n">
        <v>40</v>
      </c>
      <c r="L860" s="4" t="n">
        <f aca="false">IF(O860="Delivered",I860-J860+K860,0)</f>
        <v>436</v>
      </c>
      <c r="M860" s="0" t="n">
        <v>39</v>
      </c>
      <c r="N860" s="0" t="n">
        <v>4.7</v>
      </c>
      <c r="O860" s="3" t="s">
        <v>17</v>
      </c>
    </row>
    <row r="861" customFormat="false" ht="15" hidden="false" customHeight="false" outlineLevel="0" collapsed="false">
      <c r="A861" s="0" t="s">
        <v>1433</v>
      </c>
      <c r="B861" s="2" t="n">
        <v>45884</v>
      </c>
      <c r="C861" s="0" t="str">
        <f aca="false">TEXT(B861,"mmm")</f>
        <v>Aug</v>
      </c>
      <c r="D861" s="0" t="str">
        <f aca="false">TEXT(B861,"ddd")</f>
        <v>Fri</v>
      </c>
      <c r="E861" s="3" t="s">
        <v>40</v>
      </c>
      <c r="F861" s="3" t="s">
        <v>28</v>
      </c>
      <c r="G861" s="3" t="s">
        <v>21</v>
      </c>
      <c r="H861" s="3" t="s">
        <v>16</v>
      </c>
      <c r="I861" s="4" t="n">
        <v>525</v>
      </c>
      <c r="J861" s="4" t="n">
        <v>0</v>
      </c>
      <c r="K861" s="4" t="n">
        <v>0</v>
      </c>
      <c r="L861" s="4" t="n">
        <f aca="false">IF(O861="Delivered",I861-J861+K861,0)</f>
        <v>525</v>
      </c>
      <c r="M861" s="0" t="n">
        <v>41</v>
      </c>
      <c r="O861" s="3" t="s">
        <v>17</v>
      </c>
    </row>
    <row r="862" customFormat="false" ht="15" hidden="false" customHeight="false" outlineLevel="0" collapsed="false">
      <c r="A862" s="0" t="s">
        <v>168</v>
      </c>
      <c r="B862" s="2" t="n">
        <v>45885</v>
      </c>
      <c r="C862" s="0" t="str">
        <f aca="false">TEXT(B862,"mmm")</f>
        <v>Aug</v>
      </c>
      <c r="D862" s="0" t="str">
        <f aca="false">TEXT(B862,"ddd")</f>
        <v>Sat</v>
      </c>
      <c r="E862" s="3" t="s">
        <v>24</v>
      </c>
      <c r="F862" s="3" t="s">
        <v>20</v>
      </c>
      <c r="G862" s="3" t="s">
        <v>21</v>
      </c>
      <c r="H862" s="3" t="s">
        <v>54</v>
      </c>
      <c r="I862" s="4" t="n">
        <v>791</v>
      </c>
      <c r="J862" s="4" t="n">
        <v>0</v>
      </c>
      <c r="K862" s="4" t="n">
        <v>0</v>
      </c>
      <c r="L862" s="4" t="n">
        <f aca="false">IF(O862="Delivered",I862-J862+K862,0)</f>
        <v>791</v>
      </c>
      <c r="M862" s="0" t="n">
        <v>44</v>
      </c>
      <c r="N862" s="0" t="n">
        <v>4.4</v>
      </c>
      <c r="O862" s="3" t="s">
        <v>17</v>
      </c>
    </row>
    <row r="863" customFormat="false" ht="15" hidden="false" customHeight="false" outlineLevel="0" collapsed="false">
      <c r="A863" s="0" t="s">
        <v>564</v>
      </c>
      <c r="B863" s="2" t="n">
        <v>45885</v>
      </c>
      <c r="C863" s="0" t="str">
        <f aca="false">TEXT(B863,"mmm")</f>
        <v>Aug</v>
      </c>
      <c r="D863" s="0" t="str">
        <f aca="false">TEXT(B863,"ddd")</f>
        <v>Sat</v>
      </c>
      <c r="E863" s="3" t="s">
        <v>13</v>
      </c>
      <c r="F863" s="3" t="s">
        <v>28</v>
      </c>
      <c r="G863" s="3" t="s">
        <v>15</v>
      </c>
      <c r="H863" s="3" t="s">
        <v>16</v>
      </c>
      <c r="I863" s="4" t="n">
        <v>501</v>
      </c>
      <c r="J863" s="4" t="n">
        <v>0</v>
      </c>
      <c r="K863" s="4" t="n">
        <v>0</v>
      </c>
      <c r="L863" s="4" t="n">
        <f aca="false">IF(O863="Delivered",I863-J863+K863,0)</f>
        <v>501</v>
      </c>
      <c r="M863" s="0" t="n">
        <v>30</v>
      </c>
      <c r="N863" s="0" t="n">
        <v>4.3</v>
      </c>
      <c r="O863" s="3" t="s">
        <v>17</v>
      </c>
    </row>
    <row r="864" customFormat="false" ht="15" hidden="false" customHeight="false" outlineLevel="0" collapsed="false">
      <c r="A864" s="0" t="s">
        <v>1482</v>
      </c>
      <c r="B864" s="2" t="n">
        <v>45885</v>
      </c>
      <c r="C864" s="0" t="str">
        <f aca="false">TEXT(B864,"mmm")</f>
        <v>Aug</v>
      </c>
      <c r="D864" s="0" t="str">
        <f aca="false">TEXT(B864,"ddd")</f>
        <v>Sat</v>
      </c>
      <c r="E864" s="3" t="s">
        <v>13</v>
      </c>
      <c r="F864" s="3" t="s">
        <v>25</v>
      </c>
      <c r="G864" s="3" t="s">
        <v>21</v>
      </c>
      <c r="H864" s="3" t="s">
        <v>22</v>
      </c>
      <c r="I864" s="4" t="n">
        <v>465</v>
      </c>
      <c r="J864" s="4" t="n">
        <v>99</v>
      </c>
      <c r="K864" s="4" t="n">
        <v>40</v>
      </c>
      <c r="L864" s="4" t="n">
        <f aca="false">IF(O864="Delivered",I864-J864+K864,0)</f>
        <v>406</v>
      </c>
      <c r="M864" s="0" t="n">
        <v>35</v>
      </c>
      <c r="N864" s="0" t="n">
        <v>4.1</v>
      </c>
      <c r="O864" s="3" t="s">
        <v>17</v>
      </c>
    </row>
    <row r="865" customFormat="false" ht="15" hidden="false" customHeight="false" outlineLevel="0" collapsed="false">
      <c r="A865" s="0" t="s">
        <v>176</v>
      </c>
      <c r="B865" s="2" t="n">
        <v>45886</v>
      </c>
      <c r="C865" s="0" t="str">
        <f aca="false">TEXT(B865,"mmm")</f>
        <v>Aug</v>
      </c>
      <c r="D865" s="0" t="str">
        <f aca="false">TEXT(B865,"ddd")</f>
        <v>Sun</v>
      </c>
      <c r="E865" s="3" t="s">
        <v>24</v>
      </c>
      <c r="F865" s="3" t="s">
        <v>31</v>
      </c>
      <c r="G865" s="3" t="s">
        <v>15</v>
      </c>
      <c r="H865" s="3" t="s">
        <v>22</v>
      </c>
      <c r="I865" s="4" t="n">
        <v>688</v>
      </c>
      <c r="J865" s="4" t="n">
        <v>86</v>
      </c>
      <c r="K865" s="4" t="n">
        <v>0</v>
      </c>
      <c r="L865" s="4" t="n">
        <f aca="false">IF(O865="Delivered",I865-J865+K865,0)</f>
        <v>602</v>
      </c>
      <c r="M865" s="0" t="n">
        <v>57</v>
      </c>
      <c r="N865" s="0" t="n">
        <v>3.9</v>
      </c>
      <c r="O865" s="3" t="s">
        <v>17</v>
      </c>
    </row>
    <row r="866" customFormat="false" ht="15" hidden="false" customHeight="false" outlineLevel="0" collapsed="false">
      <c r="A866" s="0" t="s">
        <v>190</v>
      </c>
      <c r="B866" s="2" t="n">
        <v>45886</v>
      </c>
      <c r="C866" s="0" t="str">
        <f aca="false">TEXT(B866,"mmm")</f>
        <v>Aug</v>
      </c>
      <c r="D866" s="0" t="str">
        <f aca="false">TEXT(B866,"ddd")</f>
        <v>Sun</v>
      </c>
      <c r="E866" s="3" t="s">
        <v>13</v>
      </c>
      <c r="F866" s="3" t="s">
        <v>31</v>
      </c>
      <c r="G866" s="3" t="s">
        <v>15</v>
      </c>
      <c r="H866" s="3" t="s">
        <v>36</v>
      </c>
      <c r="I866" s="4" t="n">
        <v>329</v>
      </c>
      <c r="J866" s="4" t="n">
        <v>0</v>
      </c>
      <c r="K866" s="4" t="n">
        <v>45</v>
      </c>
      <c r="L866" s="4" t="n">
        <f aca="false">IF(O866="Delivered",I866-J866+K866,0)</f>
        <v>374</v>
      </c>
      <c r="M866" s="0" t="n">
        <v>25</v>
      </c>
      <c r="N866" s="0" t="n">
        <v>3.7</v>
      </c>
      <c r="O866" s="3" t="s">
        <v>17</v>
      </c>
    </row>
    <row r="867" customFormat="false" ht="15" hidden="false" customHeight="false" outlineLevel="0" collapsed="false">
      <c r="A867" s="0" t="s">
        <v>281</v>
      </c>
      <c r="B867" s="2" t="n">
        <v>45886</v>
      </c>
      <c r="C867" s="0" t="str">
        <f aca="false">TEXT(B867,"mmm")</f>
        <v>Aug</v>
      </c>
      <c r="D867" s="0" t="str">
        <f aca="false">TEXT(B867,"ddd")</f>
        <v>Sun</v>
      </c>
      <c r="E867" s="3" t="s">
        <v>24</v>
      </c>
      <c r="F867" s="3" t="s">
        <v>28</v>
      </c>
      <c r="G867" s="3" t="s">
        <v>15</v>
      </c>
      <c r="H867" s="3" t="s">
        <v>36</v>
      </c>
      <c r="I867" s="4" t="n">
        <v>470</v>
      </c>
      <c r="J867" s="4" t="n">
        <v>77</v>
      </c>
      <c r="K867" s="4" t="n">
        <v>40</v>
      </c>
      <c r="L867" s="4" t="n">
        <f aca="false">IF(O867="Delivered",I867-J867+K867,0)</f>
        <v>433</v>
      </c>
      <c r="M867" s="0" t="n">
        <v>40</v>
      </c>
      <c r="N867" s="0" t="n">
        <v>4.3</v>
      </c>
      <c r="O867" s="3" t="s">
        <v>17</v>
      </c>
    </row>
    <row r="868" customFormat="false" ht="15" hidden="false" customHeight="false" outlineLevel="0" collapsed="false">
      <c r="A868" s="0" t="s">
        <v>1021</v>
      </c>
      <c r="B868" s="2" t="n">
        <v>45886</v>
      </c>
      <c r="C868" s="0" t="str">
        <f aca="false">TEXT(B868,"mmm")</f>
        <v>Aug</v>
      </c>
      <c r="D868" s="0" t="str">
        <f aca="false">TEXT(B868,"ddd")</f>
        <v>Sun</v>
      </c>
      <c r="E868" s="3" t="s">
        <v>13</v>
      </c>
      <c r="F868" s="3" t="s">
        <v>56</v>
      </c>
      <c r="G868" s="3" t="s">
        <v>21</v>
      </c>
      <c r="H868" s="3" t="s">
        <v>22</v>
      </c>
      <c r="I868" s="4" t="n">
        <v>492</v>
      </c>
      <c r="J868" s="4" t="n">
        <v>0</v>
      </c>
      <c r="K868" s="4" t="n">
        <v>45</v>
      </c>
      <c r="L868" s="4" t="n">
        <f aca="false">IF(O868="Delivered",I868-J868+K868,0)</f>
        <v>0</v>
      </c>
      <c r="O868" s="3" t="s">
        <v>68</v>
      </c>
    </row>
    <row r="869" customFormat="false" ht="15" hidden="false" customHeight="false" outlineLevel="0" collapsed="false">
      <c r="A869" s="0" t="s">
        <v>1073</v>
      </c>
      <c r="B869" s="2" t="n">
        <v>45886</v>
      </c>
      <c r="C869" s="0" t="str">
        <f aca="false">TEXT(B869,"mmm")</f>
        <v>Aug</v>
      </c>
      <c r="D869" s="0" t="str">
        <f aca="false">TEXT(B869,"ddd")</f>
        <v>Sun</v>
      </c>
      <c r="E869" s="3" t="s">
        <v>13</v>
      </c>
      <c r="F869" s="3" t="s">
        <v>31</v>
      </c>
      <c r="G869" s="3" t="s">
        <v>21</v>
      </c>
      <c r="H869" s="3" t="s">
        <v>22</v>
      </c>
      <c r="I869" s="4" t="n">
        <v>531</v>
      </c>
      <c r="J869" s="4" t="n">
        <v>80</v>
      </c>
      <c r="K869" s="4" t="n">
        <v>0</v>
      </c>
      <c r="L869" s="4" t="n">
        <f aca="false">IF(O869="Delivered",I869-J869+K869,0)</f>
        <v>451</v>
      </c>
      <c r="M869" s="0" t="n">
        <v>31</v>
      </c>
      <c r="N869" s="0" t="n">
        <v>3.9</v>
      </c>
      <c r="O869" s="3" t="s">
        <v>17</v>
      </c>
    </row>
    <row r="870" customFormat="false" ht="15" hidden="false" customHeight="false" outlineLevel="0" collapsed="false">
      <c r="A870" s="0" t="s">
        <v>672</v>
      </c>
      <c r="B870" s="2" t="n">
        <v>45887</v>
      </c>
      <c r="C870" s="0" t="str">
        <f aca="false">TEXT(B870,"mmm")</f>
        <v>Aug</v>
      </c>
      <c r="D870" s="0" t="str">
        <f aca="false">TEXT(B870,"ddd")</f>
        <v>Mon</v>
      </c>
      <c r="E870" s="3" t="s">
        <v>40</v>
      </c>
      <c r="F870" s="3" t="s">
        <v>20</v>
      </c>
      <c r="G870" s="3" t="s">
        <v>21</v>
      </c>
      <c r="H870" s="3" t="s">
        <v>54</v>
      </c>
      <c r="I870" s="4" t="n">
        <v>407</v>
      </c>
      <c r="J870" s="4" t="n">
        <v>0</v>
      </c>
      <c r="K870" s="4" t="n">
        <v>45</v>
      </c>
      <c r="L870" s="4" t="n">
        <f aca="false">IF(O870="Delivered",I870-J870+K870,0)</f>
        <v>452</v>
      </c>
      <c r="M870" s="0" t="n">
        <v>45</v>
      </c>
      <c r="N870" s="0" t="n">
        <v>3.5</v>
      </c>
      <c r="O870" s="3" t="s">
        <v>17</v>
      </c>
    </row>
    <row r="871" customFormat="false" ht="15" hidden="false" customHeight="false" outlineLevel="0" collapsed="false">
      <c r="A871" s="0" t="s">
        <v>948</v>
      </c>
      <c r="B871" s="2" t="n">
        <v>45887</v>
      </c>
      <c r="C871" s="0" t="str">
        <f aca="false">TEXT(B871,"mmm")</f>
        <v>Aug</v>
      </c>
      <c r="D871" s="0" t="str">
        <f aca="false">TEXT(B871,"ddd")</f>
        <v>Mon</v>
      </c>
      <c r="E871" s="3" t="s">
        <v>40</v>
      </c>
      <c r="F871" s="3" t="s">
        <v>31</v>
      </c>
      <c r="G871" s="3" t="s">
        <v>21</v>
      </c>
      <c r="H871" s="3" t="s">
        <v>22</v>
      </c>
      <c r="I871" s="4" t="n">
        <v>547</v>
      </c>
      <c r="J871" s="4" t="n">
        <v>120</v>
      </c>
      <c r="K871" s="4" t="n">
        <v>0</v>
      </c>
      <c r="L871" s="4" t="n">
        <f aca="false">IF(O871="Delivered",I871-J871+K871,0)</f>
        <v>427</v>
      </c>
      <c r="M871" s="0" t="n">
        <v>31</v>
      </c>
      <c r="N871" s="0" t="n">
        <v>5</v>
      </c>
      <c r="O871" s="3" t="s">
        <v>17</v>
      </c>
    </row>
    <row r="872" customFormat="false" ht="15" hidden="false" customHeight="false" outlineLevel="0" collapsed="false">
      <c r="A872" s="0" t="s">
        <v>1250</v>
      </c>
      <c r="B872" s="2" t="n">
        <v>45887</v>
      </c>
      <c r="C872" s="0" t="str">
        <f aca="false">TEXT(B872,"mmm")</f>
        <v>Aug</v>
      </c>
      <c r="D872" s="0" t="str">
        <f aca="false">TEXT(B872,"ddd")</f>
        <v>Mon</v>
      </c>
      <c r="E872" s="3" t="s">
        <v>24</v>
      </c>
      <c r="F872" s="3" t="s">
        <v>25</v>
      </c>
      <c r="G872" s="3" t="s">
        <v>21</v>
      </c>
      <c r="H872" s="3" t="s">
        <v>36</v>
      </c>
      <c r="I872" s="4" t="n">
        <v>615</v>
      </c>
      <c r="J872" s="4" t="n">
        <v>135</v>
      </c>
      <c r="K872" s="4" t="n">
        <v>0</v>
      </c>
      <c r="L872" s="4" t="n">
        <f aca="false">IF(O872="Delivered",I872-J872+K872,0)</f>
        <v>480</v>
      </c>
      <c r="M872" s="0" t="n">
        <v>56</v>
      </c>
      <c r="N872" s="0" t="n">
        <v>3.9</v>
      </c>
      <c r="O872" s="3" t="s">
        <v>17</v>
      </c>
    </row>
    <row r="873" customFormat="false" ht="15" hidden="false" customHeight="false" outlineLevel="0" collapsed="false">
      <c r="A873" s="0" t="s">
        <v>1396</v>
      </c>
      <c r="B873" s="2" t="n">
        <v>45887</v>
      </c>
      <c r="C873" s="0" t="str">
        <f aca="false">TEXT(B873,"mmm")</f>
        <v>Aug</v>
      </c>
      <c r="D873" s="0" t="str">
        <f aca="false">TEXT(B873,"ddd")</f>
        <v>Mon</v>
      </c>
      <c r="E873" s="3" t="s">
        <v>24</v>
      </c>
      <c r="F873" s="3" t="s">
        <v>31</v>
      </c>
      <c r="G873" s="3" t="s">
        <v>21</v>
      </c>
      <c r="H873" s="3" t="s">
        <v>22</v>
      </c>
      <c r="I873" s="4" t="n">
        <v>557</v>
      </c>
      <c r="J873" s="4" t="n">
        <v>110</v>
      </c>
      <c r="K873" s="4" t="n">
        <v>0</v>
      </c>
      <c r="L873" s="4" t="n">
        <f aca="false">IF(O873="Delivered",I873-J873+K873,0)</f>
        <v>0</v>
      </c>
      <c r="O873" s="3" t="s">
        <v>68</v>
      </c>
    </row>
    <row r="874" customFormat="false" ht="15" hidden="false" customHeight="false" outlineLevel="0" collapsed="false">
      <c r="A874" s="0" t="s">
        <v>1442</v>
      </c>
      <c r="B874" s="2" t="n">
        <v>45887</v>
      </c>
      <c r="C874" s="0" t="str">
        <f aca="false">TEXT(B874,"mmm")</f>
        <v>Aug</v>
      </c>
      <c r="D874" s="0" t="str">
        <f aca="false">TEXT(B874,"ddd")</f>
        <v>Mon</v>
      </c>
      <c r="E874" s="3" t="s">
        <v>40</v>
      </c>
      <c r="F874" s="3" t="s">
        <v>14</v>
      </c>
      <c r="G874" s="3" t="s">
        <v>21</v>
      </c>
      <c r="H874" s="3" t="s">
        <v>22</v>
      </c>
      <c r="I874" s="4" t="n">
        <v>319</v>
      </c>
      <c r="J874" s="4" t="n">
        <v>0</v>
      </c>
      <c r="K874" s="4" t="n">
        <v>20</v>
      </c>
      <c r="L874" s="4" t="n">
        <f aca="false">IF(O874="Delivered",I874-J874+K874,0)</f>
        <v>339</v>
      </c>
      <c r="M874" s="0" t="n">
        <v>33</v>
      </c>
      <c r="N874" s="0" t="n">
        <v>4.4</v>
      </c>
      <c r="O874" s="3" t="s">
        <v>17</v>
      </c>
    </row>
    <row r="875" customFormat="false" ht="15" hidden="false" customHeight="false" outlineLevel="0" collapsed="false">
      <c r="A875" s="0" t="s">
        <v>187</v>
      </c>
      <c r="B875" s="2" t="n">
        <v>45888</v>
      </c>
      <c r="C875" s="0" t="str">
        <f aca="false">TEXT(B875,"mmm")</f>
        <v>Aug</v>
      </c>
      <c r="D875" s="0" t="str">
        <f aca="false">TEXT(B875,"ddd")</f>
        <v>Tue</v>
      </c>
      <c r="E875" s="3" t="s">
        <v>27</v>
      </c>
      <c r="F875" s="3" t="s">
        <v>49</v>
      </c>
      <c r="G875" s="3" t="s">
        <v>15</v>
      </c>
      <c r="H875" s="3" t="s">
        <v>22</v>
      </c>
      <c r="I875" s="4" t="n">
        <v>398</v>
      </c>
      <c r="J875" s="4" t="n">
        <v>57</v>
      </c>
      <c r="K875" s="4" t="n">
        <v>20</v>
      </c>
      <c r="L875" s="4" t="n">
        <f aca="false">IF(O875="Delivered",I875-J875+K875,0)</f>
        <v>361</v>
      </c>
      <c r="M875" s="0" t="n">
        <v>48</v>
      </c>
      <c r="N875" s="0" t="n">
        <v>2.7</v>
      </c>
      <c r="O875" s="3" t="s">
        <v>17</v>
      </c>
    </row>
    <row r="876" customFormat="false" ht="15" hidden="false" customHeight="false" outlineLevel="0" collapsed="false">
      <c r="A876" s="0" t="s">
        <v>485</v>
      </c>
      <c r="B876" s="2" t="n">
        <v>45888</v>
      </c>
      <c r="C876" s="0" t="str">
        <f aca="false">TEXT(B876,"mmm")</f>
        <v>Aug</v>
      </c>
      <c r="D876" s="0" t="str">
        <f aca="false">TEXT(B876,"ddd")</f>
        <v>Tue</v>
      </c>
      <c r="E876" s="3" t="s">
        <v>27</v>
      </c>
      <c r="F876" s="3" t="s">
        <v>78</v>
      </c>
      <c r="G876" s="3" t="s">
        <v>21</v>
      </c>
      <c r="H876" s="3" t="s">
        <v>22</v>
      </c>
      <c r="I876" s="4" t="n">
        <v>293</v>
      </c>
      <c r="J876" s="4" t="n">
        <v>0</v>
      </c>
      <c r="K876" s="4" t="n">
        <v>30</v>
      </c>
      <c r="L876" s="4" t="n">
        <f aca="false">IF(O876="Delivered",I876-J876+K876,0)</f>
        <v>323</v>
      </c>
      <c r="M876" s="0" t="n">
        <v>29</v>
      </c>
      <c r="N876" s="0" t="n">
        <v>3.7</v>
      </c>
      <c r="O876" s="3" t="s">
        <v>17</v>
      </c>
    </row>
    <row r="877" customFormat="false" ht="15" hidden="false" customHeight="false" outlineLevel="0" collapsed="false">
      <c r="A877" s="0" t="s">
        <v>586</v>
      </c>
      <c r="B877" s="2" t="n">
        <v>45888</v>
      </c>
      <c r="C877" s="0" t="str">
        <f aca="false">TEXT(B877,"mmm")</f>
        <v>Aug</v>
      </c>
      <c r="D877" s="0" t="str">
        <f aca="false">TEXT(B877,"ddd")</f>
        <v>Tue</v>
      </c>
      <c r="E877" s="3" t="s">
        <v>45</v>
      </c>
      <c r="F877" s="3" t="s">
        <v>14</v>
      </c>
      <c r="G877" s="3" t="s">
        <v>15</v>
      </c>
      <c r="H877" s="3" t="s">
        <v>36</v>
      </c>
      <c r="I877" s="4" t="n">
        <v>348</v>
      </c>
      <c r="J877" s="4" t="n">
        <v>85</v>
      </c>
      <c r="K877" s="4" t="n">
        <v>40</v>
      </c>
      <c r="L877" s="4" t="n">
        <f aca="false">IF(O877="Delivered",I877-J877+K877,0)</f>
        <v>303</v>
      </c>
      <c r="M877" s="0" t="n">
        <v>43</v>
      </c>
      <c r="N877" s="0" t="n">
        <v>3.5</v>
      </c>
      <c r="O877" s="3" t="s">
        <v>17</v>
      </c>
    </row>
    <row r="878" customFormat="false" ht="15" hidden="false" customHeight="false" outlineLevel="0" collapsed="false">
      <c r="A878" s="0" t="s">
        <v>695</v>
      </c>
      <c r="B878" s="2" t="n">
        <v>45888</v>
      </c>
      <c r="C878" s="0" t="str">
        <f aca="false">TEXT(B878,"mmm")</f>
        <v>Aug</v>
      </c>
      <c r="D878" s="0" t="str">
        <f aca="false">TEXT(B878,"ddd")</f>
        <v>Tue</v>
      </c>
      <c r="E878" s="3" t="s">
        <v>40</v>
      </c>
      <c r="F878" s="3" t="s">
        <v>25</v>
      </c>
      <c r="G878" s="3" t="s">
        <v>15</v>
      </c>
      <c r="H878" s="3" t="s">
        <v>36</v>
      </c>
      <c r="I878" s="4" t="n">
        <v>420</v>
      </c>
      <c r="J878" s="4" t="n">
        <v>53</v>
      </c>
      <c r="K878" s="4" t="n">
        <v>20</v>
      </c>
      <c r="L878" s="4" t="n">
        <f aca="false">IF(O878="Delivered",I878-J878+K878,0)</f>
        <v>387</v>
      </c>
      <c r="M878" s="0" t="n">
        <v>39</v>
      </c>
      <c r="N878" s="0" t="n">
        <v>4</v>
      </c>
      <c r="O878" s="3" t="s">
        <v>17</v>
      </c>
    </row>
    <row r="879" customFormat="false" ht="15" hidden="false" customHeight="false" outlineLevel="0" collapsed="false">
      <c r="A879" s="0" t="s">
        <v>1448</v>
      </c>
      <c r="B879" s="2" t="n">
        <v>45888</v>
      </c>
      <c r="C879" s="0" t="str">
        <f aca="false">TEXT(B879,"mmm")</f>
        <v>Aug</v>
      </c>
      <c r="D879" s="0" t="str">
        <f aca="false">TEXT(B879,"ddd")</f>
        <v>Tue</v>
      </c>
      <c r="E879" s="3" t="s">
        <v>40</v>
      </c>
      <c r="F879" s="3" t="s">
        <v>28</v>
      </c>
      <c r="G879" s="3" t="s">
        <v>15</v>
      </c>
      <c r="H879" s="3" t="s">
        <v>36</v>
      </c>
      <c r="I879" s="4" t="n">
        <v>555</v>
      </c>
      <c r="J879" s="4" t="n">
        <v>0</v>
      </c>
      <c r="K879" s="4" t="n">
        <v>0</v>
      </c>
      <c r="L879" s="4" t="n">
        <f aca="false">IF(O879="Delivered",I879-J879+K879,0)</f>
        <v>555</v>
      </c>
      <c r="M879" s="0" t="n">
        <v>39</v>
      </c>
      <c r="N879" s="0" t="n">
        <v>4.5</v>
      </c>
      <c r="O879" s="3" t="s">
        <v>17</v>
      </c>
    </row>
    <row r="880" customFormat="false" ht="15" hidden="false" customHeight="false" outlineLevel="0" collapsed="false">
      <c r="A880" s="0" t="s">
        <v>192</v>
      </c>
      <c r="B880" s="2" t="n">
        <v>45889</v>
      </c>
      <c r="C880" s="0" t="str">
        <f aca="false">TEXT(B880,"mmm")</f>
        <v>Aug</v>
      </c>
      <c r="D880" s="0" t="str">
        <f aca="false">TEXT(B880,"ddd")</f>
        <v>Wed</v>
      </c>
      <c r="E880" s="3" t="s">
        <v>19</v>
      </c>
      <c r="F880" s="3" t="s">
        <v>28</v>
      </c>
      <c r="G880" s="3" t="s">
        <v>21</v>
      </c>
      <c r="H880" s="3" t="s">
        <v>22</v>
      </c>
      <c r="I880" s="4" t="n">
        <v>515</v>
      </c>
      <c r="J880" s="4" t="n">
        <v>77</v>
      </c>
      <c r="K880" s="4" t="n">
        <v>0</v>
      </c>
      <c r="L880" s="4" t="n">
        <f aca="false">IF(O880="Delivered",I880-J880+K880,0)</f>
        <v>438</v>
      </c>
      <c r="M880" s="0" t="n">
        <v>29</v>
      </c>
      <c r="N880" s="0" t="n">
        <v>4.4</v>
      </c>
      <c r="O880" s="3" t="s">
        <v>17</v>
      </c>
    </row>
    <row r="881" customFormat="false" ht="15" hidden="false" customHeight="false" outlineLevel="0" collapsed="false">
      <c r="A881" s="0" t="s">
        <v>347</v>
      </c>
      <c r="B881" s="2" t="n">
        <v>45889</v>
      </c>
      <c r="C881" s="0" t="str">
        <f aca="false">TEXT(B881,"mmm")</f>
        <v>Aug</v>
      </c>
      <c r="D881" s="0" t="str">
        <f aca="false">TEXT(B881,"ddd")</f>
        <v>Wed</v>
      </c>
      <c r="E881" s="3" t="s">
        <v>45</v>
      </c>
      <c r="F881" s="3" t="s">
        <v>28</v>
      </c>
      <c r="G881" s="3" t="s">
        <v>21</v>
      </c>
      <c r="H881" s="3" t="s">
        <v>22</v>
      </c>
      <c r="I881" s="4" t="n">
        <v>518</v>
      </c>
      <c r="J881" s="4" t="n">
        <v>0</v>
      </c>
      <c r="K881" s="4" t="n">
        <v>0</v>
      </c>
      <c r="L881" s="4" t="n">
        <f aca="false">IF(O881="Delivered",I881-J881+K881,0)</f>
        <v>518</v>
      </c>
      <c r="M881" s="0" t="n">
        <v>29</v>
      </c>
      <c r="N881" s="0" t="n">
        <v>4.2</v>
      </c>
      <c r="O881" s="3" t="s">
        <v>17</v>
      </c>
    </row>
    <row r="882" customFormat="false" ht="15" hidden="false" customHeight="false" outlineLevel="0" collapsed="false">
      <c r="A882" s="0" t="s">
        <v>436</v>
      </c>
      <c r="B882" s="2" t="n">
        <v>45889</v>
      </c>
      <c r="C882" s="0" t="str">
        <f aca="false">TEXT(B882,"mmm")</f>
        <v>Aug</v>
      </c>
      <c r="D882" s="0" t="str">
        <f aca="false">TEXT(B882,"ddd")</f>
        <v>Wed</v>
      </c>
      <c r="E882" s="3" t="s">
        <v>27</v>
      </c>
      <c r="F882" s="3" t="s">
        <v>28</v>
      </c>
      <c r="G882" s="3" t="s">
        <v>15</v>
      </c>
      <c r="H882" s="3" t="s">
        <v>16</v>
      </c>
      <c r="I882" s="4" t="n">
        <v>508</v>
      </c>
      <c r="J882" s="4" t="n">
        <v>105</v>
      </c>
      <c r="K882" s="4" t="n">
        <v>0</v>
      </c>
      <c r="L882" s="4" t="n">
        <f aca="false">IF(O882="Delivered",I882-J882+K882,0)</f>
        <v>403</v>
      </c>
      <c r="M882" s="0" t="n">
        <v>46</v>
      </c>
      <c r="N882" s="0" t="n">
        <v>3.7</v>
      </c>
      <c r="O882" s="3" t="s">
        <v>17</v>
      </c>
    </row>
    <row r="883" customFormat="false" ht="15" hidden="false" customHeight="false" outlineLevel="0" collapsed="false">
      <c r="A883" s="0" t="s">
        <v>781</v>
      </c>
      <c r="B883" s="2" t="n">
        <v>45889</v>
      </c>
      <c r="C883" s="0" t="str">
        <f aca="false">TEXT(B883,"mmm")</f>
        <v>Aug</v>
      </c>
      <c r="D883" s="0" t="str">
        <f aca="false">TEXT(B883,"ddd")</f>
        <v>Wed</v>
      </c>
      <c r="E883" s="3" t="s">
        <v>27</v>
      </c>
      <c r="F883" s="3" t="s">
        <v>14</v>
      </c>
      <c r="G883" s="3" t="s">
        <v>21</v>
      </c>
      <c r="H883" s="3" t="s">
        <v>36</v>
      </c>
      <c r="I883" s="4" t="n">
        <v>187</v>
      </c>
      <c r="J883" s="4" t="n">
        <v>0</v>
      </c>
      <c r="K883" s="4" t="n">
        <v>45</v>
      </c>
      <c r="L883" s="4" t="n">
        <f aca="false">IF(O883="Delivered",I883-J883+K883,0)</f>
        <v>232</v>
      </c>
      <c r="M883" s="0" t="n">
        <v>40</v>
      </c>
      <c r="N883" s="0" t="n">
        <v>3.5</v>
      </c>
      <c r="O883" s="3" t="s">
        <v>17</v>
      </c>
    </row>
    <row r="884" customFormat="false" ht="15" hidden="false" customHeight="false" outlineLevel="0" collapsed="false">
      <c r="A884" s="0" t="s">
        <v>825</v>
      </c>
      <c r="B884" s="2" t="n">
        <v>45889</v>
      </c>
      <c r="C884" s="0" t="str">
        <f aca="false">TEXT(B884,"mmm")</f>
        <v>Aug</v>
      </c>
      <c r="D884" s="0" t="str">
        <f aca="false">TEXT(B884,"ddd")</f>
        <v>Wed</v>
      </c>
      <c r="E884" s="3" t="s">
        <v>27</v>
      </c>
      <c r="F884" s="3" t="s">
        <v>31</v>
      </c>
      <c r="G884" s="3" t="s">
        <v>15</v>
      </c>
      <c r="H884" s="3" t="s">
        <v>22</v>
      </c>
      <c r="I884" s="4" t="n">
        <v>569</v>
      </c>
      <c r="J884" s="4" t="n">
        <v>94</v>
      </c>
      <c r="K884" s="4" t="n">
        <v>0</v>
      </c>
      <c r="L884" s="4" t="n">
        <f aca="false">IF(O884="Delivered",I884-J884+K884,0)</f>
        <v>475</v>
      </c>
      <c r="M884" s="0" t="n">
        <v>43</v>
      </c>
      <c r="N884" s="0" t="n">
        <v>5</v>
      </c>
      <c r="O884" s="3" t="s">
        <v>17</v>
      </c>
    </row>
    <row r="885" customFormat="false" ht="15" hidden="false" customHeight="false" outlineLevel="0" collapsed="false">
      <c r="A885" s="0" t="s">
        <v>905</v>
      </c>
      <c r="B885" s="2" t="n">
        <v>45889</v>
      </c>
      <c r="C885" s="0" t="str">
        <f aca="false">TEXT(B885,"mmm")</f>
        <v>Aug</v>
      </c>
      <c r="D885" s="0" t="str">
        <f aca="false">TEXT(B885,"ddd")</f>
        <v>Wed</v>
      </c>
      <c r="E885" s="3" t="s">
        <v>13</v>
      </c>
      <c r="F885" s="3" t="s">
        <v>28</v>
      </c>
      <c r="G885" s="3" t="s">
        <v>21</v>
      </c>
      <c r="H885" s="3" t="s">
        <v>16</v>
      </c>
      <c r="I885" s="4" t="n">
        <v>524</v>
      </c>
      <c r="J885" s="4" t="n">
        <v>78</v>
      </c>
      <c r="K885" s="4" t="n">
        <v>0</v>
      </c>
      <c r="L885" s="4" t="n">
        <f aca="false">IF(O885="Delivered",I885-J885+K885,0)</f>
        <v>446</v>
      </c>
      <c r="M885" s="0" t="n">
        <v>36</v>
      </c>
      <c r="N885" s="0" t="n">
        <v>4.2</v>
      </c>
      <c r="O885" s="3" t="s">
        <v>17</v>
      </c>
    </row>
    <row r="886" customFormat="false" ht="15" hidden="false" customHeight="false" outlineLevel="0" collapsed="false">
      <c r="A886" s="0" t="s">
        <v>333</v>
      </c>
      <c r="B886" s="2" t="n">
        <v>45890</v>
      </c>
      <c r="C886" s="0" t="str">
        <f aca="false">TEXT(B886,"mmm")</f>
        <v>Aug</v>
      </c>
      <c r="D886" s="0" t="str">
        <f aca="false">TEXT(B886,"ddd")</f>
        <v>Thu</v>
      </c>
      <c r="E886" s="3" t="s">
        <v>51</v>
      </c>
      <c r="F886" s="3" t="s">
        <v>31</v>
      </c>
      <c r="G886" s="3" t="s">
        <v>21</v>
      </c>
      <c r="H886" s="3" t="s">
        <v>22</v>
      </c>
      <c r="I886" s="4" t="n">
        <v>582</v>
      </c>
      <c r="J886" s="4" t="n">
        <v>0</v>
      </c>
      <c r="K886" s="4" t="n">
        <v>0</v>
      </c>
      <c r="L886" s="4" t="n">
        <f aca="false">IF(O886="Delivered",I886-J886+K886,0)</f>
        <v>582</v>
      </c>
      <c r="M886" s="0" t="n">
        <v>39</v>
      </c>
      <c r="N886" s="0" t="n">
        <v>5</v>
      </c>
      <c r="O886" s="3" t="s">
        <v>17</v>
      </c>
    </row>
    <row r="887" customFormat="false" ht="15" hidden="false" customHeight="false" outlineLevel="0" collapsed="false">
      <c r="A887" s="0" t="s">
        <v>429</v>
      </c>
      <c r="B887" s="2" t="n">
        <v>45890</v>
      </c>
      <c r="C887" s="0" t="str">
        <f aca="false">TEXT(B887,"mmm")</f>
        <v>Aug</v>
      </c>
      <c r="D887" s="0" t="str">
        <f aca="false">TEXT(B887,"ddd")</f>
        <v>Thu</v>
      </c>
      <c r="E887" s="3" t="s">
        <v>51</v>
      </c>
      <c r="F887" s="3" t="s">
        <v>31</v>
      </c>
      <c r="G887" s="3" t="s">
        <v>21</v>
      </c>
      <c r="H887" s="3" t="s">
        <v>16</v>
      </c>
      <c r="I887" s="4" t="n">
        <v>370</v>
      </c>
      <c r="J887" s="4" t="n">
        <v>0</v>
      </c>
      <c r="K887" s="4" t="n">
        <v>45</v>
      </c>
      <c r="L887" s="4" t="n">
        <f aca="false">IF(O887="Delivered",I887-J887+K887,0)</f>
        <v>415</v>
      </c>
      <c r="M887" s="0" t="n">
        <v>46</v>
      </c>
      <c r="N887" s="0" t="n">
        <v>3.5</v>
      </c>
      <c r="O887" s="3" t="s">
        <v>17</v>
      </c>
    </row>
    <row r="888" customFormat="false" ht="15" hidden="false" customHeight="false" outlineLevel="0" collapsed="false">
      <c r="A888" s="0" t="s">
        <v>938</v>
      </c>
      <c r="B888" s="2" t="n">
        <v>45890</v>
      </c>
      <c r="C888" s="0" t="str">
        <f aca="false">TEXT(B888,"mmm")</f>
        <v>Aug</v>
      </c>
      <c r="D888" s="0" t="str">
        <f aca="false">TEXT(B888,"ddd")</f>
        <v>Thu</v>
      </c>
      <c r="E888" s="3" t="s">
        <v>27</v>
      </c>
      <c r="F888" s="3" t="s">
        <v>31</v>
      </c>
      <c r="G888" s="3" t="s">
        <v>15</v>
      </c>
      <c r="H888" s="3" t="s">
        <v>22</v>
      </c>
      <c r="I888" s="4" t="n">
        <v>466</v>
      </c>
      <c r="J888" s="4" t="n">
        <v>77</v>
      </c>
      <c r="K888" s="4" t="n">
        <v>45</v>
      </c>
      <c r="L888" s="4" t="n">
        <f aca="false">IF(O888="Delivered",I888-J888+K888,0)</f>
        <v>434</v>
      </c>
      <c r="M888" s="0" t="n">
        <v>32</v>
      </c>
      <c r="N888" s="0" t="n">
        <v>4</v>
      </c>
      <c r="O888" s="3" t="s">
        <v>17</v>
      </c>
    </row>
    <row r="889" customFormat="false" ht="15" hidden="false" customHeight="false" outlineLevel="0" collapsed="false">
      <c r="A889" s="0" t="s">
        <v>1510</v>
      </c>
      <c r="B889" s="2" t="n">
        <v>45890</v>
      </c>
      <c r="C889" s="0" t="str">
        <f aca="false">TEXT(B889,"mmm")</f>
        <v>Aug</v>
      </c>
      <c r="D889" s="0" t="str">
        <f aca="false">TEXT(B889,"ddd")</f>
        <v>Thu</v>
      </c>
      <c r="E889" s="3" t="s">
        <v>24</v>
      </c>
      <c r="F889" s="3" t="s">
        <v>31</v>
      </c>
      <c r="G889" s="3" t="s">
        <v>21</v>
      </c>
      <c r="H889" s="3" t="s">
        <v>16</v>
      </c>
      <c r="I889" s="4" t="n">
        <v>554</v>
      </c>
      <c r="J889" s="4" t="n">
        <v>0</v>
      </c>
      <c r="K889" s="4" t="n">
        <v>0</v>
      </c>
      <c r="L889" s="4" t="n">
        <f aca="false">IF(O889="Delivered",I889-J889+K889,0)</f>
        <v>554</v>
      </c>
      <c r="M889" s="0" t="n">
        <v>29</v>
      </c>
      <c r="N889" s="0" t="n">
        <v>4.4</v>
      </c>
      <c r="O889" s="3" t="s">
        <v>17</v>
      </c>
    </row>
    <row r="890" customFormat="false" ht="15" hidden="false" customHeight="false" outlineLevel="0" collapsed="false">
      <c r="A890" s="0" t="s">
        <v>1668</v>
      </c>
      <c r="B890" s="2" t="n">
        <v>45890</v>
      </c>
      <c r="C890" s="0" t="str">
        <f aca="false">TEXT(B890,"mmm")</f>
        <v>Aug</v>
      </c>
      <c r="D890" s="0" t="str">
        <f aca="false">TEXT(B890,"ddd")</f>
        <v>Thu</v>
      </c>
      <c r="E890" s="3" t="s">
        <v>40</v>
      </c>
      <c r="F890" s="3" t="s">
        <v>14</v>
      </c>
      <c r="G890" s="3" t="s">
        <v>21</v>
      </c>
      <c r="H890" s="3" t="s">
        <v>16</v>
      </c>
      <c r="I890" s="4" t="n">
        <v>245</v>
      </c>
      <c r="J890" s="4" t="n">
        <v>33</v>
      </c>
      <c r="K890" s="4" t="n">
        <v>20</v>
      </c>
      <c r="L890" s="4" t="n">
        <f aca="false">IF(O890="Delivered",I890-J890+K890,0)</f>
        <v>232</v>
      </c>
      <c r="M890" s="0" t="n">
        <v>35</v>
      </c>
      <c r="N890" s="0" t="n">
        <v>4.7</v>
      </c>
      <c r="O890" s="3" t="s">
        <v>17</v>
      </c>
    </row>
    <row r="891" customFormat="false" ht="15" hidden="false" customHeight="false" outlineLevel="0" collapsed="false">
      <c r="A891" s="0" t="s">
        <v>305</v>
      </c>
      <c r="B891" s="2" t="n">
        <v>45891</v>
      </c>
      <c r="C891" s="0" t="str">
        <f aca="false">TEXT(B891,"mmm")</f>
        <v>Aug</v>
      </c>
      <c r="D891" s="0" t="str">
        <f aca="false">TEXT(B891,"ddd")</f>
        <v>Fri</v>
      </c>
      <c r="E891" s="3" t="s">
        <v>24</v>
      </c>
      <c r="F891" s="3" t="s">
        <v>31</v>
      </c>
      <c r="G891" s="3" t="s">
        <v>15</v>
      </c>
      <c r="H891" s="3" t="s">
        <v>22</v>
      </c>
      <c r="I891" s="4" t="n">
        <v>546</v>
      </c>
      <c r="J891" s="4" t="n">
        <v>112</v>
      </c>
      <c r="K891" s="4" t="n">
        <v>0</v>
      </c>
      <c r="L891" s="4" t="n">
        <f aca="false">IF(O891="Delivered",I891-J891+K891,0)</f>
        <v>434</v>
      </c>
      <c r="M891" s="0" t="n">
        <v>31</v>
      </c>
      <c r="N891" s="0" t="n">
        <v>5</v>
      </c>
      <c r="O891" s="3" t="s">
        <v>17</v>
      </c>
    </row>
    <row r="892" customFormat="false" ht="15" hidden="false" customHeight="false" outlineLevel="0" collapsed="false">
      <c r="A892" s="0" t="s">
        <v>798</v>
      </c>
      <c r="B892" s="2" t="n">
        <v>45891</v>
      </c>
      <c r="C892" s="0" t="str">
        <f aca="false">TEXT(B892,"mmm")</f>
        <v>Aug</v>
      </c>
      <c r="D892" s="0" t="str">
        <f aca="false">TEXT(B892,"ddd")</f>
        <v>Fri</v>
      </c>
      <c r="E892" s="3" t="s">
        <v>24</v>
      </c>
      <c r="F892" s="3" t="s">
        <v>14</v>
      </c>
      <c r="G892" s="3" t="s">
        <v>15</v>
      </c>
      <c r="H892" s="3" t="s">
        <v>36</v>
      </c>
      <c r="I892" s="4" t="n">
        <v>354</v>
      </c>
      <c r="J892" s="4" t="n">
        <v>0</v>
      </c>
      <c r="K892" s="4" t="n">
        <v>20</v>
      </c>
      <c r="L892" s="4" t="n">
        <f aca="false">IF(O892="Delivered",I892-J892+K892,0)</f>
        <v>374</v>
      </c>
      <c r="M892" s="0" t="n">
        <v>39</v>
      </c>
      <c r="N892" s="0" t="n">
        <v>4.8</v>
      </c>
      <c r="O892" s="3" t="s">
        <v>17</v>
      </c>
    </row>
    <row r="893" customFormat="false" ht="15" hidden="false" customHeight="false" outlineLevel="0" collapsed="false">
      <c r="A893" s="0" t="s">
        <v>957</v>
      </c>
      <c r="B893" s="2" t="n">
        <v>45891</v>
      </c>
      <c r="C893" s="0" t="str">
        <f aca="false">TEXT(B893,"mmm")</f>
        <v>Aug</v>
      </c>
      <c r="D893" s="0" t="str">
        <f aca="false">TEXT(B893,"ddd")</f>
        <v>Fri</v>
      </c>
      <c r="E893" s="3" t="s">
        <v>40</v>
      </c>
      <c r="F893" s="3" t="s">
        <v>20</v>
      </c>
      <c r="G893" s="3" t="s">
        <v>21</v>
      </c>
      <c r="H893" s="3" t="s">
        <v>54</v>
      </c>
      <c r="I893" s="4" t="n">
        <v>552</v>
      </c>
      <c r="J893" s="4" t="n">
        <v>0</v>
      </c>
      <c r="K893" s="4" t="n">
        <v>0</v>
      </c>
      <c r="L893" s="4" t="n">
        <f aca="false">IF(O893="Delivered",I893-J893+K893,0)</f>
        <v>552</v>
      </c>
      <c r="M893" s="0" t="n">
        <v>45</v>
      </c>
      <c r="N893" s="0" t="n">
        <v>3.3</v>
      </c>
      <c r="O893" s="3" t="s">
        <v>17</v>
      </c>
    </row>
    <row r="894" customFormat="false" ht="15" hidden="false" customHeight="false" outlineLevel="0" collapsed="false">
      <c r="A894" s="0" t="s">
        <v>962</v>
      </c>
      <c r="B894" s="2" t="n">
        <v>45891</v>
      </c>
      <c r="C894" s="0" t="str">
        <f aca="false">TEXT(B894,"mmm")</f>
        <v>Aug</v>
      </c>
      <c r="D894" s="0" t="str">
        <f aca="false">TEXT(B894,"ddd")</f>
        <v>Fri</v>
      </c>
      <c r="E894" s="3" t="s">
        <v>24</v>
      </c>
      <c r="F894" s="3" t="s">
        <v>25</v>
      </c>
      <c r="G894" s="3" t="s">
        <v>21</v>
      </c>
      <c r="H894" s="3" t="s">
        <v>22</v>
      </c>
      <c r="I894" s="4" t="n">
        <v>488</v>
      </c>
      <c r="J894" s="4" t="n">
        <v>0</v>
      </c>
      <c r="K894" s="4" t="n">
        <v>20</v>
      </c>
      <c r="L894" s="4" t="n">
        <f aca="false">IF(O894="Delivered",I894-J894+K894,0)</f>
        <v>508</v>
      </c>
      <c r="M894" s="0" t="n">
        <v>31</v>
      </c>
      <c r="N894" s="0" t="n">
        <v>5</v>
      </c>
      <c r="O894" s="3" t="s">
        <v>17</v>
      </c>
    </row>
    <row r="895" customFormat="false" ht="15" hidden="false" customHeight="false" outlineLevel="0" collapsed="false">
      <c r="A895" s="0" t="s">
        <v>1475</v>
      </c>
      <c r="B895" s="2" t="n">
        <v>45891</v>
      </c>
      <c r="C895" s="0" t="str">
        <f aca="false">TEXT(B895,"mmm")</f>
        <v>Aug</v>
      </c>
      <c r="D895" s="0" t="str">
        <f aca="false">TEXT(B895,"ddd")</f>
        <v>Fri</v>
      </c>
      <c r="E895" s="3" t="s">
        <v>24</v>
      </c>
      <c r="F895" s="3" t="s">
        <v>20</v>
      </c>
      <c r="G895" s="3" t="s">
        <v>21</v>
      </c>
      <c r="H895" s="3" t="s">
        <v>22</v>
      </c>
      <c r="I895" s="4" t="n">
        <v>744</v>
      </c>
      <c r="J895" s="4" t="n">
        <v>84</v>
      </c>
      <c r="K895" s="4" t="n">
        <v>0</v>
      </c>
      <c r="L895" s="4" t="n">
        <f aca="false">IF(O895="Delivered",I895-J895+K895,0)</f>
        <v>660</v>
      </c>
      <c r="M895" s="0" t="n">
        <v>42</v>
      </c>
      <c r="N895" s="0" t="n">
        <v>3.6</v>
      </c>
      <c r="O895" s="3" t="s">
        <v>17</v>
      </c>
    </row>
    <row r="896" customFormat="false" ht="15" hidden="false" customHeight="false" outlineLevel="0" collapsed="false">
      <c r="A896" s="0" t="s">
        <v>263</v>
      </c>
      <c r="B896" s="2" t="n">
        <v>45892</v>
      </c>
      <c r="C896" s="0" t="str">
        <f aca="false">TEXT(B896,"mmm")</f>
        <v>Aug</v>
      </c>
      <c r="D896" s="0" t="str">
        <f aca="false">TEXT(B896,"ddd")</f>
        <v>Sat</v>
      </c>
      <c r="E896" s="3" t="s">
        <v>40</v>
      </c>
      <c r="F896" s="3" t="s">
        <v>20</v>
      </c>
      <c r="G896" s="3" t="s">
        <v>21</v>
      </c>
      <c r="H896" s="3" t="s">
        <v>36</v>
      </c>
      <c r="I896" s="4" t="n">
        <v>612</v>
      </c>
      <c r="J896" s="4" t="n">
        <v>0</v>
      </c>
      <c r="K896" s="4" t="n">
        <v>0</v>
      </c>
      <c r="L896" s="4" t="n">
        <f aca="false">IF(O896="Delivered",I896-J896+K896,0)</f>
        <v>612</v>
      </c>
      <c r="M896" s="0" t="n">
        <v>44</v>
      </c>
      <c r="N896" s="0" t="n">
        <v>4</v>
      </c>
      <c r="O896" s="3" t="s">
        <v>17</v>
      </c>
    </row>
    <row r="897" customFormat="false" ht="15" hidden="false" customHeight="false" outlineLevel="0" collapsed="false">
      <c r="A897" s="0" t="s">
        <v>447</v>
      </c>
      <c r="B897" s="2" t="n">
        <v>45892</v>
      </c>
      <c r="C897" s="0" t="str">
        <f aca="false">TEXT(B897,"mmm")</f>
        <v>Aug</v>
      </c>
      <c r="D897" s="0" t="str">
        <f aca="false">TEXT(B897,"ddd")</f>
        <v>Sat</v>
      </c>
      <c r="E897" s="3" t="s">
        <v>24</v>
      </c>
      <c r="F897" s="3" t="s">
        <v>28</v>
      </c>
      <c r="G897" s="3" t="s">
        <v>15</v>
      </c>
      <c r="H897" s="3" t="s">
        <v>16</v>
      </c>
      <c r="I897" s="4" t="n">
        <v>478</v>
      </c>
      <c r="J897" s="4" t="n">
        <v>48</v>
      </c>
      <c r="K897" s="4" t="n">
        <v>40</v>
      </c>
      <c r="L897" s="4" t="n">
        <f aca="false">IF(O897="Delivered",I897-J897+K897,0)</f>
        <v>470</v>
      </c>
      <c r="M897" s="0" t="n">
        <v>43</v>
      </c>
      <c r="N897" s="0" t="n">
        <v>3.4</v>
      </c>
      <c r="O897" s="3" t="s">
        <v>17</v>
      </c>
    </row>
    <row r="898" customFormat="false" ht="15" hidden="false" customHeight="false" outlineLevel="0" collapsed="false">
      <c r="A898" s="0" t="s">
        <v>632</v>
      </c>
      <c r="B898" s="2" t="n">
        <v>45892</v>
      </c>
      <c r="C898" s="0" t="str">
        <f aca="false">TEXT(B898,"mmm")</f>
        <v>Aug</v>
      </c>
      <c r="D898" s="0" t="str">
        <f aca="false">TEXT(B898,"ddd")</f>
        <v>Sat</v>
      </c>
      <c r="E898" s="3" t="s">
        <v>24</v>
      </c>
      <c r="F898" s="3" t="s">
        <v>56</v>
      </c>
      <c r="G898" s="3" t="s">
        <v>21</v>
      </c>
      <c r="H898" s="3" t="s">
        <v>22</v>
      </c>
      <c r="I898" s="4" t="n">
        <v>248</v>
      </c>
      <c r="J898" s="4" t="n">
        <v>0</v>
      </c>
      <c r="K898" s="4" t="n">
        <v>40</v>
      </c>
      <c r="L898" s="4" t="n">
        <f aca="false">IF(O898="Delivered",I898-J898+K898,0)</f>
        <v>288</v>
      </c>
      <c r="M898" s="0" t="n">
        <v>29</v>
      </c>
      <c r="O898" s="3" t="s">
        <v>17</v>
      </c>
    </row>
    <row r="899" customFormat="false" ht="15" hidden="false" customHeight="false" outlineLevel="0" collapsed="false">
      <c r="A899" s="0" t="s">
        <v>713</v>
      </c>
      <c r="B899" s="2" t="n">
        <v>45892</v>
      </c>
      <c r="C899" s="0" t="str">
        <f aca="false">TEXT(B899,"mmm")</f>
        <v>Aug</v>
      </c>
      <c r="D899" s="0" t="str">
        <f aca="false">TEXT(B899,"ddd")</f>
        <v>Sat</v>
      </c>
      <c r="E899" s="3" t="s">
        <v>24</v>
      </c>
      <c r="F899" s="3" t="s">
        <v>31</v>
      </c>
      <c r="G899" s="3" t="s">
        <v>21</v>
      </c>
      <c r="H899" s="3" t="s">
        <v>36</v>
      </c>
      <c r="I899" s="4" t="n">
        <v>545</v>
      </c>
      <c r="J899" s="4" t="n">
        <v>0</v>
      </c>
      <c r="K899" s="4" t="n">
        <v>0</v>
      </c>
      <c r="L899" s="4" t="n">
        <f aca="false">IF(O899="Delivered",I899-J899+K899,0)</f>
        <v>545</v>
      </c>
      <c r="M899" s="0" t="n">
        <v>44</v>
      </c>
      <c r="N899" s="0" t="n">
        <v>4.7</v>
      </c>
      <c r="O899" s="3" t="s">
        <v>17</v>
      </c>
    </row>
    <row r="900" customFormat="false" ht="15" hidden="false" customHeight="false" outlineLevel="0" collapsed="false">
      <c r="A900" s="0" t="s">
        <v>923</v>
      </c>
      <c r="B900" s="2" t="n">
        <v>45892</v>
      </c>
      <c r="C900" s="0" t="str">
        <f aca="false">TEXT(B900,"mmm")</f>
        <v>Aug</v>
      </c>
      <c r="D900" s="0" t="str">
        <f aca="false">TEXT(B900,"ddd")</f>
        <v>Sat</v>
      </c>
      <c r="E900" s="3" t="s">
        <v>24</v>
      </c>
      <c r="F900" s="3" t="s">
        <v>28</v>
      </c>
      <c r="G900" s="3" t="s">
        <v>21</v>
      </c>
      <c r="H900" s="3" t="s">
        <v>36</v>
      </c>
      <c r="I900" s="4" t="n">
        <v>438</v>
      </c>
      <c r="J900" s="4" t="n">
        <v>0</v>
      </c>
      <c r="K900" s="4" t="n">
        <v>30</v>
      </c>
      <c r="L900" s="4" t="n">
        <f aca="false">IF(O900="Delivered",I900-J900+K900,0)</f>
        <v>468</v>
      </c>
      <c r="M900" s="0" t="n">
        <v>18</v>
      </c>
      <c r="N900" s="0" t="n">
        <v>4.9</v>
      </c>
      <c r="O900" s="3" t="s">
        <v>17</v>
      </c>
    </row>
    <row r="901" customFormat="false" ht="15" hidden="false" customHeight="false" outlineLevel="0" collapsed="false">
      <c r="A901" s="0" t="s">
        <v>1163</v>
      </c>
      <c r="B901" s="2" t="n">
        <v>45892</v>
      </c>
      <c r="C901" s="0" t="str">
        <f aca="false">TEXT(B901,"mmm")</f>
        <v>Aug</v>
      </c>
      <c r="D901" s="0" t="str">
        <f aca="false">TEXT(B901,"ddd")</f>
        <v>Sat</v>
      </c>
      <c r="E901" s="3" t="s">
        <v>27</v>
      </c>
      <c r="F901" s="3" t="s">
        <v>31</v>
      </c>
      <c r="G901" s="3" t="s">
        <v>21</v>
      </c>
      <c r="H901" s="3" t="s">
        <v>54</v>
      </c>
      <c r="I901" s="4" t="n">
        <v>497</v>
      </c>
      <c r="J901" s="4" t="n">
        <v>0</v>
      </c>
      <c r="K901" s="4" t="n">
        <v>20</v>
      </c>
      <c r="L901" s="4" t="n">
        <f aca="false">IF(O901="Delivered",I901-J901+K901,0)</f>
        <v>517</v>
      </c>
      <c r="M901" s="0" t="n">
        <v>51</v>
      </c>
      <c r="N901" s="0" t="n">
        <v>4.4</v>
      </c>
      <c r="O901" s="3" t="s">
        <v>17</v>
      </c>
    </row>
    <row r="902" customFormat="false" ht="15" hidden="false" customHeight="false" outlineLevel="0" collapsed="false">
      <c r="A902" s="0" t="s">
        <v>319</v>
      </c>
      <c r="B902" s="2" t="n">
        <v>45893</v>
      </c>
      <c r="C902" s="0" t="str">
        <f aca="false">TEXT(B902,"mmm")</f>
        <v>Aug</v>
      </c>
      <c r="D902" s="0" t="str">
        <f aca="false">TEXT(B902,"ddd")</f>
        <v>Sun</v>
      </c>
      <c r="E902" s="3" t="s">
        <v>13</v>
      </c>
      <c r="F902" s="3" t="s">
        <v>25</v>
      </c>
      <c r="G902" s="3" t="s">
        <v>21</v>
      </c>
      <c r="H902" s="3" t="s">
        <v>54</v>
      </c>
      <c r="I902" s="4" t="n">
        <v>584</v>
      </c>
      <c r="J902" s="4" t="n">
        <v>0</v>
      </c>
      <c r="K902" s="4" t="n">
        <v>0</v>
      </c>
      <c r="L902" s="4" t="n">
        <f aca="false">IF(O902="Delivered",I902-J902+K902,0)</f>
        <v>584</v>
      </c>
      <c r="M902" s="0" t="n">
        <v>30</v>
      </c>
      <c r="N902" s="0" t="n">
        <v>4.8</v>
      </c>
      <c r="O902" s="3" t="s">
        <v>17</v>
      </c>
    </row>
    <row r="903" customFormat="false" ht="15" hidden="false" customHeight="false" outlineLevel="0" collapsed="false">
      <c r="A903" s="0" t="s">
        <v>917</v>
      </c>
      <c r="B903" s="2" t="n">
        <v>45893</v>
      </c>
      <c r="C903" s="0" t="str">
        <f aca="false">TEXT(B903,"mmm")</f>
        <v>Aug</v>
      </c>
      <c r="D903" s="0" t="str">
        <f aca="false">TEXT(B903,"ddd")</f>
        <v>Sun</v>
      </c>
      <c r="E903" s="3" t="s">
        <v>13</v>
      </c>
      <c r="F903" s="3" t="s">
        <v>25</v>
      </c>
      <c r="G903" s="3" t="s">
        <v>21</v>
      </c>
      <c r="H903" s="3" t="s">
        <v>22</v>
      </c>
      <c r="I903" s="4" t="n">
        <v>474</v>
      </c>
      <c r="J903" s="4" t="n">
        <v>0</v>
      </c>
      <c r="K903" s="4" t="n">
        <v>20</v>
      </c>
      <c r="L903" s="4" t="n">
        <f aca="false">IF(O903="Delivered",I903-J903+K903,0)</f>
        <v>494</v>
      </c>
      <c r="M903" s="0" t="n">
        <v>38</v>
      </c>
      <c r="N903" s="0" t="n">
        <v>4.5</v>
      </c>
      <c r="O903" s="3" t="s">
        <v>17</v>
      </c>
    </row>
    <row r="904" customFormat="false" ht="15" hidden="false" customHeight="false" outlineLevel="0" collapsed="false">
      <c r="A904" s="0" t="s">
        <v>1023</v>
      </c>
      <c r="B904" s="2" t="n">
        <v>45893</v>
      </c>
      <c r="C904" s="0" t="str">
        <f aca="false">TEXT(B904,"mmm")</f>
        <v>Aug</v>
      </c>
      <c r="D904" s="0" t="str">
        <f aca="false">TEXT(B904,"ddd")</f>
        <v>Sun</v>
      </c>
      <c r="E904" s="3" t="s">
        <v>24</v>
      </c>
      <c r="F904" s="3" t="s">
        <v>49</v>
      </c>
      <c r="G904" s="3" t="s">
        <v>21</v>
      </c>
      <c r="H904" s="3" t="s">
        <v>34</v>
      </c>
      <c r="I904" s="4" t="n">
        <v>571</v>
      </c>
      <c r="J904" s="4" t="n">
        <v>72</v>
      </c>
      <c r="K904" s="4" t="n">
        <v>0</v>
      </c>
      <c r="L904" s="4" t="n">
        <f aca="false">IF(O904="Delivered",I904-J904+K904,0)</f>
        <v>499</v>
      </c>
      <c r="M904" s="0" t="n">
        <v>36</v>
      </c>
      <c r="N904" s="0" t="n">
        <v>4.6</v>
      </c>
      <c r="O904" s="3" t="s">
        <v>17</v>
      </c>
    </row>
    <row r="905" customFormat="false" ht="15" hidden="false" customHeight="false" outlineLevel="0" collapsed="false">
      <c r="A905" s="0" t="s">
        <v>1370</v>
      </c>
      <c r="B905" s="2" t="n">
        <v>45893</v>
      </c>
      <c r="C905" s="0" t="str">
        <f aca="false">TEXT(B905,"mmm")</f>
        <v>Aug</v>
      </c>
      <c r="D905" s="0" t="str">
        <f aca="false">TEXT(B905,"ddd")</f>
        <v>Sun</v>
      </c>
      <c r="E905" s="3" t="s">
        <v>45</v>
      </c>
      <c r="F905" s="3" t="s">
        <v>31</v>
      </c>
      <c r="G905" s="3" t="s">
        <v>21</v>
      </c>
      <c r="H905" s="3" t="s">
        <v>16</v>
      </c>
      <c r="I905" s="4" t="n">
        <v>576</v>
      </c>
      <c r="J905" s="4" t="n">
        <v>0</v>
      </c>
      <c r="K905" s="4" t="n">
        <v>0</v>
      </c>
      <c r="L905" s="4" t="n">
        <f aca="false">IF(O905="Delivered",I905-J905+K905,0)</f>
        <v>576</v>
      </c>
      <c r="M905" s="0" t="n">
        <v>38</v>
      </c>
      <c r="N905" s="0" t="n">
        <v>4.8</v>
      </c>
      <c r="O905" s="3" t="s">
        <v>17</v>
      </c>
    </row>
    <row r="906" customFormat="false" ht="15" hidden="false" customHeight="false" outlineLevel="0" collapsed="false">
      <c r="A906" s="0" t="s">
        <v>317</v>
      </c>
      <c r="B906" s="2" t="n">
        <v>45894</v>
      </c>
      <c r="C906" s="0" t="str">
        <f aca="false">TEXT(B906,"mmm")</f>
        <v>Aug</v>
      </c>
      <c r="D906" s="0" t="str">
        <f aca="false">TEXT(B906,"ddd")</f>
        <v>Mon</v>
      </c>
      <c r="E906" s="3" t="s">
        <v>13</v>
      </c>
      <c r="F906" s="3" t="s">
        <v>31</v>
      </c>
      <c r="G906" s="3" t="s">
        <v>15</v>
      </c>
      <c r="H906" s="3" t="s">
        <v>22</v>
      </c>
      <c r="I906" s="4" t="n">
        <v>419</v>
      </c>
      <c r="J906" s="4" t="n">
        <v>86</v>
      </c>
      <c r="K906" s="4" t="n">
        <v>40</v>
      </c>
      <c r="L906" s="4" t="n">
        <f aca="false">IF(O906="Delivered",I906-J906+K906,0)</f>
        <v>373</v>
      </c>
      <c r="M906" s="0" t="n">
        <v>39</v>
      </c>
      <c r="N906" s="0" t="n">
        <v>4.5</v>
      </c>
      <c r="O906" s="3" t="s">
        <v>17</v>
      </c>
    </row>
    <row r="907" customFormat="false" ht="15" hidden="false" customHeight="false" outlineLevel="0" collapsed="false">
      <c r="A907" s="0" t="s">
        <v>519</v>
      </c>
      <c r="B907" s="2" t="n">
        <v>45894</v>
      </c>
      <c r="C907" s="0" t="str">
        <f aca="false">TEXT(B907,"mmm")</f>
        <v>Aug</v>
      </c>
      <c r="D907" s="0" t="str">
        <f aca="false">TEXT(B907,"ddd")</f>
        <v>Mon</v>
      </c>
      <c r="E907" s="3" t="s">
        <v>24</v>
      </c>
      <c r="F907" s="3" t="s">
        <v>31</v>
      </c>
      <c r="G907" s="3" t="s">
        <v>21</v>
      </c>
      <c r="H907" s="3" t="s">
        <v>22</v>
      </c>
      <c r="I907" s="4" t="n">
        <v>468</v>
      </c>
      <c r="J907" s="4" t="n">
        <v>47</v>
      </c>
      <c r="K907" s="4" t="n">
        <v>20</v>
      </c>
      <c r="L907" s="4" t="n">
        <f aca="false">IF(O907="Delivered",I907-J907+K907,0)</f>
        <v>441</v>
      </c>
      <c r="M907" s="0" t="n">
        <v>35</v>
      </c>
      <c r="N907" s="0" t="n">
        <v>5</v>
      </c>
      <c r="O907" s="3" t="s">
        <v>17</v>
      </c>
    </row>
    <row r="908" customFormat="false" ht="15" hidden="false" customHeight="false" outlineLevel="0" collapsed="false">
      <c r="A908" s="0" t="s">
        <v>1020</v>
      </c>
      <c r="B908" s="2" t="n">
        <v>45895</v>
      </c>
      <c r="C908" s="0" t="str">
        <f aca="false">TEXT(B908,"mmm")</f>
        <v>Aug</v>
      </c>
      <c r="D908" s="0" t="str">
        <f aca="false">TEXT(B908,"ddd")</f>
        <v>Tue</v>
      </c>
      <c r="E908" s="3" t="s">
        <v>40</v>
      </c>
      <c r="F908" s="3" t="s">
        <v>31</v>
      </c>
      <c r="G908" s="3" t="s">
        <v>15</v>
      </c>
      <c r="H908" s="3" t="s">
        <v>36</v>
      </c>
      <c r="I908" s="4" t="n">
        <v>544</v>
      </c>
      <c r="J908" s="4" t="n">
        <v>0</v>
      </c>
      <c r="K908" s="4" t="n">
        <v>0</v>
      </c>
      <c r="L908" s="4" t="n">
        <f aca="false">IF(O908="Delivered",I908-J908+K908,0)</f>
        <v>544</v>
      </c>
      <c r="M908" s="0" t="n">
        <v>37</v>
      </c>
      <c r="N908" s="0" t="n">
        <v>3.8</v>
      </c>
      <c r="O908" s="3" t="s">
        <v>17</v>
      </c>
    </row>
    <row r="909" customFormat="false" ht="15" hidden="false" customHeight="false" outlineLevel="0" collapsed="false">
      <c r="A909" s="0" t="s">
        <v>1125</v>
      </c>
      <c r="B909" s="2" t="n">
        <v>45895</v>
      </c>
      <c r="C909" s="0" t="str">
        <f aca="false">TEXT(B909,"mmm")</f>
        <v>Aug</v>
      </c>
      <c r="D909" s="0" t="str">
        <f aca="false">TEXT(B909,"ddd")</f>
        <v>Tue</v>
      </c>
      <c r="E909" s="3" t="s">
        <v>40</v>
      </c>
      <c r="F909" s="3" t="s">
        <v>25</v>
      </c>
      <c r="G909" s="3" t="s">
        <v>15</v>
      </c>
      <c r="H909" s="3" t="s">
        <v>22</v>
      </c>
      <c r="I909" s="4" t="n">
        <v>505</v>
      </c>
      <c r="J909" s="4" t="n">
        <v>0</v>
      </c>
      <c r="K909" s="4" t="n">
        <v>0</v>
      </c>
      <c r="L909" s="4" t="n">
        <f aca="false">IF(O909="Delivered",I909-J909+K909,0)</f>
        <v>0</v>
      </c>
      <c r="O909" s="3" t="s">
        <v>68</v>
      </c>
    </row>
    <row r="910" customFormat="false" ht="15" hidden="false" customHeight="false" outlineLevel="0" collapsed="false">
      <c r="A910" s="0" t="s">
        <v>1519</v>
      </c>
      <c r="B910" s="2" t="n">
        <v>45895</v>
      </c>
      <c r="C910" s="0" t="str">
        <f aca="false">TEXT(B910,"mmm")</f>
        <v>Aug</v>
      </c>
      <c r="D910" s="0" t="str">
        <f aca="false">TEXT(B910,"ddd")</f>
        <v>Tue</v>
      </c>
      <c r="E910" s="3" t="s">
        <v>27</v>
      </c>
      <c r="F910" s="3" t="s">
        <v>49</v>
      </c>
      <c r="G910" s="3" t="s">
        <v>21</v>
      </c>
      <c r="H910" s="3" t="s">
        <v>16</v>
      </c>
      <c r="I910" s="4" t="n">
        <v>418</v>
      </c>
      <c r="J910" s="4" t="n">
        <v>0</v>
      </c>
      <c r="K910" s="4" t="n">
        <v>45</v>
      </c>
      <c r="L910" s="4" t="n">
        <f aca="false">IF(O910="Delivered",I910-J910+K910,0)</f>
        <v>463</v>
      </c>
      <c r="M910" s="0" t="n">
        <v>39</v>
      </c>
      <c r="N910" s="0" t="n">
        <v>3.7</v>
      </c>
      <c r="O910" s="3" t="s">
        <v>17</v>
      </c>
    </row>
    <row r="911" customFormat="false" ht="15" hidden="false" customHeight="false" outlineLevel="0" collapsed="false">
      <c r="A911" s="0" t="s">
        <v>544</v>
      </c>
      <c r="B911" s="2" t="n">
        <v>45896</v>
      </c>
      <c r="C911" s="0" t="str">
        <f aca="false">TEXT(B911,"mmm")</f>
        <v>Aug</v>
      </c>
      <c r="D911" s="0" t="str">
        <f aca="false">TEXT(B911,"ddd")</f>
        <v>Wed</v>
      </c>
      <c r="E911" s="3" t="s">
        <v>51</v>
      </c>
      <c r="F911" s="3" t="s">
        <v>28</v>
      </c>
      <c r="G911" s="3" t="s">
        <v>21</v>
      </c>
      <c r="H911" s="3" t="s">
        <v>16</v>
      </c>
      <c r="I911" s="4" t="n">
        <v>558</v>
      </c>
      <c r="J911" s="4" t="n">
        <v>0</v>
      </c>
      <c r="K911" s="4" t="n">
        <v>0</v>
      </c>
      <c r="L911" s="4" t="n">
        <f aca="false">IF(O911="Delivered",I911-J911+K911,0)</f>
        <v>558</v>
      </c>
      <c r="M911" s="0" t="n">
        <v>33</v>
      </c>
      <c r="N911" s="0" t="n">
        <v>4.6</v>
      </c>
      <c r="O911" s="3" t="s">
        <v>17</v>
      </c>
    </row>
    <row r="912" customFormat="false" ht="15" hidden="false" customHeight="false" outlineLevel="0" collapsed="false">
      <c r="A912" s="0" t="s">
        <v>580</v>
      </c>
      <c r="B912" s="2" t="n">
        <v>45896</v>
      </c>
      <c r="C912" s="0" t="str">
        <f aca="false">TEXT(B912,"mmm")</f>
        <v>Aug</v>
      </c>
      <c r="D912" s="0" t="str">
        <f aca="false">TEXT(B912,"ddd")</f>
        <v>Wed</v>
      </c>
      <c r="E912" s="3" t="s">
        <v>51</v>
      </c>
      <c r="F912" s="3" t="s">
        <v>49</v>
      </c>
      <c r="G912" s="3" t="s">
        <v>15</v>
      </c>
      <c r="H912" s="3" t="s">
        <v>16</v>
      </c>
      <c r="I912" s="4" t="n">
        <v>603</v>
      </c>
      <c r="J912" s="4" t="n">
        <v>123</v>
      </c>
      <c r="K912" s="4" t="n">
        <v>0</v>
      </c>
      <c r="L912" s="4" t="n">
        <f aca="false">IF(O912="Delivered",I912-J912+K912,0)</f>
        <v>480</v>
      </c>
      <c r="M912" s="0" t="n">
        <v>22</v>
      </c>
      <c r="N912" s="0" t="n">
        <v>4.9</v>
      </c>
      <c r="O912" s="3" t="s">
        <v>17</v>
      </c>
    </row>
    <row r="913" customFormat="false" ht="15" hidden="false" customHeight="false" outlineLevel="0" collapsed="false">
      <c r="A913" s="0" t="s">
        <v>968</v>
      </c>
      <c r="B913" s="2" t="n">
        <v>45896</v>
      </c>
      <c r="C913" s="0" t="str">
        <f aca="false">TEXT(B913,"mmm")</f>
        <v>Aug</v>
      </c>
      <c r="D913" s="0" t="str">
        <f aca="false">TEXT(B913,"ddd")</f>
        <v>Wed</v>
      </c>
      <c r="E913" s="3" t="s">
        <v>27</v>
      </c>
      <c r="F913" s="3" t="s">
        <v>56</v>
      </c>
      <c r="G913" s="3" t="s">
        <v>21</v>
      </c>
      <c r="H913" s="3" t="s">
        <v>16</v>
      </c>
      <c r="I913" s="4" t="n">
        <v>380</v>
      </c>
      <c r="J913" s="4" t="n">
        <v>0</v>
      </c>
      <c r="K913" s="4" t="n">
        <v>20</v>
      </c>
      <c r="L913" s="4" t="n">
        <f aca="false">IF(O913="Delivered",I913-J913+K913,0)</f>
        <v>400</v>
      </c>
      <c r="M913" s="0" t="n">
        <v>48</v>
      </c>
      <c r="N913" s="0" t="n">
        <v>4.1</v>
      </c>
      <c r="O913" s="3" t="s">
        <v>17</v>
      </c>
    </row>
    <row r="914" customFormat="false" ht="15" hidden="false" customHeight="false" outlineLevel="0" collapsed="false">
      <c r="A914" s="0" t="s">
        <v>1216</v>
      </c>
      <c r="B914" s="2" t="n">
        <v>45896</v>
      </c>
      <c r="C914" s="0" t="str">
        <f aca="false">TEXT(B914,"mmm")</f>
        <v>Aug</v>
      </c>
      <c r="D914" s="0" t="str">
        <f aca="false">TEXT(B914,"ddd")</f>
        <v>Wed</v>
      </c>
      <c r="E914" s="3" t="s">
        <v>13</v>
      </c>
      <c r="F914" s="3" t="s">
        <v>28</v>
      </c>
      <c r="G914" s="3" t="s">
        <v>21</v>
      </c>
      <c r="H914" s="3" t="s">
        <v>22</v>
      </c>
      <c r="I914" s="4" t="n">
        <v>328</v>
      </c>
      <c r="J914" s="4" t="n">
        <v>0</v>
      </c>
      <c r="K914" s="4" t="n">
        <v>30</v>
      </c>
      <c r="L914" s="4" t="n">
        <f aca="false">IF(O914="Delivered",I914-J914+K914,0)</f>
        <v>358</v>
      </c>
      <c r="M914" s="0" t="n">
        <v>44</v>
      </c>
      <c r="N914" s="0" t="n">
        <v>3.9</v>
      </c>
      <c r="O914" s="3" t="s">
        <v>17</v>
      </c>
    </row>
    <row r="915" customFormat="false" ht="15" hidden="false" customHeight="false" outlineLevel="0" collapsed="false">
      <c r="A915" s="0" t="s">
        <v>1226</v>
      </c>
      <c r="B915" s="2" t="n">
        <v>45896</v>
      </c>
      <c r="C915" s="0" t="str">
        <f aca="false">TEXT(B915,"mmm")</f>
        <v>Aug</v>
      </c>
      <c r="D915" s="0" t="str">
        <f aca="false">TEXT(B915,"ddd")</f>
        <v>Wed</v>
      </c>
      <c r="E915" s="3" t="s">
        <v>27</v>
      </c>
      <c r="F915" s="3" t="s">
        <v>20</v>
      </c>
      <c r="G915" s="3" t="s">
        <v>15</v>
      </c>
      <c r="H915" s="3" t="s">
        <v>22</v>
      </c>
      <c r="I915" s="4" t="n">
        <v>539</v>
      </c>
      <c r="J915" s="4" t="n">
        <v>87</v>
      </c>
      <c r="K915" s="4" t="n">
        <v>0</v>
      </c>
      <c r="L915" s="4" t="n">
        <f aca="false">IF(O915="Delivered",I915-J915+K915,0)</f>
        <v>452</v>
      </c>
      <c r="M915" s="0" t="n">
        <v>52</v>
      </c>
      <c r="N915" s="0" t="n">
        <v>4</v>
      </c>
      <c r="O915" s="3" t="s">
        <v>17</v>
      </c>
    </row>
    <row r="916" customFormat="false" ht="15" hidden="false" customHeight="false" outlineLevel="0" collapsed="false">
      <c r="A916" s="0" t="s">
        <v>1414</v>
      </c>
      <c r="B916" s="2" t="n">
        <v>45896</v>
      </c>
      <c r="C916" s="0" t="str">
        <f aca="false">TEXT(B916,"mmm")</f>
        <v>Aug</v>
      </c>
      <c r="D916" s="0" t="str">
        <f aca="false">TEXT(B916,"ddd")</f>
        <v>Wed</v>
      </c>
      <c r="E916" s="3" t="s">
        <v>24</v>
      </c>
      <c r="F916" s="3" t="s">
        <v>14</v>
      </c>
      <c r="G916" s="3" t="s">
        <v>15</v>
      </c>
      <c r="H916" s="3" t="s">
        <v>54</v>
      </c>
      <c r="I916" s="4" t="n">
        <v>320</v>
      </c>
      <c r="J916" s="4" t="n">
        <v>54</v>
      </c>
      <c r="K916" s="4" t="n">
        <v>45</v>
      </c>
      <c r="L916" s="4" t="n">
        <f aca="false">IF(O916="Delivered",I916-J916+K916,0)</f>
        <v>311</v>
      </c>
      <c r="M916" s="0" t="n">
        <v>26</v>
      </c>
      <c r="N916" s="0" t="n">
        <v>4.3</v>
      </c>
      <c r="O916" s="3" t="s">
        <v>17</v>
      </c>
    </row>
    <row r="917" customFormat="false" ht="15" hidden="false" customHeight="false" outlineLevel="0" collapsed="false">
      <c r="A917" s="0" t="s">
        <v>420</v>
      </c>
      <c r="B917" s="2" t="n">
        <v>45897</v>
      </c>
      <c r="C917" s="0" t="str">
        <f aca="false">TEXT(B917,"mmm")</f>
        <v>Aug</v>
      </c>
      <c r="D917" s="0" t="str">
        <f aca="false">TEXT(B917,"ddd")</f>
        <v>Thu</v>
      </c>
      <c r="E917" s="3" t="s">
        <v>40</v>
      </c>
      <c r="F917" s="3" t="s">
        <v>25</v>
      </c>
      <c r="G917" s="3" t="s">
        <v>21</v>
      </c>
      <c r="H917" s="3" t="s">
        <v>22</v>
      </c>
      <c r="I917" s="4" t="n">
        <v>273</v>
      </c>
      <c r="J917" s="4" t="n">
        <v>0</v>
      </c>
      <c r="K917" s="4" t="n">
        <v>45</v>
      </c>
      <c r="L917" s="4" t="n">
        <f aca="false">IF(O917="Delivered",I917-J917+K917,0)</f>
        <v>318</v>
      </c>
      <c r="M917" s="0" t="n">
        <v>22</v>
      </c>
      <c r="N917" s="0" t="n">
        <v>4.7</v>
      </c>
      <c r="O917" s="3" t="s">
        <v>17</v>
      </c>
    </row>
    <row r="918" customFormat="false" ht="15" hidden="false" customHeight="false" outlineLevel="0" collapsed="false">
      <c r="A918" s="0" t="s">
        <v>1612</v>
      </c>
      <c r="B918" s="2" t="n">
        <v>45897</v>
      </c>
      <c r="C918" s="0" t="str">
        <f aca="false">TEXT(B918,"mmm")</f>
        <v>Aug</v>
      </c>
      <c r="D918" s="0" t="str">
        <f aca="false">TEXT(B918,"ddd")</f>
        <v>Thu</v>
      </c>
      <c r="E918" s="3" t="s">
        <v>24</v>
      </c>
      <c r="F918" s="3" t="s">
        <v>49</v>
      </c>
      <c r="G918" s="3" t="s">
        <v>15</v>
      </c>
      <c r="H918" s="3" t="s">
        <v>34</v>
      </c>
      <c r="I918" s="4" t="n">
        <v>524</v>
      </c>
      <c r="J918" s="4" t="n">
        <v>77</v>
      </c>
      <c r="K918" s="4" t="n">
        <v>0</v>
      </c>
      <c r="L918" s="4" t="n">
        <f aca="false">IF(O918="Delivered",I918-J918+K918,0)</f>
        <v>447</v>
      </c>
      <c r="M918" s="0" t="n">
        <v>43</v>
      </c>
      <c r="N918" s="0" t="n">
        <v>4.7</v>
      </c>
      <c r="O918" s="3" t="s">
        <v>17</v>
      </c>
    </row>
    <row r="919" customFormat="false" ht="15" hidden="false" customHeight="false" outlineLevel="0" collapsed="false">
      <c r="A919" s="0" t="s">
        <v>438</v>
      </c>
      <c r="B919" s="2" t="n">
        <v>45898</v>
      </c>
      <c r="C919" s="0" t="str">
        <f aca="false">TEXT(B919,"mmm")</f>
        <v>Aug</v>
      </c>
      <c r="D919" s="0" t="str">
        <f aca="false">TEXT(B919,"ddd")</f>
        <v>Fri</v>
      </c>
      <c r="E919" s="3" t="s">
        <v>24</v>
      </c>
      <c r="F919" s="3" t="s">
        <v>31</v>
      </c>
      <c r="G919" s="3" t="s">
        <v>15</v>
      </c>
      <c r="H919" s="3" t="s">
        <v>36</v>
      </c>
      <c r="I919" s="4" t="n">
        <v>527</v>
      </c>
      <c r="J919" s="4" t="n">
        <v>0</v>
      </c>
      <c r="K919" s="4" t="n">
        <v>0</v>
      </c>
      <c r="L919" s="4" t="n">
        <f aca="false">IF(O919="Delivered",I919-J919+K919,0)</f>
        <v>527</v>
      </c>
      <c r="M919" s="0" t="n">
        <v>38</v>
      </c>
      <c r="N919" s="0" t="n">
        <v>4.3</v>
      </c>
      <c r="O919" s="3" t="s">
        <v>17</v>
      </c>
    </row>
    <row r="920" customFormat="false" ht="15" hidden="false" customHeight="false" outlineLevel="0" collapsed="false">
      <c r="A920" s="0" t="s">
        <v>546</v>
      </c>
      <c r="B920" s="2" t="n">
        <v>45898</v>
      </c>
      <c r="C920" s="0" t="str">
        <f aca="false">TEXT(B920,"mmm")</f>
        <v>Aug</v>
      </c>
      <c r="D920" s="0" t="str">
        <f aca="false">TEXT(B920,"ddd")</f>
        <v>Fri</v>
      </c>
      <c r="E920" s="3" t="s">
        <v>51</v>
      </c>
      <c r="F920" s="3" t="s">
        <v>14</v>
      </c>
      <c r="G920" s="3" t="s">
        <v>21</v>
      </c>
      <c r="H920" s="3" t="s">
        <v>36</v>
      </c>
      <c r="I920" s="4" t="n">
        <v>229</v>
      </c>
      <c r="J920" s="4" t="n">
        <v>0</v>
      </c>
      <c r="K920" s="4" t="n">
        <v>20</v>
      </c>
      <c r="L920" s="4" t="n">
        <f aca="false">IF(O920="Delivered",I920-J920+K920,0)</f>
        <v>249</v>
      </c>
      <c r="M920" s="0" t="n">
        <v>37</v>
      </c>
      <c r="N920" s="0" t="n">
        <v>4.2</v>
      </c>
      <c r="O920" s="3" t="s">
        <v>17</v>
      </c>
    </row>
    <row r="921" customFormat="false" ht="15" hidden="false" customHeight="false" outlineLevel="0" collapsed="false">
      <c r="A921" s="0" t="s">
        <v>1633</v>
      </c>
      <c r="B921" s="2" t="n">
        <v>45898</v>
      </c>
      <c r="C921" s="0" t="str">
        <f aca="false">TEXT(B921,"mmm")</f>
        <v>Aug</v>
      </c>
      <c r="D921" s="0" t="str">
        <f aca="false">TEXT(B921,"ddd")</f>
        <v>Fri</v>
      </c>
      <c r="E921" s="3" t="s">
        <v>30</v>
      </c>
      <c r="F921" s="3" t="s">
        <v>78</v>
      </c>
      <c r="G921" s="3" t="s">
        <v>21</v>
      </c>
      <c r="H921" s="3" t="s">
        <v>22</v>
      </c>
      <c r="I921" s="4" t="n">
        <v>383</v>
      </c>
      <c r="J921" s="4" t="n">
        <v>80</v>
      </c>
      <c r="K921" s="4" t="n">
        <v>40</v>
      </c>
      <c r="L921" s="4" t="n">
        <f aca="false">IF(O921="Delivered",I921-J921+K921,0)</f>
        <v>343</v>
      </c>
      <c r="M921" s="0" t="n">
        <v>34</v>
      </c>
      <c r="N921" s="0" t="n">
        <v>4.8</v>
      </c>
      <c r="O921" s="3" t="s">
        <v>17</v>
      </c>
    </row>
    <row r="922" customFormat="false" ht="15" hidden="false" customHeight="false" outlineLevel="0" collapsed="false">
      <c r="A922" s="0" t="s">
        <v>721</v>
      </c>
      <c r="B922" s="2" t="n">
        <v>45899</v>
      </c>
      <c r="C922" s="0" t="str">
        <f aca="false">TEXT(B922,"mmm")</f>
        <v>Aug</v>
      </c>
      <c r="D922" s="0" t="str">
        <f aca="false">TEXT(B922,"ddd")</f>
        <v>Sat</v>
      </c>
      <c r="E922" s="3" t="s">
        <v>24</v>
      </c>
      <c r="F922" s="3" t="s">
        <v>56</v>
      </c>
      <c r="G922" s="3" t="s">
        <v>21</v>
      </c>
      <c r="H922" s="3" t="s">
        <v>22</v>
      </c>
      <c r="I922" s="4" t="n">
        <v>509</v>
      </c>
      <c r="J922" s="4" t="n">
        <v>0</v>
      </c>
      <c r="K922" s="4" t="n">
        <v>0</v>
      </c>
      <c r="L922" s="4" t="n">
        <f aca="false">IF(O922="Delivered",I922-J922+K922,0)</f>
        <v>0</v>
      </c>
      <c r="O922" s="3" t="s">
        <v>68</v>
      </c>
    </row>
    <row r="923" customFormat="false" ht="15" hidden="false" customHeight="false" outlineLevel="0" collapsed="false">
      <c r="A923" s="0" t="s">
        <v>902</v>
      </c>
      <c r="B923" s="2" t="n">
        <v>45899</v>
      </c>
      <c r="C923" s="0" t="str">
        <f aca="false">TEXT(B923,"mmm")</f>
        <v>Aug</v>
      </c>
      <c r="D923" s="0" t="str">
        <f aca="false">TEXT(B923,"ddd")</f>
        <v>Sat</v>
      </c>
      <c r="E923" s="3" t="s">
        <v>45</v>
      </c>
      <c r="F923" s="3" t="s">
        <v>20</v>
      </c>
      <c r="G923" s="3" t="s">
        <v>21</v>
      </c>
      <c r="H923" s="3" t="s">
        <v>22</v>
      </c>
      <c r="I923" s="4" t="n">
        <v>498</v>
      </c>
      <c r="J923" s="4" t="n">
        <v>0</v>
      </c>
      <c r="K923" s="4" t="n">
        <v>20</v>
      </c>
      <c r="L923" s="4" t="n">
        <f aca="false">IF(O923="Delivered",I923-J923+K923,0)</f>
        <v>518</v>
      </c>
      <c r="M923" s="0" t="n">
        <v>29</v>
      </c>
      <c r="N923" s="0" t="n">
        <v>5</v>
      </c>
      <c r="O923" s="3" t="s">
        <v>17</v>
      </c>
    </row>
    <row r="924" customFormat="false" ht="15" hidden="false" customHeight="false" outlineLevel="0" collapsed="false">
      <c r="A924" s="0" t="s">
        <v>910</v>
      </c>
      <c r="B924" s="2" t="n">
        <v>45899</v>
      </c>
      <c r="C924" s="0" t="str">
        <f aca="false">TEXT(B924,"mmm")</f>
        <v>Aug</v>
      </c>
      <c r="D924" s="0" t="str">
        <f aca="false">TEXT(B924,"ddd")</f>
        <v>Sat</v>
      </c>
      <c r="E924" s="3" t="s">
        <v>27</v>
      </c>
      <c r="F924" s="3" t="s">
        <v>28</v>
      </c>
      <c r="G924" s="3" t="s">
        <v>21</v>
      </c>
      <c r="H924" s="3" t="s">
        <v>22</v>
      </c>
      <c r="I924" s="4" t="n">
        <v>312</v>
      </c>
      <c r="J924" s="4" t="n">
        <v>0</v>
      </c>
      <c r="K924" s="4" t="n">
        <v>20</v>
      </c>
      <c r="L924" s="4" t="n">
        <f aca="false">IF(O924="Delivered",I924-J924+K924,0)</f>
        <v>332</v>
      </c>
      <c r="M924" s="0" t="n">
        <v>40</v>
      </c>
      <c r="N924" s="0" t="n">
        <v>4</v>
      </c>
      <c r="O924" s="3" t="s">
        <v>17</v>
      </c>
    </row>
    <row r="925" customFormat="false" ht="15" hidden="false" customHeight="false" outlineLevel="0" collapsed="false">
      <c r="A925" s="0" t="s">
        <v>1269</v>
      </c>
      <c r="B925" s="2" t="n">
        <v>45899</v>
      </c>
      <c r="C925" s="0" t="str">
        <f aca="false">TEXT(B925,"mmm")</f>
        <v>Aug</v>
      </c>
      <c r="D925" s="0" t="str">
        <f aca="false">TEXT(B925,"ddd")</f>
        <v>Sat</v>
      </c>
      <c r="E925" s="3" t="s">
        <v>27</v>
      </c>
      <c r="F925" s="3" t="s">
        <v>28</v>
      </c>
      <c r="G925" s="3" t="s">
        <v>15</v>
      </c>
      <c r="H925" s="3" t="s">
        <v>36</v>
      </c>
      <c r="I925" s="4" t="n">
        <v>376</v>
      </c>
      <c r="J925" s="4" t="n">
        <v>47</v>
      </c>
      <c r="K925" s="4" t="n">
        <v>20</v>
      </c>
      <c r="L925" s="4" t="n">
        <f aca="false">IF(O925="Delivered",I925-J925+K925,0)</f>
        <v>349</v>
      </c>
      <c r="M925" s="0" t="n">
        <v>45</v>
      </c>
      <c r="N925" s="0" t="n">
        <v>4.6</v>
      </c>
      <c r="O925" s="3" t="s">
        <v>17</v>
      </c>
    </row>
    <row r="926" customFormat="false" ht="15" hidden="false" customHeight="false" outlineLevel="0" collapsed="false">
      <c r="A926" s="0" t="s">
        <v>1421</v>
      </c>
      <c r="B926" s="2" t="n">
        <v>45899</v>
      </c>
      <c r="C926" s="0" t="str">
        <f aca="false">TEXT(B926,"mmm")</f>
        <v>Aug</v>
      </c>
      <c r="D926" s="0" t="str">
        <f aca="false">TEXT(B926,"ddd")</f>
        <v>Sat</v>
      </c>
      <c r="E926" s="3" t="s">
        <v>40</v>
      </c>
      <c r="F926" s="3" t="s">
        <v>20</v>
      </c>
      <c r="G926" s="3" t="s">
        <v>21</v>
      </c>
      <c r="H926" s="3" t="s">
        <v>34</v>
      </c>
      <c r="I926" s="4" t="n">
        <v>545</v>
      </c>
      <c r="J926" s="4" t="n">
        <v>0</v>
      </c>
      <c r="K926" s="4" t="n">
        <v>0</v>
      </c>
      <c r="L926" s="4" t="n">
        <f aca="false">IF(O926="Delivered",I926-J926+K926,0)</f>
        <v>545</v>
      </c>
      <c r="M926" s="0" t="n">
        <v>33</v>
      </c>
      <c r="N926" s="0" t="n">
        <v>3.8</v>
      </c>
      <c r="O926" s="3" t="s">
        <v>17</v>
      </c>
    </row>
    <row r="927" customFormat="false" ht="15" hidden="false" customHeight="false" outlineLevel="0" collapsed="false">
      <c r="A927" s="0" t="s">
        <v>1537</v>
      </c>
      <c r="B927" s="2" t="n">
        <v>45899</v>
      </c>
      <c r="C927" s="0" t="str">
        <f aca="false">TEXT(B927,"mmm")</f>
        <v>Aug</v>
      </c>
      <c r="D927" s="0" t="str">
        <f aca="false">TEXT(B927,"ddd")</f>
        <v>Sat</v>
      </c>
      <c r="E927" s="3" t="s">
        <v>24</v>
      </c>
      <c r="F927" s="3" t="s">
        <v>20</v>
      </c>
      <c r="G927" s="3" t="s">
        <v>21</v>
      </c>
      <c r="H927" s="3" t="s">
        <v>54</v>
      </c>
      <c r="I927" s="4" t="n">
        <v>568</v>
      </c>
      <c r="J927" s="4" t="n">
        <v>68</v>
      </c>
      <c r="K927" s="4" t="n">
        <v>0</v>
      </c>
      <c r="L927" s="4" t="n">
        <f aca="false">IF(O927="Delivered",I927-J927+K927,0)</f>
        <v>500</v>
      </c>
      <c r="M927" s="0" t="n">
        <v>40</v>
      </c>
      <c r="N927" s="0" t="n">
        <v>3.6</v>
      </c>
      <c r="O927" s="3" t="s">
        <v>17</v>
      </c>
    </row>
    <row r="928" customFormat="false" ht="15" hidden="false" customHeight="false" outlineLevel="0" collapsed="false">
      <c r="A928" s="0" t="s">
        <v>767</v>
      </c>
      <c r="B928" s="2" t="n">
        <v>45900</v>
      </c>
      <c r="C928" s="0" t="str">
        <f aca="false">TEXT(B928,"mmm")</f>
        <v>Aug</v>
      </c>
      <c r="D928" s="0" t="str">
        <f aca="false">TEXT(B928,"ddd")</f>
        <v>Sun</v>
      </c>
      <c r="E928" s="3" t="s">
        <v>24</v>
      </c>
      <c r="F928" s="3" t="s">
        <v>31</v>
      </c>
      <c r="G928" s="3" t="s">
        <v>15</v>
      </c>
      <c r="H928" s="3" t="s">
        <v>34</v>
      </c>
      <c r="I928" s="4" t="n">
        <v>417</v>
      </c>
      <c r="J928" s="4" t="n">
        <v>0</v>
      </c>
      <c r="K928" s="4" t="n">
        <v>40</v>
      </c>
      <c r="L928" s="4" t="n">
        <f aca="false">IF(O928="Delivered",I928-J928+K928,0)</f>
        <v>457</v>
      </c>
      <c r="M928" s="0" t="n">
        <v>19</v>
      </c>
      <c r="N928" s="0" t="n">
        <v>3.9</v>
      </c>
      <c r="O928" s="3" t="s">
        <v>17</v>
      </c>
    </row>
    <row r="929" customFormat="false" ht="15" hidden="false" customHeight="false" outlineLevel="0" collapsed="false">
      <c r="A929" s="0" t="s">
        <v>953</v>
      </c>
      <c r="B929" s="2" t="n">
        <v>45900</v>
      </c>
      <c r="C929" s="0" t="str">
        <f aca="false">TEXT(B929,"mmm")</f>
        <v>Aug</v>
      </c>
      <c r="D929" s="0" t="str">
        <f aca="false">TEXT(B929,"ddd")</f>
        <v>Sun</v>
      </c>
      <c r="E929" s="3" t="s">
        <v>27</v>
      </c>
      <c r="F929" s="3" t="s">
        <v>28</v>
      </c>
      <c r="G929" s="3" t="s">
        <v>21</v>
      </c>
      <c r="H929" s="3" t="s">
        <v>22</v>
      </c>
      <c r="I929" s="4" t="n">
        <v>349</v>
      </c>
      <c r="J929" s="4" t="n">
        <v>0</v>
      </c>
      <c r="K929" s="4" t="n">
        <v>40</v>
      </c>
      <c r="L929" s="4" t="n">
        <f aca="false">IF(O929="Delivered",I929-J929+K929,0)</f>
        <v>389</v>
      </c>
      <c r="M929" s="0" t="n">
        <v>41</v>
      </c>
      <c r="N929" s="0" t="n">
        <v>3.8</v>
      </c>
      <c r="O929" s="3" t="s">
        <v>17</v>
      </c>
    </row>
    <row r="930" customFormat="false" ht="15" hidden="false" customHeight="false" outlineLevel="0" collapsed="false">
      <c r="A930" s="0" t="s">
        <v>1140</v>
      </c>
      <c r="B930" s="2" t="n">
        <v>45900</v>
      </c>
      <c r="C930" s="0" t="str">
        <f aca="false">TEXT(B930,"mmm")</f>
        <v>Aug</v>
      </c>
      <c r="D930" s="0" t="str">
        <f aca="false">TEXT(B930,"ddd")</f>
        <v>Sun</v>
      </c>
      <c r="E930" s="3" t="s">
        <v>51</v>
      </c>
      <c r="F930" s="3" t="s">
        <v>78</v>
      </c>
      <c r="G930" s="3" t="s">
        <v>15</v>
      </c>
      <c r="H930" s="3" t="s">
        <v>22</v>
      </c>
      <c r="I930" s="4" t="n">
        <v>393</v>
      </c>
      <c r="J930" s="4" t="n">
        <v>0</v>
      </c>
      <c r="K930" s="4" t="n">
        <v>40</v>
      </c>
      <c r="L930" s="4" t="n">
        <f aca="false">IF(O930="Delivered",I930-J930+K930,0)</f>
        <v>433</v>
      </c>
      <c r="M930" s="0" t="n">
        <v>45</v>
      </c>
      <c r="N930" s="0" t="n">
        <v>3</v>
      </c>
      <c r="O930" s="3" t="s">
        <v>17</v>
      </c>
    </row>
    <row r="931" customFormat="false" ht="15" hidden="false" customHeight="false" outlineLevel="0" collapsed="false">
      <c r="A931" s="0" t="s">
        <v>606</v>
      </c>
      <c r="B931" s="2" t="n">
        <v>45901</v>
      </c>
      <c r="C931" s="0" t="str">
        <f aca="false">TEXT(B931,"mmm")</f>
        <v>Sep</v>
      </c>
      <c r="D931" s="0" t="str">
        <f aca="false">TEXT(B931,"ddd")</f>
        <v>Mon</v>
      </c>
      <c r="E931" s="3" t="s">
        <v>24</v>
      </c>
      <c r="F931" s="3" t="s">
        <v>28</v>
      </c>
      <c r="G931" s="3" t="s">
        <v>21</v>
      </c>
      <c r="H931" s="3" t="s">
        <v>16</v>
      </c>
      <c r="I931" s="4" t="n">
        <v>294</v>
      </c>
      <c r="J931" s="4" t="n">
        <v>0</v>
      </c>
      <c r="K931" s="4" t="n">
        <v>45</v>
      </c>
      <c r="L931" s="4" t="n">
        <f aca="false">IF(O931="Delivered",I931-J931+K931,0)</f>
        <v>339</v>
      </c>
      <c r="M931" s="0" t="n">
        <v>31</v>
      </c>
      <c r="N931" s="0" t="n">
        <v>4.6</v>
      </c>
      <c r="O931" s="3" t="s">
        <v>17</v>
      </c>
    </row>
    <row r="932" customFormat="false" ht="15" hidden="false" customHeight="false" outlineLevel="0" collapsed="false">
      <c r="A932" s="0" t="s">
        <v>1218</v>
      </c>
      <c r="B932" s="2" t="n">
        <v>45901</v>
      </c>
      <c r="C932" s="0" t="str">
        <f aca="false">TEXT(B932,"mmm")</f>
        <v>Sep</v>
      </c>
      <c r="D932" s="0" t="str">
        <f aca="false">TEXT(B932,"ddd")</f>
        <v>Mon</v>
      </c>
      <c r="E932" s="3" t="s">
        <v>27</v>
      </c>
      <c r="F932" s="3" t="s">
        <v>20</v>
      </c>
      <c r="G932" s="3" t="s">
        <v>15</v>
      </c>
      <c r="H932" s="3" t="s">
        <v>22</v>
      </c>
      <c r="I932" s="4" t="n">
        <v>598</v>
      </c>
      <c r="J932" s="4" t="n">
        <v>0</v>
      </c>
      <c r="K932" s="4" t="n">
        <v>0</v>
      </c>
      <c r="L932" s="4" t="n">
        <f aca="false">IF(O932="Delivered",I932-J932+K932,0)</f>
        <v>598</v>
      </c>
      <c r="M932" s="0" t="n">
        <v>39</v>
      </c>
      <c r="N932" s="0" t="n">
        <v>4.3</v>
      </c>
      <c r="O932" s="3" t="s">
        <v>17</v>
      </c>
    </row>
    <row r="933" customFormat="false" ht="15" hidden="false" customHeight="false" outlineLevel="0" collapsed="false">
      <c r="A933" s="0" t="s">
        <v>1629</v>
      </c>
      <c r="B933" s="2" t="n">
        <v>45901</v>
      </c>
      <c r="C933" s="0" t="str">
        <f aca="false">TEXT(B933,"mmm")</f>
        <v>Sep</v>
      </c>
      <c r="D933" s="0" t="str">
        <f aca="false">TEXT(B933,"ddd")</f>
        <v>Mon</v>
      </c>
      <c r="E933" s="3" t="s">
        <v>51</v>
      </c>
      <c r="F933" s="3" t="s">
        <v>20</v>
      </c>
      <c r="G933" s="3" t="s">
        <v>21</v>
      </c>
      <c r="H933" s="3" t="s">
        <v>16</v>
      </c>
      <c r="I933" s="4" t="n">
        <v>766</v>
      </c>
      <c r="J933" s="4" t="n">
        <v>165</v>
      </c>
      <c r="K933" s="4" t="n">
        <v>0</v>
      </c>
      <c r="L933" s="4" t="n">
        <f aca="false">IF(O933="Delivered",I933-J933+K933,0)</f>
        <v>601</v>
      </c>
      <c r="M933" s="0" t="n">
        <v>22</v>
      </c>
      <c r="N933" s="0" t="n">
        <v>4.5</v>
      </c>
      <c r="O933" s="3" t="s">
        <v>17</v>
      </c>
    </row>
    <row r="934" customFormat="false" ht="15" hidden="false" customHeight="false" outlineLevel="0" collapsed="false">
      <c r="A934" s="0" t="s">
        <v>175</v>
      </c>
      <c r="B934" s="2" t="n">
        <v>45902</v>
      </c>
      <c r="C934" s="0" t="str">
        <f aca="false">TEXT(B934,"mmm")</f>
        <v>Sep</v>
      </c>
      <c r="D934" s="0" t="str">
        <f aca="false">TEXT(B934,"ddd")</f>
        <v>Tue</v>
      </c>
      <c r="E934" s="3" t="s">
        <v>40</v>
      </c>
      <c r="F934" s="3" t="s">
        <v>25</v>
      </c>
      <c r="G934" s="3" t="s">
        <v>21</v>
      </c>
      <c r="H934" s="3" t="s">
        <v>22</v>
      </c>
      <c r="I934" s="4" t="n">
        <v>663</v>
      </c>
      <c r="J934" s="4" t="n">
        <v>0</v>
      </c>
      <c r="K934" s="4" t="n">
        <v>0</v>
      </c>
      <c r="L934" s="4" t="n">
        <f aca="false">IF(O934="Delivered",I934-J934+K934,0)</f>
        <v>663</v>
      </c>
      <c r="M934" s="0" t="n">
        <v>34</v>
      </c>
      <c r="N934" s="0" t="n">
        <v>4.2</v>
      </c>
      <c r="O934" s="3" t="s">
        <v>17</v>
      </c>
    </row>
    <row r="935" customFormat="false" ht="15" hidden="false" customHeight="false" outlineLevel="0" collapsed="false">
      <c r="A935" s="0" t="s">
        <v>53</v>
      </c>
      <c r="B935" s="2" t="n">
        <v>45903</v>
      </c>
      <c r="C935" s="0" t="str">
        <f aca="false">TEXT(B935,"mmm")</f>
        <v>Sep</v>
      </c>
      <c r="D935" s="0" t="str">
        <f aca="false">TEXT(B935,"ddd")</f>
        <v>Wed</v>
      </c>
      <c r="E935" s="3" t="s">
        <v>40</v>
      </c>
      <c r="F935" s="3" t="s">
        <v>25</v>
      </c>
      <c r="G935" s="3" t="s">
        <v>15</v>
      </c>
      <c r="H935" s="3" t="s">
        <v>54</v>
      </c>
      <c r="I935" s="4" t="n">
        <v>315</v>
      </c>
      <c r="J935" s="4" t="n">
        <v>40</v>
      </c>
      <c r="K935" s="4" t="n">
        <v>30</v>
      </c>
      <c r="L935" s="4" t="n">
        <f aca="false">IF(O935="Delivered",I935-J935+K935,0)</f>
        <v>305</v>
      </c>
      <c r="M935" s="0" t="n">
        <v>31</v>
      </c>
      <c r="N935" s="0" t="n">
        <v>4.3</v>
      </c>
      <c r="O935" s="3" t="s">
        <v>17</v>
      </c>
    </row>
    <row r="936" customFormat="false" ht="15" hidden="false" customHeight="false" outlineLevel="0" collapsed="false">
      <c r="A936" s="0" t="s">
        <v>147</v>
      </c>
      <c r="B936" s="2" t="n">
        <v>45903</v>
      </c>
      <c r="C936" s="0" t="str">
        <f aca="false">TEXT(B936,"mmm")</f>
        <v>Sep</v>
      </c>
      <c r="D936" s="0" t="str">
        <f aca="false">TEXT(B936,"ddd")</f>
        <v>Wed</v>
      </c>
      <c r="E936" s="3" t="s">
        <v>13</v>
      </c>
      <c r="F936" s="3" t="s">
        <v>31</v>
      </c>
      <c r="G936" s="3" t="s">
        <v>21</v>
      </c>
      <c r="H936" s="3" t="s">
        <v>22</v>
      </c>
      <c r="I936" s="4" t="n">
        <v>516</v>
      </c>
      <c r="J936" s="4" t="n">
        <v>0</v>
      </c>
      <c r="K936" s="4" t="n">
        <v>0</v>
      </c>
      <c r="L936" s="4" t="n">
        <f aca="false">IF(O936="Delivered",I936-J936+K936,0)</f>
        <v>516</v>
      </c>
      <c r="M936" s="0" t="n">
        <v>31</v>
      </c>
      <c r="N936" s="0" t="n">
        <v>4.6</v>
      </c>
      <c r="O936" s="3" t="s">
        <v>17</v>
      </c>
    </row>
    <row r="937" customFormat="false" ht="15" hidden="false" customHeight="false" outlineLevel="0" collapsed="false">
      <c r="A937" s="0" t="s">
        <v>534</v>
      </c>
      <c r="B937" s="2" t="n">
        <v>45903</v>
      </c>
      <c r="C937" s="0" t="str">
        <f aca="false">TEXT(B937,"mmm")</f>
        <v>Sep</v>
      </c>
      <c r="D937" s="0" t="str">
        <f aca="false">TEXT(B937,"ddd")</f>
        <v>Wed</v>
      </c>
      <c r="E937" s="3" t="s">
        <v>40</v>
      </c>
      <c r="F937" s="3" t="s">
        <v>20</v>
      </c>
      <c r="G937" s="3" t="s">
        <v>15</v>
      </c>
      <c r="H937" s="3" t="s">
        <v>34</v>
      </c>
      <c r="I937" s="4" t="n">
        <v>498</v>
      </c>
      <c r="J937" s="4" t="n">
        <v>99</v>
      </c>
      <c r="K937" s="4" t="n">
        <v>30</v>
      </c>
      <c r="L937" s="4" t="n">
        <f aca="false">IF(O937="Delivered",I937-J937+K937,0)</f>
        <v>429</v>
      </c>
      <c r="M937" s="0" t="n">
        <v>46</v>
      </c>
      <c r="N937" s="0" t="n">
        <v>3.5</v>
      </c>
      <c r="O937" s="3" t="s">
        <v>17</v>
      </c>
    </row>
    <row r="938" customFormat="false" ht="15" hidden="false" customHeight="false" outlineLevel="0" collapsed="false">
      <c r="A938" s="0" t="s">
        <v>704</v>
      </c>
      <c r="B938" s="2" t="n">
        <v>45903</v>
      </c>
      <c r="C938" s="0" t="str">
        <f aca="false">TEXT(B938,"mmm")</f>
        <v>Sep</v>
      </c>
      <c r="D938" s="0" t="str">
        <f aca="false">TEXT(B938,"ddd")</f>
        <v>Wed</v>
      </c>
      <c r="E938" s="3" t="s">
        <v>24</v>
      </c>
      <c r="F938" s="3" t="s">
        <v>14</v>
      </c>
      <c r="G938" s="3" t="s">
        <v>21</v>
      </c>
      <c r="H938" s="3" t="s">
        <v>22</v>
      </c>
      <c r="I938" s="4" t="n">
        <v>372</v>
      </c>
      <c r="J938" s="4" t="n">
        <v>0</v>
      </c>
      <c r="K938" s="4" t="n">
        <v>20</v>
      </c>
      <c r="L938" s="4" t="n">
        <f aca="false">IF(O938="Delivered",I938-J938+K938,0)</f>
        <v>392</v>
      </c>
      <c r="M938" s="0" t="n">
        <v>40</v>
      </c>
      <c r="N938" s="0" t="n">
        <v>3.7</v>
      </c>
      <c r="O938" s="3" t="s">
        <v>17</v>
      </c>
    </row>
    <row r="939" customFormat="false" ht="15" hidden="false" customHeight="false" outlineLevel="0" collapsed="false">
      <c r="A939" s="0" t="s">
        <v>1156</v>
      </c>
      <c r="B939" s="2" t="n">
        <v>45903</v>
      </c>
      <c r="C939" s="0" t="str">
        <f aca="false">TEXT(B939,"mmm")</f>
        <v>Sep</v>
      </c>
      <c r="D939" s="0" t="str">
        <f aca="false">TEXT(B939,"ddd")</f>
        <v>Wed</v>
      </c>
      <c r="E939" s="3" t="s">
        <v>24</v>
      </c>
      <c r="F939" s="3" t="s">
        <v>20</v>
      </c>
      <c r="G939" s="3" t="s">
        <v>21</v>
      </c>
      <c r="H939" s="3" t="s">
        <v>54</v>
      </c>
      <c r="I939" s="4" t="n">
        <v>530</v>
      </c>
      <c r="J939" s="4" t="n">
        <v>0</v>
      </c>
      <c r="K939" s="4" t="n">
        <v>0</v>
      </c>
      <c r="L939" s="4" t="n">
        <f aca="false">IF(O939="Delivered",I939-J939+K939,0)</f>
        <v>530</v>
      </c>
      <c r="M939" s="0" t="n">
        <v>31</v>
      </c>
      <c r="N939" s="0" t="n">
        <v>4.1</v>
      </c>
      <c r="O939" s="3" t="s">
        <v>17</v>
      </c>
    </row>
    <row r="940" customFormat="false" ht="15" hidden="false" customHeight="false" outlineLevel="0" collapsed="false">
      <c r="A940" s="0" t="s">
        <v>1233</v>
      </c>
      <c r="B940" s="2" t="n">
        <v>45903</v>
      </c>
      <c r="C940" s="0" t="str">
        <f aca="false">TEXT(B940,"mmm")</f>
        <v>Sep</v>
      </c>
      <c r="D940" s="0" t="str">
        <f aca="false">TEXT(B940,"ddd")</f>
        <v>Wed</v>
      </c>
      <c r="E940" s="3" t="s">
        <v>40</v>
      </c>
      <c r="F940" s="3" t="s">
        <v>31</v>
      </c>
      <c r="G940" s="3" t="s">
        <v>21</v>
      </c>
      <c r="H940" s="3" t="s">
        <v>22</v>
      </c>
      <c r="I940" s="4" t="n">
        <v>593</v>
      </c>
      <c r="J940" s="4" t="n">
        <v>0</v>
      </c>
      <c r="K940" s="4" t="n">
        <v>0</v>
      </c>
      <c r="L940" s="4" t="n">
        <f aca="false">IF(O940="Delivered",I940-J940+K940,0)</f>
        <v>593</v>
      </c>
      <c r="M940" s="0" t="n">
        <v>49</v>
      </c>
      <c r="N940" s="0" t="n">
        <v>4.6</v>
      </c>
      <c r="O940" s="3" t="s">
        <v>17</v>
      </c>
    </row>
    <row r="941" customFormat="false" ht="15" hidden="false" customHeight="false" outlineLevel="0" collapsed="false">
      <c r="A941" s="0" t="s">
        <v>1684</v>
      </c>
      <c r="B941" s="2" t="n">
        <v>45903</v>
      </c>
      <c r="C941" s="0" t="str">
        <f aca="false">TEXT(B941,"mmm")</f>
        <v>Sep</v>
      </c>
      <c r="D941" s="0" t="str">
        <f aca="false">TEXT(B941,"ddd")</f>
        <v>Wed</v>
      </c>
      <c r="E941" s="3" t="s">
        <v>24</v>
      </c>
      <c r="F941" s="3" t="s">
        <v>56</v>
      </c>
      <c r="G941" s="3" t="s">
        <v>21</v>
      </c>
      <c r="H941" s="3" t="s">
        <v>16</v>
      </c>
      <c r="I941" s="4" t="n">
        <v>440</v>
      </c>
      <c r="J941" s="4" t="n">
        <v>0</v>
      </c>
      <c r="K941" s="4" t="n">
        <v>20</v>
      </c>
      <c r="L941" s="4" t="n">
        <f aca="false">IF(O941="Delivered",I941-J941+K941,0)</f>
        <v>460</v>
      </c>
      <c r="M941" s="0" t="n">
        <v>37</v>
      </c>
      <c r="O941" s="3" t="s">
        <v>17</v>
      </c>
    </row>
    <row r="942" customFormat="false" ht="15" hidden="false" customHeight="false" outlineLevel="0" collapsed="false">
      <c r="A942" s="0" t="s">
        <v>114</v>
      </c>
      <c r="B942" s="2" t="n">
        <v>45904</v>
      </c>
      <c r="C942" s="0" t="str">
        <f aca="false">TEXT(B942,"mmm")</f>
        <v>Sep</v>
      </c>
      <c r="D942" s="0" t="str">
        <f aca="false">TEXT(B942,"ddd")</f>
        <v>Thu</v>
      </c>
      <c r="E942" s="3" t="s">
        <v>30</v>
      </c>
      <c r="F942" s="3" t="s">
        <v>56</v>
      </c>
      <c r="G942" s="3" t="s">
        <v>15</v>
      </c>
      <c r="H942" s="3" t="s">
        <v>22</v>
      </c>
      <c r="I942" s="4" t="n">
        <v>317</v>
      </c>
      <c r="J942" s="4" t="n">
        <v>0</v>
      </c>
      <c r="K942" s="4" t="n">
        <v>40</v>
      </c>
      <c r="L942" s="4" t="n">
        <f aca="false">IF(O942="Delivered",I942-J942+K942,0)</f>
        <v>357</v>
      </c>
      <c r="M942" s="0" t="n">
        <v>27</v>
      </c>
      <c r="N942" s="0" t="n">
        <v>4.3</v>
      </c>
      <c r="O942" s="3" t="s">
        <v>17</v>
      </c>
    </row>
    <row r="943" customFormat="false" ht="15" hidden="false" customHeight="false" outlineLevel="0" collapsed="false">
      <c r="A943" s="0" t="s">
        <v>300</v>
      </c>
      <c r="B943" s="2" t="n">
        <v>45904</v>
      </c>
      <c r="C943" s="0" t="str">
        <f aca="false">TEXT(B943,"mmm")</f>
        <v>Sep</v>
      </c>
      <c r="D943" s="0" t="str">
        <f aca="false">TEXT(B943,"ddd")</f>
        <v>Thu</v>
      </c>
      <c r="E943" s="3" t="s">
        <v>40</v>
      </c>
      <c r="F943" s="3" t="s">
        <v>20</v>
      </c>
      <c r="G943" s="3" t="s">
        <v>21</v>
      </c>
      <c r="H943" s="3" t="s">
        <v>16</v>
      </c>
      <c r="I943" s="4" t="n">
        <v>431</v>
      </c>
      <c r="J943" s="4" t="n">
        <v>95</v>
      </c>
      <c r="K943" s="4" t="n">
        <v>20</v>
      </c>
      <c r="L943" s="4" t="n">
        <f aca="false">IF(O943="Delivered",I943-J943+K943,0)</f>
        <v>356</v>
      </c>
      <c r="M943" s="0" t="n">
        <v>38</v>
      </c>
      <c r="N943" s="0" t="n">
        <v>4.1</v>
      </c>
      <c r="O943" s="3" t="s">
        <v>17</v>
      </c>
    </row>
    <row r="944" customFormat="false" ht="15" hidden="false" customHeight="false" outlineLevel="0" collapsed="false">
      <c r="A944" s="0" t="s">
        <v>411</v>
      </c>
      <c r="B944" s="2" t="n">
        <v>45904</v>
      </c>
      <c r="C944" s="0" t="str">
        <f aca="false">TEXT(B944,"mmm")</f>
        <v>Sep</v>
      </c>
      <c r="D944" s="0" t="str">
        <f aca="false">TEXT(B944,"ddd")</f>
        <v>Thu</v>
      </c>
      <c r="E944" s="3" t="s">
        <v>51</v>
      </c>
      <c r="F944" s="3" t="s">
        <v>56</v>
      </c>
      <c r="G944" s="3" t="s">
        <v>21</v>
      </c>
      <c r="H944" s="3" t="s">
        <v>22</v>
      </c>
      <c r="I944" s="4" t="n">
        <v>231</v>
      </c>
      <c r="J944" s="4" t="n">
        <v>0</v>
      </c>
      <c r="K944" s="4" t="n">
        <v>40</v>
      </c>
      <c r="L944" s="4" t="n">
        <f aca="false">IF(O944="Delivered",I944-J944+K944,0)</f>
        <v>271</v>
      </c>
      <c r="M944" s="0" t="n">
        <v>26</v>
      </c>
      <c r="O944" s="3" t="s">
        <v>17</v>
      </c>
    </row>
    <row r="945" customFormat="false" ht="15" hidden="false" customHeight="false" outlineLevel="0" collapsed="false">
      <c r="A945" s="0" t="s">
        <v>581</v>
      </c>
      <c r="B945" s="2" t="n">
        <v>45904</v>
      </c>
      <c r="C945" s="0" t="str">
        <f aca="false">TEXT(B945,"mmm")</f>
        <v>Sep</v>
      </c>
      <c r="D945" s="0" t="str">
        <f aca="false">TEXT(B945,"ddd")</f>
        <v>Thu</v>
      </c>
      <c r="E945" s="3" t="s">
        <v>13</v>
      </c>
      <c r="F945" s="3" t="s">
        <v>49</v>
      </c>
      <c r="G945" s="3" t="s">
        <v>21</v>
      </c>
      <c r="H945" s="3" t="s">
        <v>22</v>
      </c>
      <c r="I945" s="4" t="n">
        <v>509</v>
      </c>
      <c r="J945" s="4" t="n">
        <v>104</v>
      </c>
      <c r="K945" s="4" t="n">
        <v>0</v>
      </c>
      <c r="L945" s="4" t="n">
        <f aca="false">IF(O945="Delivered",I945-J945+K945,0)</f>
        <v>405</v>
      </c>
      <c r="M945" s="0" t="n">
        <v>32</v>
      </c>
      <c r="N945" s="0" t="n">
        <v>4</v>
      </c>
      <c r="O945" s="3" t="s">
        <v>17</v>
      </c>
    </row>
    <row r="946" customFormat="false" ht="15" hidden="false" customHeight="false" outlineLevel="0" collapsed="false">
      <c r="A946" s="0" t="s">
        <v>719</v>
      </c>
      <c r="B946" s="2" t="n">
        <v>45904</v>
      </c>
      <c r="C946" s="0" t="str">
        <f aca="false">TEXT(B946,"mmm")</f>
        <v>Sep</v>
      </c>
      <c r="D946" s="0" t="str">
        <f aca="false">TEXT(B946,"ddd")</f>
        <v>Thu</v>
      </c>
      <c r="E946" s="3" t="s">
        <v>27</v>
      </c>
      <c r="F946" s="3" t="s">
        <v>14</v>
      </c>
      <c r="G946" s="3" t="s">
        <v>21</v>
      </c>
      <c r="H946" s="3" t="s">
        <v>22</v>
      </c>
      <c r="I946" s="4" t="n">
        <v>318</v>
      </c>
      <c r="J946" s="4" t="n">
        <v>0</v>
      </c>
      <c r="K946" s="4" t="n">
        <v>45</v>
      </c>
      <c r="L946" s="4" t="n">
        <f aca="false">IF(O946="Delivered",I946-J946+K946,0)</f>
        <v>363</v>
      </c>
      <c r="M946" s="0" t="n">
        <v>46</v>
      </c>
      <c r="N946" s="0" t="n">
        <v>4</v>
      </c>
      <c r="O946" s="3" t="s">
        <v>17</v>
      </c>
    </row>
    <row r="947" customFormat="false" ht="15" hidden="false" customHeight="false" outlineLevel="0" collapsed="false">
      <c r="A947" s="0" t="s">
        <v>811</v>
      </c>
      <c r="B947" s="2" t="n">
        <v>45904</v>
      </c>
      <c r="C947" s="0" t="str">
        <f aca="false">TEXT(B947,"mmm")</f>
        <v>Sep</v>
      </c>
      <c r="D947" s="0" t="str">
        <f aca="false">TEXT(B947,"ddd")</f>
        <v>Thu</v>
      </c>
      <c r="E947" s="3" t="s">
        <v>27</v>
      </c>
      <c r="F947" s="3" t="s">
        <v>31</v>
      </c>
      <c r="G947" s="3" t="s">
        <v>15</v>
      </c>
      <c r="H947" s="3" t="s">
        <v>22</v>
      </c>
      <c r="I947" s="4" t="n">
        <v>553</v>
      </c>
      <c r="J947" s="4" t="n">
        <v>129</v>
      </c>
      <c r="K947" s="4" t="n">
        <v>0</v>
      </c>
      <c r="L947" s="4" t="n">
        <f aca="false">IF(O947="Delivered",I947-J947+K947,0)</f>
        <v>424</v>
      </c>
      <c r="M947" s="0" t="n">
        <v>42</v>
      </c>
      <c r="N947" s="0" t="n">
        <v>4.2</v>
      </c>
      <c r="O947" s="3" t="s">
        <v>17</v>
      </c>
    </row>
    <row r="948" customFormat="false" ht="15" hidden="false" customHeight="false" outlineLevel="0" collapsed="false">
      <c r="A948" s="0" t="s">
        <v>1452</v>
      </c>
      <c r="B948" s="2" t="n">
        <v>45904</v>
      </c>
      <c r="C948" s="0" t="str">
        <f aca="false">TEXT(B948,"mmm")</f>
        <v>Sep</v>
      </c>
      <c r="D948" s="0" t="str">
        <f aca="false">TEXT(B948,"ddd")</f>
        <v>Thu</v>
      </c>
      <c r="E948" s="3" t="s">
        <v>24</v>
      </c>
      <c r="F948" s="3" t="s">
        <v>31</v>
      </c>
      <c r="G948" s="3" t="s">
        <v>21</v>
      </c>
      <c r="H948" s="3" t="s">
        <v>22</v>
      </c>
      <c r="I948" s="4" t="n">
        <v>620</v>
      </c>
      <c r="J948" s="4" t="n">
        <v>0</v>
      </c>
      <c r="K948" s="4" t="n">
        <v>0</v>
      </c>
      <c r="L948" s="4" t="n">
        <f aca="false">IF(O948="Delivered",I948-J948+K948,0)</f>
        <v>620</v>
      </c>
      <c r="M948" s="0" t="n">
        <v>41</v>
      </c>
      <c r="N948" s="0" t="n">
        <v>4</v>
      </c>
      <c r="O948" s="3" t="s">
        <v>17</v>
      </c>
    </row>
    <row r="949" customFormat="false" ht="15" hidden="false" customHeight="false" outlineLevel="0" collapsed="false">
      <c r="A949" s="0" t="s">
        <v>1554</v>
      </c>
      <c r="B949" s="2" t="n">
        <v>45904</v>
      </c>
      <c r="C949" s="0" t="str">
        <f aca="false">TEXT(B949,"mmm")</f>
        <v>Sep</v>
      </c>
      <c r="D949" s="0" t="str">
        <f aca="false">TEXT(B949,"ddd")</f>
        <v>Thu</v>
      </c>
      <c r="E949" s="3" t="s">
        <v>27</v>
      </c>
      <c r="F949" s="3" t="s">
        <v>49</v>
      </c>
      <c r="G949" s="3" t="s">
        <v>21</v>
      </c>
      <c r="H949" s="3" t="s">
        <v>16</v>
      </c>
      <c r="I949" s="4" t="n">
        <v>589</v>
      </c>
      <c r="J949" s="4" t="n">
        <v>84</v>
      </c>
      <c r="K949" s="4" t="n">
        <v>0</v>
      </c>
      <c r="L949" s="4" t="n">
        <f aca="false">IF(O949="Delivered",I949-J949+K949,0)</f>
        <v>505</v>
      </c>
      <c r="M949" s="0" t="n">
        <v>40</v>
      </c>
      <c r="N949" s="0" t="n">
        <v>4.3</v>
      </c>
      <c r="O949" s="3" t="s">
        <v>17</v>
      </c>
    </row>
    <row r="950" customFormat="false" ht="15" hidden="false" customHeight="false" outlineLevel="0" collapsed="false">
      <c r="A950" s="0" t="s">
        <v>482</v>
      </c>
      <c r="B950" s="2" t="n">
        <v>45905</v>
      </c>
      <c r="C950" s="0" t="str">
        <f aca="false">TEXT(B950,"mmm")</f>
        <v>Sep</v>
      </c>
      <c r="D950" s="0" t="str">
        <f aca="false">TEXT(B950,"ddd")</f>
        <v>Fri</v>
      </c>
      <c r="E950" s="3" t="s">
        <v>24</v>
      </c>
      <c r="F950" s="3" t="s">
        <v>31</v>
      </c>
      <c r="G950" s="3" t="s">
        <v>15</v>
      </c>
      <c r="H950" s="3" t="s">
        <v>22</v>
      </c>
      <c r="I950" s="4" t="n">
        <v>672</v>
      </c>
      <c r="J950" s="4" t="n">
        <v>141</v>
      </c>
      <c r="K950" s="4" t="n">
        <v>0</v>
      </c>
      <c r="L950" s="4" t="n">
        <f aca="false">IF(O950="Delivered",I950-J950+K950,0)</f>
        <v>531</v>
      </c>
      <c r="M950" s="0" t="n">
        <v>37</v>
      </c>
      <c r="N950" s="0" t="n">
        <v>3.5</v>
      </c>
      <c r="O950" s="3" t="s">
        <v>17</v>
      </c>
    </row>
    <row r="951" customFormat="false" ht="15" hidden="false" customHeight="false" outlineLevel="0" collapsed="false">
      <c r="A951" s="0" t="s">
        <v>558</v>
      </c>
      <c r="B951" s="2" t="n">
        <v>45905</v>
      </c>
      <c r="C951" s="0" t="str">
        <f aca="false">TEXT(B951,"mmm")</f>
        <v>Sep</v>
      </c>
      <c r="D951" s="0" t="str">
        <f aca="false">TEXT(B951,"ddd")</f>
        <v>Fri</v>
      </c>
      <c r="E951" s="3" t="s">
        <v>27</v>
      </c>
      <c r="F951" s="3" t="s">
        <v>14</v>
      </c>
      <c r="G951" s="3" t="s">
        <v>21</v>
      </c>
      <c r="H951" s="3" t="s">
        <v>36</v>
      </c>
      <c r="I951" s="4" t="n">
        <v>405</v>
      </c>
      <c r="J951" s="4" t="n">
        <v>0</v>
      </c>
      <c r="K951" s="4" t="n">
        <v>45</v>
      </c>
      <c r="L951" s="4" t="n">
        <f aca="false">IF(O951="Delivered",I951-J951+K951,0)</f>
        <v>450</v>
      </c>
      <c r="M951" s="0" t="n">
        <v>37</v>
      </c>
      <c r="N951" s="0" t="n">
        <v>4.1</v>
      </c>
      <c r="O951" s="3" t="s">
        <v>17</v>
      </c>
    </row>
    <row r="952" customFormat="false" ht="15" hidden="false" customHeight="false" outlineLevel="0" collapsed="false">
      <c r="A952" s="0" t="s">
        <v>678</v>
      </c>
      <c r="B952" s="2" t="n">
        <v>45905</v>
      </c>
      <c r="C952" s="0" t="str">
        <f aca="false">TEXT(B952,"mmm")</f>
        <v>Sep</v>
      </c>
      <c r="D952" s="0" t="str">
        <f aca="false">TEXT(B952,"ddd")</f>
        <v>Fri</v>
      </c>
      <c r="E952" s="3" t="s">
        <v>40</v>
      </c>
      <c r="F952" s="3" t="s">
        <v>31</v>
      </c>
      <c r="G952" s="3" t="s">
        <v>15</v>
      </c>
      <c r="H952" s="3" t="s">
        <v>54</v>
      </c>
      <c r="I952" s="4" t="n">
        <v>575</v>
      </c>
      <c r="J952" s="4" t="n">
        <v>0</v>
      </c>
      <c r="K952" s="4" t="n">
        <v>0</v>
      </c>
      <c r="L952" s="4" t="n">
        <f aca="false">IF(O952="Delivered",I952-J952+K952,0)</f>
        <v>575</v>
      </c>
      <c r="M952" s="0" t="n">
        <v>37</v>
      </c>
      <c r="N952" s="0" t="n">
        <v>4.6</v>
      </c>
      <c r="O952" s="3" t="s">
        <v>17</v>
      </c>
    </row>
    <row r="953" customFormat="false" ht="15" hidden="false" customHeight="false" outlineLevel="0" collapsed="false">
      <c r="A953" s="0" t="s">
        <v>1670</v>
      </c>
      <c r="B953" s="2" t="n">
        <v>45905</v>
      </c>
      <c r="C953" s="0" t="str">
        <f aca="false">TEXT(B953,"mmm")</f>
        <v>Sep</v>
      </c>
      <c r="D953" s="0" t="str">
        <f aca="false">TEXT(B953,"ddd")</f>
        <v>Fri</v>
      </c>
      <c r="E953" s="3" t="s">
        <v>40</v>
      </c>
      <c r="F953" s="3" t="s">
        <v>14</v>
      </c>
      <c r="G953" s="3" t="s">
        <v>21</v>
      </c>
      <c r="H953" s="3" t="s">
        <v>22</v>
      </c>
      <c r="I953" s="4" t="n">
        <v>220</v>
      </c>
      <c r="J953" s="4" t="n">
        <v>0</v>
      </c>
      <c r="K953" s="4" t="n">
        <v>40</v>
      </c>
      <c r="L953" s="4" t="n">
        <f aca="false">IF(O953="Delivered",I953-J953+K953,0)</f>
        <v>260</v>
      </c>
      <c r="M953" s="0" t="n">
        <v>52</v>
      </c>
      <c r="N953" s="0" t="n">
        <v>3.2</v>
      </c>
      <c r="O953" s="3" t="s">
        <v>17</v>
      </c>
    </row>
    <row r="954" customFormat="false" ht="15" hidden="false" customHeight="false" outlineLevel="0" collapsed="false">
      <c r="A954" s="0" t="s">
        <v>1682</v>
      </c>
      <c r="B954" s="2" t="n">
        <v>45905</v>
      </c>
      <c r="C954" s="0" t="str">
        <f aca="false">TEXT(B954,"mmm")</f>
        <v>Sep</v>
      </c>
      <c r="D954" s="0" t="str">
        <f aca="false">TEXT(B954,"ddd")</f>
        <v>Fri</v>
      </c>
      <c r="E954" s="3" t="s">
        <v>27</v>
      </c>
      <c r="F954" s="3" t="s">
        <v>25</v>
      </c>
      <c r="G954" s="3" t="s">
        <v>21</v>
      </c>
      <c r="H954" s="3" t="s">
        <v>36</v>
      </c>
      <c r="I954" s="4" t="n">
        <v>489</v>
      </c>
      <c r="J954" s="4" t="n">
        <v>0</v>
      </c>
      <c r="K954" s="4" t="n">
        <v>30</v>
      </c>
      <c r="L954" s="4" t="n">
        <f aca="false">IF(O954="Delivered",I954-J954+K954,0)</f>
        <v>519</v>
      </c>
      <c r="M954" s="0" t="n">
        <v>30</v>
      </c>
      <c r="N954" s="0" t="n">
        <v>4.6</v>
      </c>
      <c r="O954" s="3" t="s">
        <v>17</v>
      </c>
    </row>
    <row r="955" customFormat="false" ht="15" hidden="false" customHeight="false" outlineLevel="0" collapsed="false">
      <c r="A955" s="0" t="s">
        <v>386</v>
      </c>
      <c r="B955" s="2" t="n">
        <v>45906</v>
      </c>
      <c r="C955" s="0" t="str">
        <f aca="false">TEXT(B955,"mmm")</f>
        <v>Sep</v>
      </c>
      <c r="D955" s="0" t="str">
        <f aca="false">TEXT(B955,"ddd")</f>
        <v>Sat</v>
      </c>
      <c r="E955" s="3" t="s">
        <v>27</v>
      </c>
      <c r="F955" s="3" t="s">
        <v>31</v>
      </c>
      <c r="G955" s="3" t="s">
        <v>21</v>
      </c>
      <c r="H955" s="3" t="s">
        <v>36</v>
      </c>
      <c r="I955" s="4" t="n">
        <v>376</v>
      </c>
      <c r="J955" s="4" t="n">
        <v>0</v>
      </c>
      <c r="K955" s="4" t="n">
        <v>45</v>
      </c>
      <c r="L955" s="4" t="n">
        <f aca="false">IF(O955="Delivered",I955-J955+K955,0)</f>
        <v>421</v>
      </c>
      <c r="M955" s="0" t="n">
        <v>51</v>
      </c>
      <c r="N955" s="0" t="n">
        <v>3.8</v>
      </c>
      <c r="O955" s="3" t="s">
        <v>17</v>
      </c>
    </row>
    <row r="956" customFormat="false" ht="15" hidden="false" customHeight="false" outlineLevel="0" collapsed="false">
      <c r="A956" s="0" t="s">
        <v>642</v>
      </c>
      <c r="B956" s="2" t="n">
        <v>45906</v>
      </c>
      <c r="C956" s="0" t="str">
        <f aca="false">TEXT(B956,"mmm")</f>
        <v>Sep</v>
      </c>
      <c r="D956" s="0" t="str">
        <f aca="false">TEXT(B956,"ddd")</f>
        <v>Sat</v>
      </c>
      <c r="E956" s="3" t="s">
        <v>27</v>
      </c>
      <c r="F956" s="3" t="s">
        <v>31</v>
      </c>
      <c r="G956" s="3" t="s">
        <v>21</v>
      </c>
      <c r="H956" s="3" t="s">
        <v>22</v>
      </c>
      <c r="I956" s="4" t="n">
        <v>516</v>
      </c>
      <c r="J956" s="4" t="n">
        <v>0</v>
      </c>
      <c r="K956" s="4" t="n">
        <v>0</v>
      </c>
      <c r="L956" s="4" t="n">
        <f aca="false">IF(O956="Delivered",I956-J956+K956,0)</f>
        <v>516</v>
      </c>
      <c r="M956" s="0" t="n">
        <v>56</v>
      </c>
      <c r="N956" s="0" t="n">
        <v>3.9</v>
      </c>
      <c r="O956" s="3" t="s">
        <v>17</v>
      </c>
    </row>
    <row r="957" customFormat="false" ht="15" hidden="false" customHeight="false" outlineLevel="0" collapsed="false">
      <c r="A957" s="0" t="s">
        <v>1146</v>
      </c>
      <c r="B957" s="2" t="n">
        <v>45906</v>
      </c>
      <c r="C957" s="0" t="str">
        <f aca="false">TEXT(B957,"mmm")</f>
        <v>Sep</v>
      </c>
      <c r="D957" s="0" t="str">
        <f aca="false">TEXT(B957,"ddd")</f>
        <v>Sat</v>
      </c>
      <c r="E957" s="3" t="s">
        <v>27</v>
      </c>
      <c r="F957" s="3" t="s">
        <v>31</v>
      </c>
      <c r="G957" s="3" t="s">
        <v>21</v>
      </c>
      <c r="H957" s="3" t="s">
        <v>36</v>
      </c>
      <c r="I957" s="4" t="n">
        <v>549</v>
      </c>
      <c r="J957" s="4" t="n">
        <v>0</v>
      </c>
      <c r="K957" s="4" t="n">
        <v>0</v>
      </c>
      <c r="L957" s="4" t="n">
        <f aca="false">IF(O957="Delivered",I957-J957+K957,0)</f>
        <v>549</v>
      </c>
      <c r="M957" s="0" t="n">
        <v>39</v>
      </c>
      <c r="N957" s="0" t="n">
        <v>3.5</v>
      </c>
      <c r="O957" s="3" t="s">
        <v>17</v>
      </c>
    </row>
    <row r="958" customFormat="false" ht="15" hidden="false" customHeight="false" outlineLevel="0" collapsed="false">
      <c r="A958" s="0" t="s">
        <v>42</v>
      </c>
      <c r="B958" s="2" t="n">
        <v>45907</v>
      </c>
      <c r="C958" s="0" t="str">
        <f aca="false">TEXT(B958,"mmm")</f>
        <v>Sep</v>
      </c>
      <c r="D958" s="0" t="str">
        <f aca="false">TEXT(B958,"ddd")</f>
        <v>Sun</v>
      </c>
      <c r="E958" s="3" t="s">
        <v>13</v>
      </c>
      <c r="F958" s="3" t="s">
        <v>28</v>
      </c>
      <c r="G958" s="3" t="s">
        <v>21</v>
      </c>
      <c r="H958" s="3" t="s">
        <v>22</v>
      </c>
      <c r="I958" s="4" t="n">
        <v>430</v>
      </c>
      <c r="J958" s="4" t="n">
        <v>0</v>
      </c>
      <c r="K958" s="4" t="n">
        <v>20</v>
      </c>
      <c r="L958" s="4" t="n">
        <f aca="false">IF(O958="Delivered",I958-J958+K958,0)</f>
        <v>450</v>
      </c>
      <c r="M958" s="0" t="n">
        <v>33</v>
      </c>
      <c r="N958" s="0" t="n">
        <v>5</v>
      </c>
      <c r="O958" s="3" t="s">
        <v>17</v>
      </c>
    </row>
    <row r="959" customFormat="false" ht="15" hidden="false" customHeight="false" outlineLevel="0" collapsed="false">
      <c r="A959" s="0" t="s">
        <v>378</v>
      </c>
      <c r="B959" s="2" t="n">
        <v>45907</v>
      </c>
      <c r="C959" s="0" t="str">
        <f aca="false">TEXT(B959,"mmm")</f>
        <v>Sep</v>
      </c>
      <c r="D959" s="0" t="str">
        <f aca="false">TEXT(B959,"ddd")</f>
        <v>Sun</v>
      </c>
      <c r="E959" s="3" t="s">
        <v>13</v>
      </c>
      <c r="F959" s="3" t="s">
        <v>31</v>
      </c>
      <c r="G959" s="3" t="s">
        <v>21</v>
      </c>
      <c r="H959" s="3" t="s">
        <v>54</v>
      </c>
      <c r="I959" s="4" t="n">
        <v>579</v>
      </c>
      <c r="J959" s="4" t="n">
        <v>0</v>
      </c>
      <c r="K959" s="4" t="n">
        <v>0</v>
      </c>
      <c r="L959" s="4" t="n">
        <f aca="false">IF(O959="Delivered",I959-J959+K959,0)</f>
        <v>579</v>
      </c>
      <c r="M959" s="0" t="n">
        <v>29</v>
      </c>
      <c r="N959" s="0" t="n">
        <v>4.2</v>
      </c>
      <c r="O959" s="3" t="s">
        <v>17</v>
      </c>
    </row>
    <row r="960" customFormat="false" ht="15" hidden="false" customHeight="false" outlineLevel="0" collapsed="false">
      <c r="A960" s="0" t="s">
        <v>1247</v>
      </c>
      <c r="B960" s="2" t="n">
        <v>45907</v>
      </c>
      <c r="C960" s="0" t="str">
        <f aca="false">TEXT(B960,"mmm")</f>
        <v>Sep</v>
      </c>
      <c r="D960" s="0" t="str">
        <f aca="false">TEXT(B960,"ddd")</f>
        <v>Sun</v>
      </c>
      <c r="E960" s="3" t="s">
        <v>45</v>
      </c>
      <c r="F960" s="3" t="s">
        <v>28</v>
      </c>
      <c r="G960" s="3" t="s">
        <v>21</v>
      </c>
      <c r="H960" s="3" t="s">
        <v>34</v>
      </c>
      <c r="I960" s="4" t="n">
        <v>461</v>
      </c>
      <c r="J960" s="4" t="n">
        <v>0</v>
      </c>
      <c r="K960" s="4" t="n">
        <v>30</v>
      </c>
      <c r="L960" s="4" t="n">
        <f aca="false">IF(O960="Delivered",I960-J960+K960,0)</f>
        <v>491</v>
      </c>
      <c r="M960" s="0" t="n">
        <v>28</v>
      </c>
      <c r="N960" s="0" t="n">
        <v>4.2</v>
      </c>
      <c r="O960" s="3" t="s">
        <v>17</v>
      </c>
    </row>
    <row r="961" customFormat="false" ht="15" hidden="false" customHeight="false" outlineLevel="0" collapsed="false">
      <c r="A961" s="0" t="s">
        <v>1187</v>
      </c>
      <c r="B961" s="2" t="n">
        <v>45908</v>
      </c>
      <c r="C961" s="0" t="str">
        <f aca="false">TEXT(B961,"mmm")</f>
        <v>Sep</v>
      </c>
      <c r="D961" s="0" t="str">
        <f aca="false">TEXT(B961,"ddd")</f>
        <v>Mon</v>
      </c>
      <c r="E961" s="3" t="s">
        <v>27</v>
      </c>
      <c r="F961" s="3" t="s">
        <v>56</v>
      </c>
      <c r="G961" s="3" t="s">
        <v>21</v>
      </c>
      <c r="H961" s="3" t="s">
        <v>34</v>
      </c>
      <c r="I961" s="4" t="n">
        <v>507</v>
      </c>
      <c r="J961" s="4" t="n">
        <v>0</v>
      </c>
      <c r="K961" s="4" t="n">
        <v>0</v>
      </c>
      <c r="L961" s="4" t="n">
        <f aca="false">IF(O961="Delivered",I961-J961+K961,0)</f>
        <v>507</v>
      </c>
      <c r="M961" s="0" t="n">
        <v>40</v>
      </c>
      <c r="N961" s="0" t="n">
        <v>4</v>
      </c>
      <c r="O961" s="3" t="s">
        <v>17</v>
      </c>
    </row>
    <row r="962" customFormat="false" ht="15" hidden="false" customHeight="false" outlineLevel="0" collapsed="false">
      <c r="A962" s="0" t="s">
        <v>1388</v>
      </c>
      <c r="B962" s="2" t="n">
        <v>45908</v>
      </c>
      <c r="C962" s="0" t="str">
        <f aca="false">TEXT(B962,"mmm")</f>
        <v>Sep</v>
      </c>
      <c r="D962" s="0" t="str">
        <f aca="false">TEXT(B962,"ddd")</f>
        <v>Mon</v>
      </c>
      <c r="E962" s="3" t="s">
        <v>27</v>
      </c>
      <c r="F962" s="3" t="s">
        <v>31</v>
      </c>
      <c r="G962" s="3" t="s">
        <v>21</v>
      </c>
      <c r="H962" s="3" t="s">
        <v>22</v>
      </c>
      <c r="I962" s="4" t="n">
        <v>635</v>
      </c>
      <c r="J962" s="4" t="n">
        <v>0</v>
      </c>
      <c r="K962" s="4" t="n">
        <v>0</v>
      </c>
      <c r="L962" s="4" t="n">
        <f aca="false">IF(O962="Delivered",I962-J962+K962,0)</f>
        <v>635</v>
      </c>
      <c r="M962" s="0" t="n">
        <v>45</v>
      </c>
      <c r="N962" s="0" t="n">
        <v>3.4</v>
      </c>
      <c r="O962" s="3" t="s">
        <v>17</v>
      </c>
    </row>
    <row r="963" customFormat="false" ht="15" hidden="false" customHeight="false" outlineLevel="0" collapsed="false">
      <c r="A963" s="0" t="s">
        <v>177</v>
      </c>
      <c r="B963" s="2" t="n">
        <v>45909</v>
      </c>
      <c r="C963" s="0" t="str">
        <f aca="false">TEXT(B963,"mmm")</f>
        <v>Sep</v>
      </c>
      <c r="D963" s="0" t="str">
        <f aca="false">TEXT(B963,"ddd")</f>
        <v>Tue</v>
      </c>
      <c r="E963" s="3" t="s">
        <v>27</v>
      </c>
      <c r="F963" s="3" t="s">
        <v>25</v>
      </c>
      <c r="G963" s="3" t="s">
        <v>21</v>
      </c>
      <c r="H963" s="3" t="s">
        <v>22</v>
      </c>
      <c r="I963" s="4" t="n">
        <v>475</v>
      </c>
      <c r="J963" s="4" t="n">
        <v>0</v>
      </c>
      <c r="K963" s="4" t="n">
        <v>40</v>
      </c>
      <c r="L963" s="4" t="n">
        <f aca="false">IF(O963="Delivered",I963-J963+K963,0)</f>
        <v>515</v>
      </c>
      <c r="M963" s="0" t="n">
        <v>37</v>
      </c>
      <c r="N963" s="0" t="n">
        <v>4.8</v>
      </c>
      <c r="O963" s="3" t="s">
        <v>17</v>
      </c>
    </row>
    <row r="964" customFormat="false" ht="15" hidden="false" customHeight="false" outlineLevel="0" collapsed="false">
      <c r="A964" s="0" t="s">
        <v>505</v>
      </c>
      <c r="B964" s="2" t="n">
        <v>45909</v>
      </c>
      <c r="C964" s="0" t="str">
        <f aca="false">TEXT(B964,"mmm")</f>
        <v>Sep</v>
      </c>
      <c r="D964" s="0" t="str">
        <f aca="false">TEXT(B964,"ddd")</f>
        <v>Tue</v>
      </c>
      <c r="E964" s="3" t="s">
        <v>40</v>
      </c>
      <c r="F964" s="3" t="s">
        <v>31</v>
      </c>
      <c r="G964" s="3" t="s">
        <v>21</v>
      </c>
      <c r="H964" s="3" t="s">
        <v>36</v>
      </c>
      <c r="I964" s="4" t="n">
        <v>439</v>
      </c>
      <c r="J964" s="4" t="n">
        <v>0</v>
      </c>
      <c r="K964" s="4" t="n">
        <v>30</v>
      </c>
      <c r="L964" s="4" t="n">
        <f aca="false">IF(O964="Delivered",I964-J964+K964,0)</f>
        <v>469</v>
      </c>
      <c r="M964" s="0" t="n">
        <v>38</v>
      </c>
      <c r="N964" s="0" t="n">
        <v>4.6</v>
      </c>
      <c r="O964" s="3" t="s">
        <v>17</v>
      </c>
    </row>
    <row r="965" customFormat="false" ht="15" hidden="false" customHeight="false" outlineLevel="0" collapsed="false">
      <c r="A965" s="0" t="s">
        <v>567</v>
      </c>
      <c r="B965" s="2" t="n">
        <v>45909</v>
      </c>
      <c r="C965" s="0" t="str">
        <f aca="false">TEXT(B965,"mmm")</f>
        <v>Sep</v>
      </c>
      <c r="D965" s="0" t="str">
        <f aca="false">TEXT(B965,"ddd")</f>
        <v>Tue</v>
      </c>
      <c r="E965" s="3" t="s">
        <v>13</v>
      </c>
      <c r="F965" s="3" t="s">
        <v>20</v>
      </c>
      <c r="G965" s="3" t="s">
        <v>21</v>
      </c>
      <c r="H965" s="3" t="s">
        <v>22</v>
      </c>
      <c r="I965" s="4" t="n">
        <v>443</v>
      </c>
      <c r="J965" s="4" t="n">
        <v>0</v>
      </c>
      <c r="K965" s="4" t="n">
        <v>45</v>
      </c>
      <c r="L965" s="4" t="n">
        <f aca="false">IF(O965="Delivered",I965-J965+K965,0)</f>
        <v>488</v>
      </c>
      <c r="M965" s="0" t="n">
        <v>32</v>
      </c>
      <c r="N965" s="0" t="n">
        <v>4.5</v>
      </c>
      <c r="O965" s="3" t="s">
        <v>17</v>
      </c>
    </row>
    <row r="966" customFormat="false" ht="15" hidden="false" customHeight="false" outlineLevel="0" collapsed="false">
      <c r="A966" s="0" t="s">
        <v>599</v>
      </c>
      <c r="B966" s="2" t="n">
        <v>45909</v>
      </c>
      <c r="C966" s="0" t="str">
        <f aca="false">TEXT(B966,"mmm")</f>
        <v>Sep</v>
      </c>
      <c r="D966" s="0" t="str">
        <f aca="false">TEXT(B966,"ddd")</f>
        <v>Tue</v>
      </c>
      <c r="E966" s="3" t="s">
        <v>13</v>
      </c>
      <c r="F966" s="3" t="s">
        <v>31</v>
      </c>
      <c r="G966" s="3" t="s">
        <v>21</v>
      </c>
      <c r="H966" s="3" t="s">
        <v>34</v>
      </c>
      <c r="I966" s="4" t="n">
        <v>578</v>
      </c>
      <c r="J966" s="4" t="n">
        <v>95</v>
      </c>
      <c r="K966" s="4" t="n">
        <v>0</v>
      </c>
      <c r="L966" s="4" t="n">
        <f aca="false">IF(O966="Delivered",I966-J966+K966,0)</f>
        <v>483</v>
      </c>
      <c r="M966" s="0" t="n">
        <v>37</v>
      </c>
      <c r="N966" s="0" t="n">
        <v>3.9</v>
      </c>
      <c r="O966" s="3" t="s">
        <v>17</v>
      </c>
    </row>
    <row r="967" customFormat="false" ht="15" hidden="false" customHeight="false" outlineLevel="0" collapsed="false">
      <c r="A967" s="0" t="s">
        <v>679</v>
      </c>
      <c r="B967" s="2" t="n">
        <v>45909</v>
      </c>
      <c r="C967" s="0" t="str">
        <f aca="false">TEXT(B967,"mmm")</f>
        <v>Sep</v>
      </c>
      <c r="D967" s="0" t="str">
        <f aca="false">TEXT(B967,"ddd")</f>
        <v>Tue</v>
      </c>
      <c r="E967" s="3" t="s">
        <v>27</v>
      </c>
      <c r="F967" s="3" t="s">
        <v>78</v>
      </c>
      <c r="G967" s="3" t="s">
        <v>21</v>
      </c>
      <c r="H967" s="3" t="s">
        <v>16</v>
      </c>
      <c r="I967" s="4" t="n">
        <v>408</v>
      </c>
      <c r="J967" s="4" t="n">
        <v>0</v>
      </c>
      <c r="K967" s="4" t="n">
        <v>40</v>
      </c>
      <c r="L967" s="4" t="n">
        <f aca="false">IF(O967="Delivered",I967-J967+K967,0)</f>
        <v>448</v>
      </c>
      <c r="M967" s="0" t="n">
        <v>55</v>
      </c>
      <c r="N967" s="0" t="n">
        <v>3.9</v>
      </c>
      <c r="O967" s="3" t="s">
        <v>17</v>
      </c>
    </row>
    <row r="968" customFormat="false" ht="15" hidden="false" customHeight="false" outlineLevel="0" collapsed="false">
      <c r="A968" s="0" t="s">
        <v>1679</v>
      </c>
      <c r="B968" s="2" t="n">
        <v>45909</v>
      </c>
      <c r="C968" s="0" t="str">
        <f aca="false">TEXT(B968,"mmm")</f>
        <v>Sep</v>
      </c>
      <c r="D968" s="0" t="str">
        <f aca="false">TEXT(B968,"ddd")</f>
        <v>Tue</v>
      </c>
      <c r="E968" s="3" t="s">
        <v>24</v>
      </c>
      <c r="F968" s="3" t="s">
        <v>78</v>
      </c>
      <c r="G968" s="3" t="s">
        <v>21</v>
      </c>
      <c r="H968" s="3" t="s">
        <v>36</v>
      </c>
      <c r="I968" s="4" t="n">
        <v>327</v>
      </c>
      <c r="J968" s="4" t="n">
        <v>0</v>
      </c>
      <c r="K968" s="4" t="n">
        <v>30</v>
      </c>
      <c r="L968" s="4" t="n">
        <f aca="false">IF(O968="Delivered",I968-J968+K968,0)</f>
        <v>357</v>
      </c>
      <c r="M968" s="0" t="n">
        <v>30</v>
      </c>
      <c r="N968" s="0" t="n">
        <v>4.3</v>
      </c>
      <c r="O968" s="3" t="s">
        <v>17</v>
      </c>
    </row>
    <row r="969" customFormat="false" ht="15" hidden="false" customHeight="false" outlineLevel="0" collapsed="false">
      <c r="A969" s="0" t="s">
        <v>324</v>
      </c>
      <c r="B969" s="2" t="n">
        <v>45910</v>
      </c>
      <c r="C969" s="0" t="str">
        <f aca="false">TEXT(B969,"mmm")</f>
        <v>Sep</v>
      </c>
      <c r="D969" s="0" t="str">
        <f aca="false">TEXT(B969,"ddd")</f>
        <v>Wed</v>
      </c>
      <c r="E969" s="3" t="s">
        <v>13</v>
      </c>
      <c r="F969" s="3" t="s">
        <v>78</v>
      </c>
      <c r="G969" s="3" t="s">
        <v>15</v>
      </c>
      <c r="H969" s="3" t="s">
        <v>36</v>
      </c>
      <c r="I969" s="4" t="n">
        <v>222</v>
      </c>
      <c r="J969" s="4" t="n">
        <v>0</v>
      </c>
      <c r="K969" s="4" t="n">
        <v>30</v>
      </c>
      <c r="L969" s="4" t="n">
        <f aca="false">IF(O969="Delivered",I969-J969+K969,0)</f>
        <v>252</v>
      </c>
      <c r="M969" s="0" t="n">
        <v>17</v>
      </c>
      <c r="N969" s="0" t="n">
        <v>5</v>
      </c>
      <c r="O969" s="3" t="s">
        <v>17</v>
      </c>
    </row>
    <row r="970" customFormat="false" ht="15" hidden="false" customHeight="false" outlineLevel="0" collapsed="false">
      <c r="A970" s="0" t="s">
        <v>407</v>
      </c>
      <c r="B970" s="2" t="n">
        <v>45910</v>
      </c>
      <c r="C970" s="0" t="str">
        <f aca="false">TEXT(B970,"mmm")</f>
        <v>Sep</v>
      </c>
      <c r="D970" s="0" t="str">
        <f aca="false">TEXT(B970,"ddd")</f>
        <v>Wed</v>
      </c>
      <c r="E970" s="3" t="s">
        <v>40</v>
      </c>
      <c r="F970" s="3" t="s">
        <v>14</v>
      </c>
      <c r="G970" s="3" t="s">
        <v>21</v>
      </c>
      <c r="H970" s="3" t="s">
        <v>22</v>
      </c>
      <c r="I970" s="4" t="n">
        <v>420</v>
      </c>
      <c r="J970" s="4" t="n">
        <v>0</v>
      </c>
      <c r="K970" s="4" t="n">
        <v>30</v>
      </c>
      <c r="L970" s="4" t="n">
        <f aca="false">IF(O970="Delivered",I970-J970+K970,0)</f>
        <v>450</v>
      </c>
      <c r="M970" s="0" t="n">
        <v>50</v>
      </c>
      <c r="N970" s="0" t="n">
        <v>3.2</v>
      </c>
      <c r="O970" s="3" t="s">
        <v>17</v>
      </c>
    </row>
    <row r="971" customFormat="false" ht="15" hidden="false" customHeight="false" outlineLevel="0" collapsed="false">
      <c r="A971" s="0" t="s">
        <v>601</v>
      </c>
      <c r="B971" s="2" t="n">
        <v>45910</v>
      </c>
      <c r="C971" s="0" t="str">
        <f aca="false">TEXT(B971,"mmm")</f>
        <v>Sep</v>
      </c>
      <c r="D971" s="0" t="str">
        <f aca="false">TEXT(B971,"ddd")</f>
        <v>Wed</v>
      </c>
      <c r="E971" s="3" t="s">
        <v>24</v>
      </c>
      <c r="F971" s="3" t="s">
        <v>14</v>
      </c>
      <c r="G971" s="3" t="s">
        <v>21</v>
      </c>
      <c r="H971" s="3" t="s">
        <v>36</v>
      </c>
      <c r="I971" s="4" t="n">
        <v>380</v>
      </c>
      <c r="J971" s="4" t="n">
        <v>95</v>
      </c>
      <c r="K971" s="4" t="n">
        <v>45</v>
      </c>
      <c r="L971" s="4" t="n">
        <f aca="false">IF(O971="Delivered",I971-J971+K971,0)</f>
        <v>330</v>
      </c>
      <c r="M971" s="0" t="n">
        <v>29</v>
      </c>
      <c r="N971" s="0" t="n">
        <v>3.7</v>
      </c>
      <c r="O971" s="3" t="s">
        <v>17</v>
      </c>
    </row>
    <row r="972" customFormat="false" ht="15" hidden="false" customHeight="false" outlineLevel="0" collapsed="false">
      <c r="A972" s="0" t="s">
        <v>847</v>
      </c>
      <c r="B972" s="2" t="n">
        <v>45910</v>
      </c>
      <c r="C972" s="0" t="str">
        <f aca="false">TEXT(B972,"mmm")</f>
        <v>Sep</v>
      </c>
      <c r="D972" s="0" t="str">
        <f aca="false">TEXT(B972,"ddd")</f>
        <v>Wed</v>
      </c>
      <c r="E972" s="3" t="s">
        <v>51</v>
      </c>
      <c r="F972" s="3" t="s">
        <v>49</v>
      </c>
      <c r="G972" s="3" t="s">
        <v>15</v>
      </c>
      <c r="H972" s="3" t="s">
        <v>34</v>
      </c>
      <c r="I972" s="4" t="n">
        <v>403</v>
      </c>
      <c r="J972" s="4" t="n">
        <v>72</v>
      </c>
      <c r="K972" s="4" t="n">
        <v>40</v>
      </c>
      <c r="L972" s="4" t="n">
        <f aca="false">IF(O972="Delivered",I972-J972+K972,0)</f>
        <v>371</v>
      </c>
      <c r="M972" s="0" t="n">
        <v>29</v>
      </c>
      <c r="N972" s="0" t="n">
        <v>4.8</v>
      </c>
      <c r="O972" s="3" t="s">
        <v>17</v>
      </c>
    </row>
    <row r="973" customFormat="false" ht="15" hidden="false" customHeight="false" outlineLevel="0" collapsed="false">
      <c r="A973" s="0" t="s">
        <v>1048</v>
      </c>
      <c r="B973" s="2" t="n">
        <v>45910</v>
      </c>
      <c r="C973" s="0" t="str">
        <f aca="false">TEXT(B973,"mmm")</f>
        <v>Sep</v>
      </c>
      <c r="D973" s="0" t="str">
        <f aca="false">TEXT(B973,"ddd")</f>
        <v>Wed</v>
      </c>
      <c r="E973" s="3" t="s">
        <v>24</v>
      </c>
      <c r="F973" s="3" t="s">
        <v>28</v>
      </c>
      <c r="G973" s="3" t="s">
        <v>21</v>
      </c>
      <c r="H973" s="3" t="s">
        <v>36</v>
      </c>
      <c r="I973" s="4" t="n">
        <v>440</v>
      </c>
      <c r="J973" s="4" t="n">
        <v>51</v>
      </c>
      <c r="K973" s="4" t="n">
        <v>40</v>
      </c>
      <c r="L973" s="4" t="n">
        <f aca="false">IF(O973="Delivered",I973-J973+K973,0)</f>
        <v>0</v>
      </c>
      <c r="O973" s="3" t="s">
        <v>68</v>
      </c>
    </row>
    <row r="974" customFormat="false" ht="15" hidden="false" customHeight="false" outlineLevel="0" collapsed="false">
      <c r="A974" s="0" t="s">
        <v>1286</v>
      </c>
      <c r="B974" s="2" t="n">
        <v>45910</v>
      </c>
      <c r="C974" s="0" t="str">
        <f aca="false">TEXT(B974,"mmm")</f>
        <v>Sep</v>
      </c>
      <c r="D974" s="0" t="str">
        <f aca="false">TEXT(B974,"ddd")</f>
        <v>Wed</v>
      </c>
      <c r="E974" s="3" t="s">
        <v>24</v>
      </c>
      <c r="F974" s="3" t="s">
        <v>14</v>
      </c>
      <c r="G974" s="3" t="s">
        <v>15</v>
      </c>
      <c r="H974" s="3" t="s">
        <v>36</v>
      </c>
      <c r="I974" s="4" t="n">
        <v>353</v>
      </c>
      <c r="J974" s="4" t="n">
        <v>77</v>
      </c>
      <c r="K974" s="4" t="n">
        <v>30</v>
      </c>
      <c r="L974" s="4" t="n">
        <f aca="false">IF(O974="Delivered",I974-J974+K974,0)</f>
        <v>306</v>
      </c>
      <c r="M974" s="0" t="n">
        <v>47</v>
      </c>
      <c r="O974" s="3" t="s">
        <v>17</v>
      </c>
    </row>
    <row r="975" customFormat="false" ht="15" hidden="false" customHeight="false" outlineLevel="0" collapsed="false">
      <c r="A975" s="0" t="s">
        <v>1321</v>
      </c>
      <c r="B975" s="2" t="n">
        <v>45910</v>
      </c>
      <c r="C975" s="0" t="str">
        <f aca="false">TEXT(B975,"mmm")</f>
        <v>Sep</v>
      </c>
      <c r="D975" s="0" t="str">
        <f aca="false">TEXT(B975,"ddd")</f>
        <v>Wed</v>
      </c>
      <c r="E975" s="3" t="s">
        <v>24</v>
      </c>
      <c r="F975" s="3" t="s">
        <v>25</v>
      </c>
      <c r="G975" s="3" t="s">
        <v>15</v>
      </c>
      <c r="H975" s="3" t="s">
        <v>16</v>
      </c>
      <c r="I975" s="4" t="n">
        <v>314</v>
      </c>
      <c r="J975" s="4" t="n">
        <v>68</v>
      </c>
      <c r="K975" s="4" t="n">
        <v>30</v>
      </c>
      <c r="L975" s="4" t="n">
        <f aca="false">IF(O975="Delivered",I975-J975+K975,0)</f>
        <v>276</v>
      </c>
      <c r="M975" s="0" t="n">
        <v>33</v>
      </c>
      <c r="N975" s="0" t="n">
        <v>4.6</v>
      </c>
      <c r="O975" s="3" t="s">
        <v>17</v>
      </c>
    </row>
    <row r="976" customFormat="false" ht="15" hidden="false" customHeight="false" outlineLevel="0" collapsed="false">
      <c r="A976" s="0" t="s">
        <v>1551</v>
      </c>
      <c r="B976" s="2" t="n">
        <v>45910</v>
      </c>
      <c r="C976" s="0" t="str">
        <f aca="false">TEXT(B976,"mmm")</f>
        <v>Sep</v>
      </c>
      <c r="D976" s="0" t="str">
        <f aca="false">TEXT(B976,"ddd")</f>
        <v>Wed</v>
      </c>
      <c r="E976" s="3" t="s">
        <v>24</v>
      </c>
      <c r="F976" s="3" t="s">
        <v>28</v>
      </c>
      <c r="G976" s="3" t="s">
        <v>21</v>
      </c>
      <c r="H976" s="3" t="s">
        <v>22</v>
      </c>
      <c r="I976" s="4" t="n">
        <v>548</v>
      </c>
      <c r="J976" s="4" t="n">
        <v>0</v>
      </c>
      <c r="K976" s="4" t="n">
        <v>0</v>
      </c>
      <c r="L976" s="4" t="n">
        <f aca="false">IF(O976="Delivered",I976-J976+K976,0)</f>
        <v>548</v>
      </c>
      <c r="M976" s="0" t="n">
        <v>32</v>
      </c>
      <c r="N976" s="0" t="n">
        <v>4.6</v>
      </c>
      <c r="O976" s="3" t="s">
        <v>17</v>
      </c>
    </row>
    <row r="977" customFormat="false" ht="15" hidden="false" customHeight="false" outlineLevel="0" collapsed="false">
      <c r="A977" s="0" t="s">
        <v>733</v>
      </c>
      <c r="B977" s="2" t="n">
        <v>45911</v>
      </c>
      <c r="C977" s="0" t="str">
        <f aca="false">TEXT(B977,"mmm")</f>
        <v>Sep</v>
      </c>
      <c r="D977" s="0" t="str">
        <f aca="false">TEXT(B977,"ddd")</f>
        <v>Thu</v>
      </c>
      <c r="E977" s="3" t="s">
        <v>27</v>
      </c>
      <c r="F977" s="3" t="s">
        <v>25</v>
      </c>
      <c r="G977" s="3" t="s">
        <v>21</v>
      </c>
      <c r="H977" s="3" t="s">
        <v>22</v>
      </c>
      <c r="I977" s="4" t="n">
        <v>630</v>
      </c>
      <c r="J977" s="4" t="n">
        <v>0</v>
      </c>
      <c r="K977" s="4" t="n">
        <v>0</v>
      </c>
      <c r="L977" s="4" t="n">
        <f aca="false">IF(O977="Delivered",I977-J977+K977,0)</f>
        <v>630</v>
      </c>
      <c r="M977" s="0" t="n">
        <v>44</v>
      </c>
      <c r="N977" s="0" t="n">
        <v>4.7</v>
      </c>
      <c r="O977" s="3" t="s">
        <v>17</v>
      </c>
    </row>
    <row r="978" customFormat="false" ht="15" hidden="false" customHeight="false" outlineLevel="0" collapsed="false">
      <c r="A978" s="0" t="s">
        <v>826</v>
      </c>
      <c r="B978" s="2" t="n">
        <v>45911</v>
      </c>
      <c r="C978" s="0" t="str">
        <f aca="false">TEXT(B978,"mmm")</f>
        <v>Sep</v>
      </c>
      <c r="D978" s="0" t="str">
        <f aca="false">TEXT(B978,"ddd")</f>
        <v>Thu</v>
      </c>
      <c r="E978" s="3" t="s">
        <v>24</v>
      </c>
      <c r="F978" s="3" t="s">
        <v>31</v>
      </c>
      <c r="G978" s="3" t="s">
        <v>21</v>
      </c>
      <c r="H978" s="3" t="s">
        <v>36</v>
      </c>
      <c r="I978" s="4" t="n">
        <v>588</v>
      </c>
      <c r="J978" s="4" t="n">
        <v>105</v>
      </c>
      <c r="K978" s="4" t="n">
        <v>0</v>
      </c>
      <c r="L978" s="4" t="n">
        <f aca="false">IF(O978="Delivered",I978-J978+K978,0)</f>
        <v>483</v>
      </c>
      <c r="M978" s="0" t="n">
        <v>40</v>
      </c>
      <c r="N978" s="0" t="n">
        <v>4.8</v>
      </c>
      <c r="O978" s="3" t="s">
        <v>17</v>
      </c>
    </row>
    <row r="979" customFormat="false" ht="15" hidden="false" customHeight="false" outlineLevel="0" collapsed="false">
      <c r="A979" s="0" t="s">
        <v>1195</v>
      </c>
      <c r="B979" s="2" t="n">
        <v>45911</v>
      </c>
      <c r="C979" s="0" t="str">
        <f aca="false">TEXT(B979,"mmm")</f>
        <v>Sep</v>
      </c>
      <c r="D979" s="0" t="str">
        <f aca="false">TEXT(B979,"ddd")</f>
        <v>Thu</v>
      </c>
      <c r="E979" s="3" t="s">
        <v>24</v>
      </c>
      <c r="F979" s="3" t="s">
        <v>31</v>
      </c>
      <c r="G979" s="3" t="s">
        <v>21</v>
      </c>
      <c r="H979" s="3" t="s">
        <v>22</v>
      </c>
      <c r="I979" s="4" t="n">
        <v>542</v>
      </c>
      <c r="J979" s="4" t="n">
        <v>0</v>
      </c>
      <c r="K979" s="4" t="n">
        <v>0</v>
      </c>
      <c r="L979" s="4" t="n">
        <f aca="false">IF(O979="Delivered",I979-J979+K979,0)</f>
        <v>542</v>
      </c>
      <c r="M979" s="0" t="n">
        <v>18</v>
      </c>
      <c r="N979" s="0" t="n">
        <v>5</v>
      </c>
      <c r="O979" s="3" t="s">
        <v>17</v>
      </c>
    </row>
    <row r="980" customFormat="false" ht="15" hidden="false" customHeight="false" outlineLevel="0" collapsed="false">
      <c r="A980" s="0" t="s">
        <v>1353</v>
      </c>
      <c r="B980" s="2" t="n">
        <v>45911</v>
      </c>
      <c r="C980" s="0" t="str">
        <f aca="false">TEXT(B980,"mmm")</f>
        <v>Sep</v>
      </c>
      <c r="D980" s="0" t="str">
        <f aca="false">TEXT(B980,"ddd")</f>
        <v>Thu</v>
      </c>
      <c r="E980" s="3" t="s">
        <v>27</v>
      </c>
      <c r="F980" s="3" t="s">
        <v>56</v>
      </c>
      <c r="G980" s="3" t="s">
        <v>21</v>
      </c>
      <c r="H980" s="3" t="s">
        <v>34</v>
      </c>
      <c r="I980" s="4" t="n">
        <v>320</v>
      </c>
      <c r="J980" s="4" t="n">
        <v>0</v>
      </c>
      <c r="K980" s="4" t="n">
        <v>20</v>
      </c>
      <c r="L980" s="4" t="n">
        <f aca="false">IF(O980="Delivered",I980-J980+K980,0)</f>
        <v>340</v>
      </c>
      <c r="M980" s="0" t="n">
        <v>34</v>
      </c>
      <c r="N980" s="0" t="n">
        <v>4.1</v>
      </c>
      <c r="O980" s="3" t="s">
        <v>17</v>
      </c>
    </row>
    <row r="981" customFormat="false" ht="15" hidden="false" customHeight="false" outlineLevel="0" collapsed="false">
      <c r="A981" s="0" t="s">
        <v>1647</v>
      </c>
      <c r="B981" s="2" t="n">
        <v>45911</v>
      </c>
      <c r="C981" s="0" t="str">
        <f aca="false">TEXT(B981,"mmm")</f>
        <v>Sep</v>
      </c>
      <c r="D981" s="0" t="str">
        <f aca="false">TEXT(B981,"ddd")</f>
        <v>Thu</v>
      </c>
      <c r="E981" s="3" t="s">
        <v>24</v>
      </c>
      <c r="F981" s="3" t="s">
        <v>31</v>
      </c>
      <c r="G981" s="3" t="s">
        <v>21</v>
      </c>
      <c r="H981" s="3" t="s">
        <v>54</v>
      </c>
      <c r="I981" s="4" t="n">
        <v>440</v>
      </c>
      <c r="J981" s="4" t="n">
        <v>54</v>
      </c>
      <c r="K981" s="4" t="n">
        <v>45</v>
      </c>
      <c r="L981" s="4" t="n">
        <f aca="false">IF(O981="Delivered",I981-J981+K981,0)</f>
        <v>431</v>
      </c>
      <c r="M981" s="0" t="n">
        <v>29</v>
      </c>
      <c r="N981" s="0" t="n">
        <v>4.9</v>
      </c>
      <c r="O981" s="3" t="s">
        <v>17</v>
      </c>
    </row>
    <row r="982" customFormat="false" ht="15" hidden="false" customHeight="false" outlineLevel="0" collapsed="false">
      <c r="A982" s="0" t="s">
        <v>452</v>
      </c>
      <c r="B982" s="2" t="n">
        <v>45912</v>
      </c>
      <c r="C982" s="0" t="str">
        <f aca="false">TEXT(B982,"mmm")</f>
        <v>Sep</v>
      </c>
      <c r="D982" s="0" t="str">
        <f aca="false">TEXT(B982,"ddd")</f>
        <v>Fri</v>
      </c>
      <c r="E982" s="3" t="s">
        <v>13</v>
      </c>
      <c r="F982" s="3" t="s">
        <v>25</v>
      </c>
      <c r="G982" s="3" t="s">
        <v>21</v>
      </c>
      <c r="H982" s="3" t="s">
        <v>36</v>
      </c>
      <c r="I982" s="4" t="n">
        <v>470</v>
      </c>
      <c r="J982" s="4" t="n">
        <v>107</v>
      </c>
      <c r="K982" s="4" t="n">
        <v>30</v>
      </c>
      <c r="L982" s="4" t="n">
        <f aca="false">IF(O982="Delivered",I982-J982+K982,0)</f>
        <v>393</v>
      </c>
      <c r="M982" s="0" t="n">
        <v>35</v>
      </c>
      <c r="N982" s="0" t="n">
        <v>4.2</v>
      </c>
      <c r="O982" s="3" t="s">
        <v>17</v>
      </c>
    </row>
    <row r="983" customFormat="false" ht="15" hidden="false" customHeight="false" outlineLevel="0" collapsed="false">
      <c r="A983" s="0" t="s">
        <v>514</v>
      </c>
      <c r="B983" s="2" t="n">
        <v>45912</v>
      </c>
      <c r="C983" s="0" t="str">
        <f aca="false">TEXT(B983,"mmm")</f>
        <v>Sep</v>
      </c>
      <c r="D983" s="0" t="str">
        <f aca="false">TEXT(B983,"ddd")</f>
        <v>Fri</v>
      </c>
      <c r="E983" s="3" t="s">
        <v>27</v>
      </c>
      <c r="F983" s="3" t="s">
        <v>14</v>
      </c>
      <c r="G983" s="3" t="s">
        <v>21</v>
      </c>
      <c r="H983" s="3" t="s">
        <v>22</v>
      </c>
      <c r="I983" s="4" t="n">
        <v>417</v>
      </c>
      <c r="J983" s="4" t="n">
        <v>0</v>
      </c>
      <c r="K983" s="4" t="n">
        <v>20</v>
      </c>
      <c r="L983" s="4" t="n">
        <f aca="false">IF(O983="Delivered",I983-J983+K983,0)</f>
        <v>437</v>
      </c>
      <c r="M983" s="0" t="n">
        <v>37</v>
      </c>
      <c r="N983" s="0" t="n">
        <v>4.3</v>
      </c>
      <c r="O983" s="3" t="s">
        <v>17</v>
      </c>
    </row>
    <row r="984" customFormat="false" ht="15" hidden="false" customHeight="false" outlineLevel="0" collapsed="false">
      <c r="A984" s="0" t="s">
        <v>1361</v>
      </c>
      <c r="B984" s="2" t="n">
        <v>45912</v>
      </c>
      <c r="C984" s="0" t="str">
        <f aca="false">TEXT(B984,"mmm")</f>
        <v>Sep</v>
      </c>
      <c r="D984" s="0" t="str">
        <f aca="false">TEXT(B984,"ddd")</f>
        <v>Fri</v>
      </c>
      <c r="E984" s="3" t="s">
        <v>40</v>
      </c>
      <c r="F984" s="3" t="s">
        <v>14</v>
      </c>
      <c r="G984" s="3" t="s">
        <v>21</v>
      </c>
      <c r="H984" s="3" t="s">
        <v>54</v>
      </c>
      <c r="I984" s="4" t="n">
        <v>194</v>
      </c>
      <c r="J984" s="4" t="n">
        <v>0</v>
      </c>
      <c r="K984" s="4" t="n">
        <v>40</v>
      </c>
      <c r="L984" s="4" t="n">
        <f aca="false">IF(O984="Delivered",I984-J984+K984,0)</f>
        <v>234</v>
      </c>
      <c r="M984" s="0" t="n">
        <v>18</v>
      </c>
      <c r="O984" s="3" t="s">
        <v>17</v>
      </c>
    </row>
    <row r="985" customFormat="false" ht="15" hidden="false" customHeight="false" outlineLevel="0" collapsed="false">
      <c r="A985" s="0" t="s">
        <v>1460</v>
      </c>
      <c r="B985" s="2" t="n">
        <v>45912</v>
      </c>
      <c r="C985" s="0" t="str">
        <f aca="false">TEXT(B985,"mmm")</f>
        <v>Sep</v>
      </c>
      <c r="D985" s="0" t="str">
        <f aca="false">TEXT(B985,"ddd")</f>
        <v>Fri</v>
      </c>
      <c r="E985" s="3" t="s">
        <v>40</v>
      </c>
      <c r="F985" s="3" t="s">
        <v>31</v>
      </c>
      <c r="G985" s="3" t="s">
        <v>21</v>
      </c>
      <c r="H985" s="3" t="s">
        <v>22</v>
      </c>
      <c r="I985" s="4" t="n">
        <v>532</v>
      </c>
      <c r="J985" s="4" t="n">
        <v>0</v>
      </c>
      <c r="K985" s="4" t="n">
        <v>0</v>
      </c>
      <c r="L985" s="4" t="n">
        <f aca="false">IF(O985="Delivered",I985-J985+K985,0)</f>
        <v>532</v>
      </c>
      <c r="M985" s="0" t="n">
        <v>48</v>
      </c>
      <c r="O985" s="3" t="s">
        <v>17</v>
      </c>
    </row>
    <row r="986" customFormat="false" ht="15" hidden="false" customHeight="false" outlineLevel="0" collapsed="false">
      <c r="A986" s="0" t="s">
        <v>129</v>
      </c>
      <c r="B986" s="2" t="n">
        <v>45913</v>
      </c>
      <c r="C986" s="0" t="str">
        <f aca="false">TEXT(B986,"mmm")</f>
        <v>Sep</v>
      </c>
      <c r="D986" s="0" t="str">
        <f aca="false">TEXT(B986,"ddd")</f>
        <v>Sat</v>
      </c>
      <c r="E986" s="3" t="s">
        <v>45</v>
      </c>
      <c r="F986" s="3" t="s">
        <v>20</v>
      </c>
      <c r="G986" s="3" t="s">
        <v>15</v>
      </c>
      <c r="H986" s="3" t="s">
        <v>22</v>
      </c>
      <c r="I986" s="4" t="n">
        <v>599</v>
      </c>
      <c r="J986" s="4" t="n">
        <v>64</v>
      </c>
      <c r="K986" s="4" t="n">
        <v>0</v>
      </c>
      <c r="L986" s="4" t="n">
        <f aca="false">IF(O986="Delivered",I986-J986+K986,0)</f>
        <v>535</v>
      </c>
      <c r="M986" s="0" t="n">
        <v>24</v>
      </c>
      <c r="N986" s="0" t="n">
        <v>3.9</v>
      </c>
      <c r="O986" s="3" t="s">
        <v>17</v>
      </c>
    </row>
    <row r="987" customFormat="false" ht="15" hidden="false" customHeight="false" outlineLevel="0" collapsed="false">
      <c r="A987" s="0" t="s">
        <v>219</v>
      </c>
      <c r="B987" s="2" t="n">
        <v>45913</v>
      </c>
      <c r="C987" s="0" t="str">
        <f aca="false">TEXT(B987,"mmm")</f>
        <v>Sep</v>
      </c>
      <c r="D987" s="0" t="str">
        <f aca="false">TEXT(B987,"ddd")</f>
        <v>Sat</v>
      </c>
      <c r="E987" s="3" t="s">
        <v>45</v>
      </c>
      <c r="F987" s="3" t="s">
        <v>31</v>
      </c>
      <c r="G987" s="3" t="s">
        <v>15</v>
      </c>
      <c r="H987" s="3" t="s">
        <v>22</v>
      </c>
      <c r="I987" s="4" t="n">
        <v>527</v>
      </c>
      <c r="J987" s="4" t="n">
        <v>0</v>
      </c>
      <c r="K987" s="4" t="n">
        <v>0</v>
      </c>
      <c r="L987" s="4" t="n">
        <f aca="false">IF(O987="Delivered",I987-J987+K987,0)</f>
        <v>527</v>
      </c>
      <c r="M987" s="0" t="n">
        <v>17</v>
      </c>
      <c r="N987" s="0" t="n">
        <v>4.6</v>
      </c>
      <c r="O987" s="3" t="s">
        <v>17</v>
      </c>
    </row>
    <row r="988" customFormat="false" ht="15" hidden="false" customHeight="false" outlineLevel="0" collapsed="false">
      <c r="A988" s="0" t="s">
        <v>252</v>
      </c>
      <c r="B988" s="2" t="n">
        <v>45913</v>
      </c>
      <c r="C988" s="0" t="str">
        <f aca="false">TEXT(B988,"mmm")</f>
        <v>Sep</v>
      </c>
      <c r="D988" s="0" t="str">
        <f aca="false">TEXT(B988,"ddd")</f>
        <v>Sat</v>
      </c>
      <c r="E988" s="3" t="s">
        <v>24</v>
      </c>
      <c r="F988" s="3" t="s">
        <v>31</v>
      </c>
      <c r="G988" s="3" t="s">
        <v>15</v>
      </c>
      <c r="H988" s="3" t="s">
        <v>36</v>
      </c>
      <c r="I988" s="4" t="n">
        <v>477</v>
      </c>
      <c r="J988" s="4" t="n">
        <v>86</v>
      </c>
      <c r="K988" s="4" t="n">
        <v>45</v>
      </c>
      <c r="L988" s="4" t="n">
        <f aca="false">IF(O988="Delivered",I988-J988+K988,0)</f>
        <v>436</v>
      </c>
      <c r="M988" s="0" t="n">
        <v>37</v>
      </c>
      <c r="N988" s="0" t="n">
        <v>4.5</v>
      </c>
      <c r="O988" s="3" t="s">
        <v>17</v>
      </c>
    </row>
    <row r="989" customFormat="false" ht="15" hidden="false" customHeight="false" outlineLevel="0" collapsed="false">
      <c r="A989" s="0" t="s">
        <v>1162</v>
      </c>
      <c r="B989" s="2" t="n">
        <v>45913</v>
      </c>
      <c r="C989" s="0" t="str">
        <f aca="false">TEXT(B989,"mmm")</f>
        <v>Sep</v>
      </c>
      <c r="D989" s="0" t="str">
        <f aca="false">TEXT(B989,"ddd")</f>
        <v>Sat</v>
      </c>
      <c r="E989" s="3" t="s">
        <v>27</v>
      </c>
      <c r="F989" s="3" t="s">
        <v>25</v>
      </c>
      <c r="G989" s="3" t="s">
        <v>15</v>
      </c>
      <c r="H989" s="3" t="s">
        <v>22</v>
      </c>
      <c r="I989" s="4" t="n">
        <v>507</v>
      </c>
      <c r="J989" s="4" t="n">
        <v>82</v>
      </c>
      <c r="K989" s="4" t="n">
        <v>0</v>
      </c>
      <c r="L989" s="4" t="n">
        <f aca="false">IF(O989="Delivered",I989-J989+K989,0)</f>
        <v>425</v>
      </c>
      <c r="M989" s="0" t="n">
        <v>40</v>
      </c>
      <c r="N989" s="0" t="n">
        <v>2.9</v>
      </c>
      <c r="O989" s="3" t="s">
        <v>17</v>
      </c>
    </row>
    <row r="990" customFormat="false" ht="15" hidden="false" customHeight="false" outlineLevel="0" collapsed="false">
      <c r="A990" s="0" t="s">
        <v>1176</v>
      </c>
      <c r="B990" s="2" t="n">
        <v>45913</v>
      </c>
      <c r="C990" s="0" t="str">
        <f aca="false">TEXT(B990,"mmm")</f>
        <v>Sep</v>
      </c>
      <c r="D990" s="0" t="str">
        <f aca="false">TEXT(B990,"ddd")</f>
        <v>Sat</v>
      </c>
      <c r="E990" s="3" t="s">
        <v>51</v>
      </c>
      <c r="F990" s="3" t="s">
        <v>14</v>
      </c>
      <c r="G990" s="3" t="s">
        <v>15</v>
      </c>
      <c r="H990" s="3" t="s">
        <v>22</v>
      </c>
      <c r="I990" s="4" t="n">
        <v>344</v>
      </c>
      <c r="J990" s="4" t="n">
        <v>72</v>
      </c>
      <c r="K990" s="4" t="n">
        <v>45</v>
      </c>
      <c r="L990" s="4" t="n">
        <f aca="false">IF(O990="Delivered",I990-J990+K990,0)</f>
        <v>317</v>
      </c>
      <c r="M990" s="0" t="n">
        <v>25</v>
      </c>
      <c r="N990" s="0" t="n">
        <v>4.1</v>
      </c>
      <c r="O990" s="3" t="s">
        <v>17</v>
      </c>
    </row>
    <row r="991" customFormat="false" ht="15" hidden="false" customHeight="false" outlineLevel="0" collapsed="false">
      <c r="A991" s="0" t="s">
        <v>100</v>
      </c>
      <c r="B991" s="2" t="n">
        <v>45914</v>
      </c>
      <c r="C991" s="0" t="str">
        <f aca="false">TEXT(B991,"mmm")</f>
        <v>Sep</v>
      </c>
      <c r="D991" s="0" t="str">
        <f aca="false">TEXT(B991,"ddd")</f>
        <v>Sun</v>
      </c>
      <c r="E991" s="3" t="s">
        <v>24</v>
      </c>
      <c r="F991" s="3" t="s">
        <v>28</v>
      </c>
      <c r="G991" s="3" t="s">
        <v>21</v>
      </c>
      <c r="H991" s="3" t="s">
        <v>22</v>
      </c>
      <c r="I991" s="4" t="n">
        <v>322</v>
      </c>
      <c r="J991" s="4" t="n">
        <v>0</v>
      </c>
      <c r="K991" s="4" t="n">
        <v>30</v>
      </c>
      <c r="L991" s="4" t="n">
        <f aca="false">IF(O991="Delivered",I991-J991+K991,0)</f>
        <v>352</v>
      </c>
      <c r="M991" s="0" t="n">
        <v>40</v>
      </c>
      <c r="N991" s="0" t="n">
        <v>4.7</v>
      </c>
      <c r="O991" s="3" t="s">
        <v>17</v>
      </c>
    </row>
    <row r="992" customFormat="false" ht="15" hidden="false" customHeight="false" outlineLevel="0" collapsed="false">
      <c r="A992" s="0" t="s">
        <v>132</v>
      </c>
      <c r="B992" s="2" t="n">
        <v>45914</v>
      </c>
      <c r="C992" s="0" t="str">
        <f aca="false">TEXT(B992,"mmm")</f>
        <v>Sep</v>
      </c>
      <c r="D992" s="0" t="str">
        <f aca="false">TEXT(B992,"ddd")</f>
        <v>Sun</v>
      </c>
      <c r="E992" s="3" t="s">
        <v>45</v>
      </c>
      <c r="F992" s="3" t="s">
        <v>25</v>
      </c>
      <c r="G992" s="3" t="s">
        <v>21</v>
      </c>
      <c r="H992" s="3" t="s">
        <v>22</v>
      </c>
      <c r="I992" s="4" t="n">
        <v>357</v>
      </c>
      <c r="J992" s="4" t="n">
        <v>0</v>
      </c>
      <c r="K992" s="4" t="n">
        <v>20</v>
      </c>
      <c r="L992" s="4" t="n">
        <f aca="false">IF(O992="Delivered",I992-J992+K992,0)</f>
        <v>377</v>
      </c>
      <c r="M992" s="0" t="n">
        <v>22</v>
      </c>
      <c r="N992" s="0" t="n">
        <v>4.6</v>
      </c>
      <c r="O992" s="3" t="s">
        <v>17</v>
      </c>
    </row>
    <row r="993" customFormat="false" ht="15" hidden="false" customHeight="false" outlineLevel="0" collapsed="false">
      <c r="A993" s="0" t="s">
        <v>294</v>
      </c>
      <c r="B993" s="2" t="n">
        <v>45914</v>
      </c>
      <c r="C993" s="0" t="str">
        <f aca="false">TEXT(B993,"mmm")</f>
        <v>Sep</v>
      </c>
      <c r="D993" s="0" t="str">
        <f aca="false">TEXT(B993,"ddd")</f>
        <v>Sun</v>
      </c>
      <c r="E993" s="3" t="s">
        <v>13</v>
      </c>
      <c r="F993" s="3" t="s">
        <v>28</v>
      </c>
      <c r="G993" s="3" t="s">
        <v>15</v>
      </c>
      <c r="H993" s="3" t="s">
        <v>16</v>
      </c>
      <c r="I993" s="4" t="n">
        <v>439</v>
      </c>
      <c r="J993" s="4" t="n">
        <v>0</v>
      </c>
      <c r="K993" s="4" t="n">
        <v>45</v>
      </c>
      <c r="L993" s="4" t="n">
        <f aca="false">IF(O993="Delivered",I993-J993+K993,0)</f>
        <v>484</v>
      </c>
      <c r="M993" s="0" t="n">
        <v>36</v>
      </c>
      <c r="N993" s="0" t="n">
        <v>4.4</v>
      </c>
      <c r="O993" s="3" t="s">
        <v>17</v>
      </c>
    </row>
    <row r="994" customFormat="false" ht="15" hidden="false" customHeight="false" outlineLevel="0" collapsed="false">
      <c r="A994" s="0" t="s">
        <v>504</v>
      </c>
      <c r="B994" s="2" t="n">
        <v>45914</v>
      </c>
      <c r="C994" s="0" t="str">
        <f aca="false">TEXT(B994,"mmm")</f>
        <v>Sep</v>
      </c>
      <c r="D994" s="0" t="str">
        <f aca="false">TEXT(B994,"ddd")</f>
        <v>Sun</v>
      </c>
      <c r="E994" s="3" t="s">
        <v>40</v>
      </c>
      <c r="F994" s="3" t="s">
        <v>20</v>
      </c>
      <c r="G994" s="3" t="s">
        <v>15</v>
      </c>
      <c r="H994" s="3" t="s">
        <v>22</v>
      </c>
      <c r="I994" s="4" t="n">
        <v>730</v>
      </c>
      <c r="J994" s="4" t="n">
        <v>158</v>
      </c>
      <c r="K994" s="4" t="n">
        <v>0</v>
      </c>
      <c r="L994" s="4" t="n">
        <f aca="false">IF(O994="Delivered",I994-J994+K994,0)</f>
        <v>572</v>
      </c>
      <c r="M994" s="0" t="n">
        <v>38</v>
      </c>
      <c r="N994" s="0" t="n">
        <v>4</v>
      </c>
      <c r="O994" s="3" t="s">
        <v>17</v>
      </c>
    </row>
    <row r="995" customFormat="false" ht="15" hidden="false" customHeight="false" outlineLevel="0" collapsed="false">
      <c r="A995" s="0" t="s">
        <v>959</v>
      </c>
      <c r="B995" s="2" t="n">
        <v>45914</v>
      </c>
      <c r="C995" s="0" t="str">
        <f aca="false">TEXT(B995,"mmm")</f>
        <v>Sep</v>
      </c>
      <c r="D995" s="0" t="str">
        <f aca="false">TEXT(B995,"ddd")</f>
        <v>Sun</v>
      </c>
      <c r="E995" s="3" t="s">
        <v>40</v>
      </c>
      <c r="F995" s="3" t="s">
        <v>31</v>
      </c>
      <c r="G995" s="3" t="s">
        <v>15</v>
      </c>
      <c r="H995" s="3" t="s">
        <v>22</v>
      </c>
      <c r="I995" s="4" t="n">
        <v>460</v>
      </c>
      <c r="J995" s="4" t="n">
        <v>49</v>
      </c>
      <c r="K995" s="4" t="n">
        <v>20</v>
      </c>
      <c r="L995" s="4" t="n">
        <f aca="false">IF(O995="Delivered",I995-J995+K995,0)</f>
        <v>431</v>
      </c>
      <c r="M995" s="0" t="n">
        <v>39</v>
      </c>
      <c r="N995" s="0" t="n">
        <v>3.5</v>
      </c>
      <c r="O995" s="3" t="s">
        <v>17</v>
      </c>
    </row>
    <row r="996" customFormat="false" ht="15" hidden="false" customHeight="false" outlineLevel="0" collapsed="false">
      <c r="A996" s="0" t="s">
        <v>1196</v>
      </c>
      <c r="B996" s="2" t="n">
        <v>45914</v>
      </c>
      <c r="C996" s="0" t="str">
        <f aca="false">TEXT(B996,"mmm")</f>
        <v>Sep</v>
      </c>
      <c r="D996" s="0" t="str">
        <f aca="false">TEXT(B996,"ddd")</f>
        <v>Sun</v>
      </c>
      <c r="E996" s="3" t="s">
        <v>24</v>
      </c>
      <c r="F996" s="3" t="s">
        <v>49</v>
      </c>
      <c r="G996" s="3" t="s">
        <v>21</v>
      </c>
      <c r="H996" s="3" t="s">
        <v>22</v>
      </c>
      <c r="I996" s="4" t="n">
        <v>519</v>
      </c>
      <c r="J996" s="4" t="n">
        <v>0</v>
      </c>
      <c r="K996" s="4" t="n">
        <v>0</v>
      </c>
      <c r="L996" s="4" t="n">
        <f aca="false">IF(O996="Delivered",I996-J996+K996,0)</f>
        <v>519</v>
      </c>
      <c r="M996" s="0" t="n">
        <v>46</v>
      </c>
      <c r="N996" s="0" t="n">
        <v>4.2</v>
      </c>
      <c r="O996" s="3" t="s">
        <v>17</v>
      </c>
    </row>
    <row r="997" customFormat="false" ht="15" hidden="false" customHeight="false" outlineLevel="0" collapsed="false">
      <c r="A997" s="0" t="s">
        <v>1277</v>
      </c>
      <c r="B997" s="2" t="n">
        <v>45914</v>
      </c>
      <c r="C997" s="0" t="str">
        <f aca="false">TEXT(B997,"mmm")</f>
        <v>Sep</v>
      </c>
      <c r="D997" s="0" t="str">
        <f aca="false">TEXT(B997,"ddd")</f>
        <v>Sun</v>
      </c>
      <c r="E997" s="3" t="s">
        <v>45</v>
      </c>
      <c r="F997" s="3" t="s">
        <v>78</v>
      </c>
      <c r="G997" s="3" t="s">
        <v>21</v>
      </c>
      <c r="H997" s="3" t="s">
        <v>22</v>
      </c>
      <c r="I997" s="4" t="n">
        <v>366</v>
      </c>
      <c r="J997" s="4" t="n">
        <v>0</v>
      </c>
      <c r="K997" s="4" t="n">
        <v>45</v>
      </c>
      <c r="L997" s="4" t="n">
        <f aca="false">IF(O997="Delivered",I997-J997+K997,0)</f>
        <v>411</v>
      </c>
      <c r="M997" s="0" t="n">
        <v>24</v>
      </c>
      <c r="N997" s="0" t="n">
        <v>5</v>
      </c>
      <c r="O997" s="3" t="s">
        <v>17</v>
      </c>
    </row>
    <row r="998" customFormat="false" ht="15" hidden="false" customHeight="false" outlineLevel="0" collapsed="false">
      <c r="A998" s="0" t="s">
        <v>1686</v>
      </c>
      <c r="B998" s="2" t="n">
        <v>45914</v>
      </c>
      <c r="C998" s="0" t="str">
        <f aca="false">TEXT(B998,"mmm")</f>
        <v>Sep</v>
      </c>
      <c r="D998" s="0" t="str">
        <f aca="false">TEXT(B998,"ddd")</f>
        <v>Sun</v>
      </c>
      <c r="E998" s="3" t="s">
        <v>40</v>
      </c>
      <c r="F998" s="3" t="s">
        <v>28</v>
      </c>
      <c r="G998" s="3" t="s">
        <v>21</v>
      </c>
      <c r="H998" s="3" t="s">
        <v>22</v>
      </c>
      <c r="I998" s="4" t="n">
        <v>408</v>
      </c>
      <c r="J998" s="4" t="n">
        <v>0</v>
      </c>
      <c r="K998" s="4" t="n">
        <v>40</v>
      </c>
      <c r="L998" s="4" t="n">
        <f aca="false">IF(O998="Delivered",I998-J998+K998,0)</f>
        <v>448</v>
      </c>
      <c r="M998" s="0" t="n">
        <v>31</v>
      </c>
      <c r="N998" s="0" t="n">
        <v>3.9</v>
      </c>
      <c r="O998" s="3" t="s">
        <v>17</v>
      </c>
    </row>
    <row r="999" customFormat="false" ht="15" hidden="false" customHeight="false" outlineLevel="0" collapsed="false">
      <c r="A999" s="0" t="s">
        <v>109</v>
      </c>
      <c r="B999" s="2" t="n">
        <v>45915</v>
      </c>
      <c r="C999" s="0" t="str">
        <f aca="false">TEXT(B999,"mmm")</f>
        <v>Sep</v>
      </c>
      <c r="D999" s="0" t="str">
        <f aca="false">TEXT(B999,"ddd")</f>
        <v>Mon</v>
      </c>
      <c r="E999" s="3" t="s">
        <v>19</v>
      </c>
      <c r="F999" s="3" t="s">
        <v>20</v>
      </c>
      <c r="G999" s="3" t="s">
        <v>21</v>
      </c>
      <c r="H999" s="3" t="s">
        <v>34</v>
      </c>
      <c r="I999" s="4" t="n">
        <v>589</v>
      </c>
      <c r="J999" s="4" t="n">
        <v>0</v>
      </c>
      <c r="K999" s="4" t="n">
        <v>0</v>
      </c>
      <c r="L999" s="4" t="n">
        <f aca="false">IF(O999="Delivered",I999-J999+K999,0)</f>
        <v>589</v>
      </c>
      <c r="M999" s="0" t="n">
        <v>26</v>
      </c>
      <c r="N999" s="0" t="n">
        <v>4.5</v>
      </c>
      <c r="O999" s="3" t="s">
        <v>17</v>
      </c>
    </row>
    <row r="1000" customFormat="false" ht="15" hidden="false" customHeight="false" outlineLevel="0" collapsed="false">
      <c r="A1000" s="0" t="s">
        <v>1194</v>
      </c>
      <c r="B1000" s="2" t="n">
        <v>45915</v>
      </c>
      <c r="C1000" s="0" t="str">
        <f aca="false">TEXT(B1000,"mmm")</f>
        <v>Sep</v>
      </c>
      <c r="D1000" s="0" t="str">
        <f aca="false">TEXT(B1000,"ddd")</f>
        <v>Mon</v>
      </c>
      <c r="E1000" s="3" t="s">
        <v>27</v>
      </c>
      <c r="F1000" s="3" t="s">
        <v>28</v>
      </c>
      <c r="G1000" s="3" t="s">
        <v>21</v>
      </c>
      <c r="H1000" s="3" t="s">
        <v>22</v>
      </c>
      <c r="I1000" s="4" t="n">
        <v>501</v>
      </c>
      <c r="J1000" s="4" t="n">
        <v>0</v>
      </c>
      <c r="K1000" s="4" t="n">
        <v>0</v>
      </c>
      <c r="L1000" s="4" t="n">
        <f aca="false">IF(O1000="Delivered",I1000-J1000+K1000,0)</f>
        <v>501</v>
      </c>
      <c r="M1000" s="0" t="n">
        <v>48</v>
      </c>
      <c r="N1000" s="0" t="n">
        <v>4.1</v>
      </c>
      <c r="O1000" s="3" t="s">
        <v>17</v>
      </c>
    </row>
    <row r="1001" customFormat="false" ht="15" hidden="false" customHeight="false" outlineLevel="0" collapsed="false">
      <c r="A1001" s="0" t="s">
        <v>1203</v>
      </c>
      <c r="B1001" s="2" t="n">
        <v>45915</v>
      </c>
      <c r="C1001" s="0" t="str">
        <f aca="false">TEXT(B1001,"mmm")</f>
        <v>Sep</v>
      </c>
      <c r="D1001" s="0" t="str">
        <f aca="false">TEXT(B1001,"ddd")</f>
        <v>Mon</v>
      </c>
      <c r="E1001" s="3" t="s">
        <v>27</v>
      </c>
      <c r="F1001" s="3" t="s">
        <v>49</v>
      </c>
      <c r="G1001" s="3" t="s">
        <v>15</v>
      </c>
      <c r="H1001" s="3" t="s">
        <v>54</v>
      </c>
      <c r="I1001" s="4" t="n">
        <v>358</v>
      </c>
      <c r="J1001" s="4" t="n">
        <v>44</v>
      </c>
      <c r="K1001" s="4" t="n">
        <v>45</v>
      </c>
      <c r="L1001" s="4" t="n">
        <f aca="false">IF(O1001="Delivered",I1001-J1001+K1001,0)</f>
        <v>359</v>
      </c>
      <c r="M1001" s="0" t="n">
        <v>39</v>
      </c>
      <c r="N1001" s="0" t="n">
        <v>5</v>
      </c>
      <c r="O1001" s="3" t="s">
        <v>17</v>
      </c>
    </row>
    <row r="1002" customFormat="false" ht="15" hidden="false" customHeight="false" outlineLevel="0" collapsed="false">
      <c r="A1002" s="0" t="s">
        <v>1535</v>
      </c>
      <c r="B1002" s="2" t="n">
        <v>45915</v>
      </c>
      <c r="C1002" s="0" t="str">
        <f aca="false">TEXT(B1002,"mmm")</f>
        <v>Sep</v>
      </c>
      <c r="D1002" s="0" t="str">
        <f aca="false">TEXT(B1002,"ddd")</f>
        <v>Mon</v>
      </c>
      <c r="E1002" s="3" t="s">
        <v>27</v>
      </c>
      <c r="F1002" s="3" t="s">
        <v>25</v>
      </c>
      <c r="G1002" s="3" t="s">
        <v>21</v>
      </c>
      <c r="H1002" s="3" t="s">
        <v>16</v>
      </c>
      <c r="I1002" s="4" t="n">
        <v>667</v>
      </c>
      <c r="J1002" s="4" t="n">
        <v>0</v>
      </c>
      <c r="K1002" s="4" t="n">
        <v>0</v>
      </c>
      <c r="L1002" s="4" t="n">
        <f aca="false">IF(O1002="Delivered",I1002-J1002+K1002,0)</f>
        <v>667</v>
      </c>
      <c r="M1002" s="0" t="n">
        <v>46</v>
      </c>
      <c r="N1002" s="0" t="n">
        <v>3.7</v>
      </c>
      <c r="O1002" s="3" t="s">
        <v>17</v>
      </c>
    </row>
    <row r="1003" customFormat="false" ht="15" hidden="false" customHeight="false" outlineLevel="0" collapsed="false">
      <c r="A1003" s="0" t="s">
        <v>83</v>
      </c>
      <c r="B1003" s="2" t="n">
        <v>45916</v>
      </c>
      <c r="C1003" s="0" t="str">
        <f aca="false">TEXT(B1003,"mmm")</f>
        <v>Sep</v>
      </c>
      <c r="D1003" s="0" t="str">
        <f aca="false">TEXT(B1003,"ddd")</f>
        <v>Tue</v>
      </c>
      <c r="E1003" s="3" t="s">
        <v>27</v>
      </c>
      <c r="F1003" s="3" t="s">
        <v>20</v>
      </c>
      <c r="G1003" s="3" t="s">
        <v>21</v>
      </c>
      <c r="H1003" s="3" t="s">
        <v>16</v>
      </c>
      <c r="I1003" s="4" t="n">
        <v>832</v>
      </c>
      <c r="J1003" s="4" t="n">
        <v>0</v>
      </c>
      <c r="K1003" s="4" t="n">
        <v>0</v>
      </c>
      <c r="L1003" s="4" t="n">
        <f aca="false">IF(O1003="Delivered",I1003-J1003+K1003,0)</f>
        <v>832</v>
      </c>
      <c r="M1003" s="0" t="n">
        <v>40</v>
      </c>
      <c r="N1003" s="0" t="n">
        <v>4.5</v>
      </c>
      <c r="O1003" s="3" t="s">
        <v>17</v>
      </c>
    </row>
    <row r="1004" customFormat="false" ht="15" hidden="false" customHeight="false" outlineLevel="0" collapsed="false">
      <c r="A1004" s="0" t="s">
        <v>680</v>
      </c>
      <c r="B1004" s="2" t="n">
        <v>45916</v>
      </c>
      <c r="C1004" s="0" t="str">
        <f aca="false">TEXT(B1004,"mmm")</f>
        <v>Sep</v>
      </c>
      <c r="D1004" s="0" t="str">
        <f aca="false">TEXT(B1004,"ddd")</f>
        <v>Tue</v>
      </c>
      <c r="E1004" s="3" t="s">
        <v>51</v>
      </c>
      <c r="F1004" s="3" t="s">
        <v>14</v>
      </c>
      <c r="G1004" s="3" t="s">
        <v>21</v>
      </c>
      <c r="H1004" s="3" t="s">
        <v>36</v>
      </c>
      <c r="I1004" s="4" t="n">
        <v>179</v>
      </c>
      <c r="J1004" s="4" t="n">
        <v>0</v>
      </c>
      <c r="K1004" s="4" t="n">
        <v>20</v>
      </c>
      <c r="L1004" s="4" t="n">
        <f aca="false">IF(O1004="Delivered",I1004-J1004+K1004,0)</f>
        <v>199</v>
      </c>
      <c r="M1004" s="0" t="n">
        <v>32</v>
      </c>
      <c r="N1004" s="0" t="n">
        <v>4.7</v>
      </c>
      <c r="O1004" s="3" t="s">
        <v>17</v>
      </c>
    </row>
    <row r="1005" customFormat="false" ht="15" hidden="false" customHeight="false" outlineLevel="0" collapsed="false">
      <c r="A1005" s="0" t="s">
        <v>1476</v>
      </c>
      <c r="B1005" s="2" t="n">
        <v>45916</v>
      </c>
      <c r="C1005" s="0" t="str">
        <f aca="false">TEXT(B1005,"mmm")</f>
        <v>Sep</v>
      </c>
      <c r="D1005" s="0" t="str">
        <f aca="false">TEXT(B1005,"ddd")</f>
        <v>Tue</v>
      </c>
      <c r="E1005" s="3" t="s">
        <v>13</v>
      </c>
      <c r="F1005" s="3" t="s">
        <v>25</v>
      </c>
      <c r="G1005" s="3" t="s">
        <v>21</v>
      </c>
      <c r="H1005" s="3" t="s">
        <v>36</v>
      </c>
      <c r="I1005" s="4" t="n">
        <v>393</v>
      </c>
      <c r="J1005" s="4" t="n">
        <v>57</v>
      </c>
      <c r="K1005" s="4" t="n">
        <v>40</v>
      </c>
      <c r="L1005" s="4" t="n">
        <f aca="false">IF(O1005="Delivered",I1005-J1005+K1005,0)</f>
        <v>376</v>
      </c>
      <c r="M1005" s="0" t="n">
        <v>37</v>
      </c>
      <c r="N1005" s="0" t="n">
        <v>3.4</v>
      </c>
      <c r="O1005" s="3" t="s">
        <v>17</v>
      </c>
    </row>
    <row r="1006" customFormat="false" ht="15" hidden="false" customHeight="false" outlineLevel="0" collapsed="false">
      <c r="A1006" s="0" t="s">
        <v>217</v>
      </c>
      <c r="B1006" s="2" t="n">
        <v>45917</v>
      </c>
      <c r="C1006" s="0" t="str">
        <f aca="false">TEXT(B1006,"mmm")</f>
        <v>Sep</v>
      </c>
      <c r="D1006" s="0" t="str">
        <f aca="false">TEXT(B1006,"ddd")</f>
        <v>Wed</v>
      </c>
      <c r="E1006" s="3" t="s">
        <v>27</v>
      </c>
      <c r="F1006" s="3" t="s">
        <v>25</v>
      </c>
      <c r="G1006" s="3" t="s">
        <v>21</v>
      </c>
      <c r="H1006" s="3" t="s">
        <v>1690</v>
      </c>
      <c r="I1006" s="4" t="n">
        <v>335</v>
      </c>
      <c r="J1006" s="4" t="n">
        <v>0</v>
      </c>
      <c r="K1006" s="4" t="n">
        <v>20</v>
      </c>
      <c r="L1006" s="4" t="n">
        <f aca="false">IF(O1006="Delivered",I1006-J1006+K1006,0)</f>
        <v>355</v>
      </c>
      <c r="M1006" s="0" t="n">
        <v>28</v>
      </c>
      <c r="N1006" s="0" t="n">
        <v>4.9</v>
      </c>
      <c r="O1006" s="3" t="s">
        <v>17</v>
      </c>
    </row>
    <row r="1007" customFormat="false" ht="15" hidden="false" customHeight="false" outlineLevel="0" collapsed="false">
      <c r="A1007" s="0" t="s">
        <v>455</v>
      </c>
      <c r="B1007" s="2" t="n">
        <v>45917</v>
      </c>
      <c r="C1007" s="0" t="str">
        <f aca="false">TEXT(B1007,"mmm")</f>
        <v>Sep</v>
      </c>
      <c r="D1007" s="0" t="str">
        <f aca="false">TEXT(B1007,"ddd")</f>
        <v>Wed</v>
      </c>
      <c r="E1007" s="3" t="s">
        <v>24</v>
      </c>
      <c r="F1007" s="3" t="s">
        <v>20</v>
      </c>
      <c r="G1007" s="3" t="s">
        <v>15</v>
      </c>
      <c r="H1007" s="3" t="s">
        <v>22</v>
      </c>
      <c r="I1007" s="4" t="n">
        <v>657</v>
      </c>
      <c r="J1007" s="4" t="n">
        <v>80</v>
      </c>
      <c r="K1007" s="4" t="n">
        <v>0</v>
      </c>
      <c r="L1007" s="4" t="n">
        <f aca="false">IF(O1007="Delivered",I1007-J1007+K1007,0)</f>
        <v>577</v>
      </c>
      <c r="M1007" s="0" t="n">
        <v>33</v>
      </c>
      <c r="N1007" s="0" t="n">
        <v>4.4</v>
      </c>
      <c r="O1007" s="3" t="s">
        <v>17</v>
      </c>
    </row>
    <row r="1008" customFormat="false" ht="15" hidden="false" customHeight="false" outlineLevel="0" collapsed="false">
      <c r="A1008" s="0" t="s">
        <v>775</v>
      </c>
      <c r="B1008" s="2" t="n">
        <v>45917</v>
      </c>
      <c r="C1008" s="0" t="str">
        <f aca="false">TEXT(B1008,"mmm")</f>
        <v>Sep</v>
      </c>
      <c r="D1008" s="0" t="str">
        <f aca="false">TEXT(B1008,"ddd")</f>
        <v>Wed</v>
      </c>
      <c r="E1008" s="3" t="s">
        <v>30</v>
      </c>
      <c r="F1008" s="3" t="s">
        <v>25</v>
      </c>
      <c r="G1008" s="3" t="s">
        <v>21</v>
      </c>
      <c r="H1008" s="3" t="s">
        <v>34</v>
      </c>
      <c r="I1008" s="4" t="n">
        <v>466</v>
      </c>
      <c r="J1008" s="4" t="n">
        <v>0</v>
      </c>
      <c r="K1008" s="4" t="n">
        <v>20</v>
      </c>
      <c r="L1008" s="4" t="n">
        <f aca="false">IF(O1008="Delivered",I1008-J1008+K1008,0)</f>
        <v>486</v>
      </c>
      <c r="M1008" s="0" t="n">
        <v>44</v>
      </c>
      <c r="N1008" s="0" t="n">
        <v>3.6</v>
      </c>
      <c r="O1008" s="3" t="s">
        <v>17</v>
      </c>
    </row>
    <row r="1009" customFormat="false" ht="15" hidden="false" customHeight="false" outlineLevel="0" collapsed="false">
      <c r="A1009" s="0" t="s">
        <v>1297</v>
      </c>
      <c r="B1009" s="2" t="n">
        <v>45917</v>
      </c>
      <c r="C1009" s="0" t="str">
        <f aca="false">TEXT(B1009,"mmm")</f>
        <v>Sep</v>
      </c>
      <c r="D1009" s="0" t="str">
        <f aca="false">TEXT(B1009,"ddd")</f>
        <v>Wed</v>
      </c>
      <c r="E1009" s="3" t="s">
        <v>40</v>
      </c>
      <c r="F1009" s="3" t="s">
        <v>14</v>
      </c>
      <c r="G1009" s="3" t="s">
        <v>21</v>
      </c>
      <c r="H1009" s="3" t="s">
        <v>22</v>
      </c>
      <c r="I1009" s="4" t="n">
        <v>315</v>
      </c>
      <c r="J1009" s="4" t="n">
        <v>67</v>
      </c>
      <c r="K1009" s="4" t="n">
        <v>20</v>
      </c>
      <c r="L1009" s="4" t="n">
        <f aca="false">IF(O1009="Delivered",I1009-J1009+K1009,0)</f>
        <v>268</v>
      </c>
      <c r="M1009" s="0" t="n">
        <v>57</v>
      </c>
      <c r="N1009" s="0" t="n">
        <v>3.6</v>
      </c>
      <c r="O1009" s="3" t="s">
        <v>17</v>
      </c>
    </row>
    <row r="1010" customFormat="false" ht="15" hidden="false" customHeight="false" outlineLevel="0" collapsed="false">
      <c r="A1010" s="0" t="s">
        <v>1649</v>
      </c>
      <c r="B1010" s="2" t="n">
        <v>45917</v>
      </c>
      <c r="C1010" s="0" t="str">
        <f aca="false">TEXT(B1010,"mmm")</f>
        <v>Sep</v>
      </c>
      <c r="D1010" s="0" t="str">
        <f aca="false">TEXT(B1010,"ddd")</f>
        <v>Wed</v>
      </c>
      <c r="E1010" s="3" t="s">
        <v>27</v>
      </c>
      <c r="F1010" s="3" t="s">
        <v>31</v>
      </c>
      <c r="G1010" s="3" t="s">
        <v>15</v>
      </c>
      <c r="H1010" s="3" t="s">
        <v>22</v>
      </c>
      <c r="I1010" s="4" t="n">
        <v>382</v>
      </c>
      <c r="J1010" s="4" t="n">
        <v>53</v>
      </c>
      <c r="K1010" s="4" t="n">
        <v>30</v>
      </c>
      <c r="L1010" s="4" t="n">
        <f aca="false">IF(O1010="Delivered",I1010-J1010+K1010,0)</f>
        <v>359</v>
      </c>
      <c r="M1010" s="0" t="n">
        <v>44</v>
      </c>
      <c r="N1010" s="0" t="n">
        <v>4.3</v>
      </c>
      <c r="O1010" s="3" t="s">
        <v>17</v>
      </c>
    </row>
    <row r="1011" customFormat="false" ht="15" hidden="false" customHeight="false" outlineLevel="0" collapsed="false">
      <c r="A1011" s="0" t="s">
        <v>758</v>
      </c>
      <c r="B1011" s="2" t="n">
        <v>45918</v>
      </c>
      <c r="C1011" s="0" t="str">
        <f aca="false">TEXT(B1011,"mmm")</f>
        <v>Sep</v>
      </c>
      <c r="D1011" s="0" t="str">
        <f aca="false">TEXT(B1011,"ddd")</f>
        <v>Thu</v>
      </c>
      <c r="E1011" s="3" t="s">
        <v>24</v>
      </c>
      <c r="F1011" s="3" t="s">
        <v>14</v>
      </c>
      <c r="G1011" s="3" t="s">
        <v>15</v>
      </c>
      <c r="H1011" s="3" t="s">
        <v>22</v>
      </c>
      <c r="I1011" s="4" t="n">
        <v>252</v>
      </c>
      <c r="J1011" s="4" t="n">
        <v>0</v>
      </c>
      <c r="K1011" s="4" t="n">
        <v>20</v>
      </c>
      <c r="L1011" s="4" t="n">
        <f aca="false">IF(O1011="Delivered",I1011-J1011+K1011,0)</f>
        <v>0</v>
      </c>
      <c r="O1011" s="3" t="s">
        <v>68</v>
      </c>
    </row>
    <row r="1012" customFormat="false" ht="15" hidden="false" customHeight="false" outlineLevel="0" collapsed="false">
      <c r="A1012" s="0" t="s">
        <v>840</v>
      </c>
      <c r="B1012" s="2" t="n">
        <v>45918</v>
      </c>
      <c r="C1012" s="0" t="str">
        <f aca="false">TEXT(B1012,"mmm")</f>
        <v>Sep</v>
      </c>
      <c r="D1012" s="0" t="str">
        <f aca="false">TEXT(B1012,"ddd")</f>
        <v>Thu</v>
      </c>
      <c r="E1012" s="3" t="s">
        <v>27</v>
      </c>
      <c r="F1012" s="3" t="s">
        <v>28</v>
      </c>
      <c r="G1012" s="3" t="s">
        <v>15</v>
      </c>
      <c r="H1012" s="3" t="s">
        <v>36</v>
      </c>
      <c r="I1012" s="4" t="n">
        <v>495</v>
      </c>
      <c r="J1012" s="4" t="n">
        <v>0</v>
      </c>
      <c r="K1012" s="4" t="n">
        <v>40</v>
      </c>
      <c r="L1012" s="4" t="n">
        <f aca="false">IF(O1012="Delivered",I1012-J1012+K1012,0)</f>
        <v>535</v>
      </c>
      <c r="M1012" s="0" t="n">
        <v>49</v>
      </c>
      <c r="N1012" s="0" t="n">
        <v>4.6</v>
      </c>
      <c r="O1012" s="3" t="s">
        <v>17</v>
      </c>
    </row>
    <row r="1013" customFormat="false" ht="15" hidden="false" customHeight="false" outlineLevel="0" collapsed="false">
      <c r="A1013" s="0" t="s">
        <v>1209</v>
      </c>
      <c r="B1013" s="2" t="n">
        <v>45918</v>
      </c>
      <c r="C1013" s="0" t="str">
        <f aca="false">TEXT(B1013,"mmm")</f>
        <v>Sep</v>
      </c>
      <c r="D1013" s="0" t="str">
        <f aca="false">TEXT(B1013,"ddd")</f>
        <v>Thu</v>
      </c>
      <c r="E1013" s="3" t="s">
        <v>13</v>
      </c>
      <c r="F1013" s="3" t="s">
        <v>14</v>
      </c>
      <c r="G1013" s="3" t="s">
        <v>21</v>
      </c>
      <c r="H1013" s="3" t="s">
        <v>22</v>
      </c>
      <c r="I1013" s="4" t="n">
        <v>214</v>
      </c>
      <c r="J1013" s="4" t="n">
        <v>0</v>
      </c>
      <c r="K1013" s="4" t="n">
        <v>45</v>
      </c>
      <c r="L1013" s="4" t="n">
        <f aca="false">IF(O1013="Delivered",I1013-J1013+K1013,0)</f>
        <v>259</v>
      </c>
      <c r="M1013" s="0" t="n">
        <v>37</v>
      </c>
      <c r="N1013" s="0" t="n">
        <v>4</v>
      </c>
      <c r="O1013" s="3" t="s">
        <v>17</v>
      </c>
    </row>
    <row r="1014" customFormat="false" ht="15" hidden="false" customHeight="false" outlineLevel="0" collapsed="false">
      <c r="A1014" s="0" t="s">
        <v>275</v>
      </c>
      <c r="B1014" s="2" t="n">
        <v>45919</v>
      </c>
      <c r="C1014" s="0" t="str">
        <f aca="false">TEXT(B1014,"mmm")</f>
        <v>Sep</v>
      </c>
      <c r="D1014" s="0" t="str">
        <f aca="false">TEXT(B1014,"ddd")</f>
        <v>Fri</v>
      </c>
      <c r="E1014" s="3" t="s">
        <v>27</v>
      </c>
      <c r="F1014" s="3" t="s">
        <v>31</v>
      </c>
      <c r="G1014" s="3" t="s">
        <v>21</v>
      </c>
      <c r="H1014" s="3" t="s">
        <v>22</v>
      </c>
      <c r="I1014" s="4" t="n">
        <v>479</v>
      </c>
      <c r="J1014" s="4" t="n">
        <v>52</v>
      </c>
      <c r="K1014" s="4" t="n">
        <v>20</v>
      </c>
      <c r="L1014" s="4" t="n">
        <f aca="false">IF(O1014="Delivered",I1014-J1014+K1014,0)</f>
        <v>447</v>
      </c>
      <c r="M1014" s="0" t="n">
        <v>53</v>
      </c>
      <c r="N1014" s="0" t="n">
        <v>3.4</v>
      </c>
      <c r="O1014" s="3" t="s">
        <v>17</v>
      </c>
    </row>
    <row r="1015" customFormat="false" ht="15" hidden="false" customHeight="false" outlineLevel="0" collapsed="false">
      <c r="A1015" s="0" t="s">
        <v>771</v>
      </c>
      <c r="B1015" s="2" t="n">
        <v>45919</v>
      </c>
      <c r="C1015" s="0" t="str">
        <f aca="false">TEXT(B1015,"mmm")</f>
        <v>Sep</v>
      </c>
      <c r="D1015" s="0" t="str">
        <f aca="false">TEXT(B1015,"ddd")</f>
        <v>Fri</v>
      </c>
      <c r="E1015" s="3" t="s">
        <v>30</v>
      </c>
      <c r="F1015" s="3" t="s">
        <v>25</v>
      </c>
      <c r="G1015" s="3" t="s">
        <v>21</v>
      </c>
      <c r="H1015" s="3" t="s">
        <v>54</v>
      </c>
      <c r="I1015" s="4" t="n">
        <v>465</v>
      </c>
      <c r="J1015" s="4" t="n">
        <v>0</v>
      </c>
      <c r="K1015" s="4" t="n">
        <v>20</v>
      </c>
      <c r="L1015" s="4" t="n">
        <f aca="false">IF(O1015="Delivered",I1015-J1015+K1015,0)</f>
        <v>485</v>
      </c>
      <c r="M1015" s="0" t="n">
        <v>24</v>
      </c>
      <c r="O1015" s="3" t="s">
        <v>17</v>
      </c>
    </row>
    <row r="1016" customFormat="false" ht="15" hidden="false" customHeight="false" outlineLevel="0" collapsed="false">
      <c r="A1016" s="0" t="s">
        <v>971</v>
      </c>
      <c r="B1016" s="2" t="n">
        <v>45919</v>
      </c>
      <c r="C1016" s="0" t="str">
        <f aca="false">TEXT(B1016,"mmm")</f>
        <v>Sep</v>
      </c>
      <c r="D1016" s="0" t="str">
        <f aca="false">TEXT(B1016,"ddd")</f>
        <v>Fri</v>
      </c>
      <c r="E1016" s="3" t="s">
        <v>40</v>
      </c>
      <c r="F1016" s="3" t="s">
        <v>56</v>
      </c>
      <c r="G1016" s="3" t="s">
        <v>15</v>
      </c>
      <c r="H1016" s="3" t="s">
        <v>54</v>
      </c>
      <c r="I1016" s="4" t="n">
        <v>413</v>
      </c>
      <c r="J1016" s="4" t="n">
        <v>83</v>
      </c>
      <c r="K1016" s="4" t="n">
        <v>20</v>
      </c>
      <c r="L1016" s="4" t="n">
        <f aca="false">IF(O1016="Delivered",I1016-J1016+K1016,0)</f>
        <v>350</v>
      </c>
      <c r="M1016" s="0" t="n">
        <v>40</v>
      </c>
      <c r="N1016" s="0" t="n">
        <v>3.7</v>
      </c>
      <c r="O1016" s="3" t="s">
        <v>17</v>
      </c>
    </row>
    <row r="1017" customFormat="false" ht="15" hidden="false" customHeight="false" outlineLevel="0" collapsed="false">
      <c r="A1017" s="0" t="s">
        <v>1168</v>
      </c>
      <c r="B1017" s="2" t="n">
        <v>45919</v>
      </c>
      <c r="C1017" s="0" t="str">
        <f aca="false">TEXT(B1017,"mmm")</f>
        <v>Sep</v>
      </c>
      <c r="D1017" s="0" t="str">
        <f aca="false">TEXT(B1017,"ddd")</f>
        <v>Fri</v>
      </c>
      <c r="E1017" s="3" t="s">
        <v>40</v>
      </c>
      <c r="F1017" s="3" t="s">
        <v>25</v>
      </c>
      <c r="G1017" s="3" t="s">
        <v>15</v>
      </c>
      <c r="H1017" s="3" t="s">
        <v>22</v>
      </c>
      <c r="I1017" s="4" t="n">
        <v>472</v>
      </c>
      <c r="J1017" s="4" t="n">
        <v>83</v>
      </c>
      <c r="K1017" s="4" t="n">
        <v>20</v>
      </c>
      <c r="L1017" s="4" t="n">
        <f aca="false">IF(O1017="Delivered",I1017-J1017+K1017,0)</f>
        <v>409</v>
      </c>
      <c r="M1017" s="0" t="n">
        <v>38</v>
      </c>
      <c r="N1017" s="0" t="n">
        <v>4.6</v>
      </c>
      <c r="O1017" s="3" t="s">
        <v>17</v>
      </c>
    </row>
    <row r="1018" customFormat="false" ht="15" hidden="false" customHeight="false" outlineLevel="0" collapsed="false">
      <c r="A1018" s="0" t="s">
        <v>1383</v>
      </c>
      <c r="B1018" s="2" t="n">
        <v>45919</v>
      </c>
      <c r="C1018" s="0" t="str">
        <f aca="false">TEXT(B1018,"mmm")</f>
        <v>Sep</v>
      </c>
      <c r="D1018" s="0" t="str">
        <f aca="false">TEXT(B1018,"ddd")</f>
        <v>Fri</v>
      </c>
      <c r="E1018" s="3" t="s">
        <v>40</v>
      </c>
      <c r="F1018" s="3" t="s">
        <v>78</v>
      </c>
      <c r="G1018" s="3" t="s">
        <v>15</v>
      </c>
      <c r="H1018" s="3" t="s">
        <v>22</v>
      </c>
      <c r="I1018" s="4" t="n">
        <v>248</v>
      </c>
      <c r="J1018" s="4" t="n">
        <v>0</v>
      </c>
      <c r="K1018" s="4" t="n">
        <v>30</v>
      </c>
      <c r="L1018" s="4" t="n">
        <f aca="false">IF(O1018="Delivered",I1018-J1018+K1018,0)</f>
        <v>278</v>
      </c>
      <c r="M1018" s="0" t="n">
        <v>31</v>
      </c>
      <c r="N1018" s="0" t="n">
        <v>4.5</v>
      </c>
      <c r="O1018" s="3" t="s">
        <v>17</v>
      </c>
    </row>
    <row r="1019" customFormat="false" ht="15" hidden="false" customHeight="false" outlineLevel="0" collapsed="false">
      <c r="A1019" s="0" t="s">
        <v>1399</v>
      </c>
      <c r="B1019" s="2" t="n">
        <v>45919</v>
      </c>
      <c r="C1019" s="0" t="str">
        <f aca="false">TEXT(B1019,"mmm")</f>
        <v>Sep</v>
      </c>
      <c r="D1019" s="0" t="str">
        <f aca="false">TEXT(B1019,"ddd")</f>
        <v>Fri</v>
      </c>
      <c r="E1019" s="3" t="s">
        <v>24</v>
      </c>
      <c r="F1019" s="3" t="s">
        <v>28</v>
      </c>
      <c r="G1019" s="3" t="s">
        <v>21</v>
      </c>
      <c r="H1019" s="3" t="s">
        <v>22</v>
      </c>
      <c r="I1019" s="4" t="n">
        <v>462</v>
      </c>
      <c r="J1019" s="4" t="n">
        <v>102</v>
      </c>
      <c r="K1019" s="4" t="n">
        <v>30</v>
      </c>
      <c r="L1019" s="4" t="n">
        <f aca="false">IF(O1019="Delivered",I1019-J1019+K1019,0)</f>
        <v>390</v>
      </c>
      <c r="M1019" s="0" t="n">
        <v>37</v>
      </c>
      <c r="N1019" s="0" t="n">
        <v>4.5</v>
      </c>
      <c r="O1019" s="3" t="s">
        <v>17</v>
      </c>
    </row>
    <row r="1020" customFormat="false" ht="15" hidden="false" customHeight="false" outlineLevel="0" collapsed="false">
      <c r="A1020" s="0" t="s">
        <v>70</v>
      </c>
      <c r="B1020" s="2" t="n">
        <v>45920</v>
      </c>
      <c r="C1020" s="0" t="str">
        <f aca="false">TEXT(B1020,"mmm")</f>
        <v>Sep</v>
      </c>
      <c r="D1020" s="0" t="str">
        <f aca="false">TEXT(B1020,"ddd")</f>
        <v>Sat</v>
      </c>
      <c r="E1020" s="3" t="s">
        <v>24</v>
      </c>
      <c r="F1020" s="3" t="s">
        <v>56</v>
      </c>
      <c r="G1020" s="3" t="s">
        <v>21</v>
      </c>
      <c r="H1020" s="3" t="s">
        <v>22</v>
      </c>
      <c r="I1020" s="4" t="n">
        <v>454</v>
      </c>
      <c r="J1020" s="4" t="n">
        <v>0</v>
      </c>
      <c r="K1020" s="4" t="n">
        <v>30</v>
      </c>
      <c r="L1020" s="4" t="n">
        <f aca="false">IF(O1020="Delivered",I1020-J1020+K1020,0)</f>
        <v>0</v>
      </c>
      <c r="O1020" s="3" t="s">
        <v>68</v>
      </c>
    </row>
    <row r="1021" customFormat="false" ht="15" hidden="false" customHeight="false" outlineLevel="0" collapsed="false">
      <c r="A1021" s="0" t="s">
        <v>93</v>
      </c>
      <c r="B1021" s="2" t="n">
        <v>45920</v>
      </c>
      <c r="C1021" s="0" t="str">
        <f aca="false">TEXT(B1021,"mmm")</f>
        <v>Sep</v>
      </c>
      <c r="D1021" s="0" t="str">
        <f aca="false">TEXT(B1021,"ddd")</f>
        <v>Sat</v>
      </c>
      <c r="E1021" s="3" t="s">
        <v>24</v>
      </c>
      <c r="F1021" s="3" t="s">
        <v>49</v>
      </c>
      <c r="G1021" s="3" t="s">
        <v>21</v>
      </c>
      <c r="H1021" s="3" t="s">
        <v>22</v>
      </c>
      <c r="I1021" s="4" t="n">
        <v>341</v>
      </c>
      <c r="J1021" s="4" t="n">
        <v>72</v>
      </c>
      <c r="K1021" s="4" t="n">
        <v>30</v>
      </c>
      <c r="L1021" s="4" t="n">
        <f aca="false">IF(O1021="Delivered",I1021-J1021+K1021,0)</f>
        <v>299</v>
      </c>
      <c r="M1021" s="0" t="n">
        <v>27</v>
      </c>
      <c r="N1021" s="0" t="n">
        <v>4.2</v>
      </c>
      <c r="O1021" s="3" t="s">
        <v>17</v>
      </c>
    </row>
    <row r="1022" customFormat="false" ht="15" hidden="false" customHeight="false" outlineLevel="0" collapsed="false">
      <c r="A1022" s="0" t="s">
        <v>348</v>
      </c>
      <c r="B1022" s="2" t="n">
        <v>45920</v>
      </c>
      <c r="C1022" s="0" t="str">
        <f aca="false">TEXT(B1022,"mmm")</f>
        <v>Sep</v>
      </c>
      <c r="D1022" s="0" t="str">
        <f aca="false">TEXT(B1022,"ddd")</f>
        <v>Sat</v>
      </c>
      <c r="E1022" s="3" t="s">
        <v>13</v>
      </c>
      <c r="F1022" s="3" t="s">
        <v>28</v>
      </c>
      <c r="G1022" s="3" t="s">
        <v>15</v>
      </c>
      <c r="H1022" s="3" t="s">
        <v>22</v>
      </c>
      <c r="I1022" s="4" t="n">
        <v>370</v>
      </c>
      <c r="J1022" s="4" t="n">
        <v>87</v>
      </c>
      <c r="K1022" s="4" t="n">
        <v>30</v>
      </c>
      <c r="L1022" s="4" t="n">
        <f aca="false">IF(O1022="Delivered",I1022-J1022+K1022,0)</f>
        <v>313</v>
      </c>
      <c r="M1022" s="0" t="n">
        <v>23</v>
      </c>
      <c r="N1022" s="0" t="n">
        <v>4.6</v>
      </c>
      <c r="O1022" s="3" t="s">
        <v>17</v>
      </c>
    </row>
    <row r="1023" customFormat="false" ht="15" hidden="false" customHeight="false" outlineLevel="0" collapsed="false">
      <c r="A1023" s="0" t="s">
        <v>986</v>
      </c>
      <c r="B1023" s="2" t="n">
        <v>45920</v>
      </c>
      <c r="C1023" s="0" t="str">
        <f aca="false">TEXT(B1023,"mmm")</f>
        <v>Sep</v>
      </c>
      <c r="D1023" s="0" t="str">
        <f aca="false">TEXT(B1023,"ddd")</f>
        <v>Sat</v>
      </c>
      <c r="E1023" s="3" t="s">
        <v>30</v>
      </c>
      <c r="F1023" s="3" t="s">
        <v>28</v>
      </c>
      <c r="G1023" s="3" t="s">
        <v>21</v>
      </c>
      <c r="H1023" s="3" t="s">
        <v>22</v>
      </c>
      <c r="I1023" s="4" t="n">
        <v>513</v>
      </c>
      <c r="J1023" s="4" t="n">
        <v>0</v>
      </c>
      <c r="K1023" s="4" t="n">
        <v>0</v>
      </c>
      <c r="L1023" s="4" t="n">
        <f aca="false">IF(O1023="Delivered",I1023-J1023+K1023,0)</f>
        <v>513</v>
      </c>
      <c r="M1023" s="0" t="n">
        <v>36</v>
      </c>
      <c r="N1023" s="0" t="n">
        <v>4.3</v>
      </c>
      <c r="O1023" s="3" t="s">
        <v>17</v>
      </c>
    </row>
    <row r="1024" customFormat="false" ht="15" hidden="false" customHeight="false" outlineLevel="0" collapsed="false">
      <c r="A1024" s="0" t="s">
        <v>1485</v>
      </c>
      <c r="B1024" s="2" t="n">
        <v>45920</v>
      </c>
      <c r="C1024" s="0" t="str">
        <f aca="false">TEXT(B1024,"mmm")</f>
        <v>Sep</v>
      </c>
      <c r="D1024" s="0" t="str">
        <f aca="false">TEXT(B1024,"ddd")</f>
        <v>Sat</v>
      </c>
      <c r="E1024" s="3" t="s">
        <v>27</v>
      </c>
      <c r="F1024" s="3" t="s">
        <v>20</v>
      </c>
      <c r="G1024" s="3" t="s">
        <v>21</v>
      </c>
      <c r="H1024" s="3" t="s">
        <v>22</v>
      </c>
      <c r="I1024" s="4" t="n">
        <v>396</v>
      </c>
      <c r="J1024" s="4" t="n">
        <v>0</v>
      </c>
      <c r="K1024" s="4" t="n">
        <v>40</v>
      </c>
      <c r="L1024" s="4" t="n">
        <f aca="false">IF(O1024="Delivered",I1024-J1024+K1024,0)</f>
        <v>436</v>
      </c>
      <c r="M1024" s="0" t="n">
        <v>49</v>
      </c>
      <c r="N1024" s="0" t="n">
        <v>4.1</v>
      </c>
      <c r="O1024" s="3" t="s">
        <v>17</v>
      </c>
    </row>
    <row r="1025" customFormat="false" ht="15" hidden="false" customHeight="false" outlineLevel="0" collapsed="false">
      <c r="A1025" s="0" t="s">
        <v>399</v>
      </c>
      <c r="B1025" s="2" t="n">
        <v>45921</v>
      </c>
      <c r="C1025" s="0" t="str">
        <f aca="false">TEXT(B1025,"mmm")</f>
        <v>Sep</v>
      </c>
      <c r="D1025" s="0" t="str">
        <f aca="false">TEXT(B1025,"ddd")</f>
        <v>Sun</v>
      </c>
      <c r="E1025" s="3" t="s">
        <v>27</v>
      </c>
      <c r="F1025" s="3" t="s">
        <v>31</v>
      </c>
      <c r="G1025" s="3" t="s">
        <v>21</v>
      </c>
      <c r="H1025" s="3" t="s">
        <v>36</v>
      </c>
      <c r="I1025" s="4" t="n">
        <v>678</v>
      </c>
      <c r="J1025" s="4" t="n">
        <v>0</v>
      </c>
      <c r="K1025" s="4" t="n">
        <v>0</v>
      </c>
      <c r="L1025" s="4" t="n">
        <f aca="false">IF(O1025="Delivered",I1025-J1025+K1025,0)</f>
        <v>678</v>
      </c>
      <c r="M1025" s="0" t="n">
        <v>39</v>
      </c>
      <c r="N1025" s="0" t="n">
        <v>3.6</v>
      </c>
      <c r="O1025" s="3" t="s">
        <v>17</v>
      </c>
    </row>
    <row r="1026" customFormat="false" ht="15" hidden="false" customHeight="false" outlineLevel="0" collapsed="false">
      <c r="A1026" s="0" t="s">
        <v>486</v>
      </c>
      <c r="B1026" s="2" t="n">
        <v>45921</v>
      </c>
      <c r="C1026" s="0" t="str">
        <f aca="false">TEXT(B1026,"mmm")</f>
        <v>Sep</v>
      </c>
      <c r="D1026" s="0" t="str">
        <f aca="false">TEXT(B1026,"ddd")</f>
        <v>Sun</v>
      </c>
      <c r="E1026" s="3" t="s">
        <v>40</v>
      </c>
      <c r="F1026" s="3" t="s">
        <v>31</v>
      </c>
      <c r="G1026" s="3" t="s">
        <v>15</v>
      </c>
      <c r="H1026" s="3" t="s">
        <v>22</v>
      </c>
      <c r="I1026" s="4" t="n">
        <v>401</v>
      </c>
      <c r="J1026" s="4" t="n">
        <v>77</v>
      </c>
      <c r="K1026" s="4" t="n">
        <v>30</v>
      </c>
      <c r="L1026" s="4" t="n">
        <f aca="false">IF(O1026="Delivered",I1026-J1026+K1026,0)</f>
        <v>354</v>
      </c>
      <c r="M1026" s="0" t="n">
        <v>28</v>
      </c>
      <c r="N1026" s="0" t="n">
        <v>3.7</v>
      </c>
      <c r="O1026" s="3" t="s">
        <v>17</v>
      </c>
    </row>
    <row r="1027" customFormat="false" ht="15" hidden="false" customHeight="false" outlineLevel="0" collapsed="false">
      <c r="A1027" s="0" t="s">
        <v>886</v>
      </c>
      <c r="B1027" s="2" t="n">
        <v>45921</v>
      </c>
      <c r="C1027" s="0" t="str">
        <f aca="false">TEXT(B1027,"mmm")</f>
        <v>Sep</v>
      </c>
      <c r="D1027" s="0" t="str">
        <f aca="false">TEXT(B1027,"ddd")</f>
        <v>Sun</v>
      </c>
      <c r="E1027" s="3" t="s">
        <v>19</v>
      </c>
      <c r="F1027" s="3" t="s">
        <v>56</v>
      </c>
      <c r="G1027" s="3" t="s">
        <v>21</v>
      </c>
      <c r="H1027" s="3" t="s">
        <v>16</v>
      </c>
      <c r="I1027" s="4" t="n">
        <v>326</v>
      </c>
      <c r="J1027" s="4" t="n">
        <v>0</v>
      </c>
      <c r="K1027" s="4" t="n">
        <v>45</v>
      </c>
      <c r="L1027" s="4" t="n">
        <f aca="false">IF(O1027="Delivered",I1027-J1027+K1027,0)</f>
        <v>371</v>
      </c>
      <c r="M1027" s="0" t="n">
        <v>27</v>
      </c>
      <c r="N1027" s="0" t="n">
        <v>5</v>
      </c>
      <c r="O1027" s="3" t="s">
        <v>17</v>
      </c>
    </row>
    <row r="1028" customFormat="false" ht="15" hidden="false" customHeight="false" outlineLevel="0" collapsed="false">
      <c r="A1028" s="0" t="s">
        <v>1031</v>
      </c>
      <c r="B1028" s="2" t="n">
        <v>45921</v>
      </c>
      <c r="C1028" s="0" t="str">
        <f aca="false">TEXT(B1028,"mmm")</f>
        <v>Sep</v>
      </c>
      <c r="D1028" s="0" t="str">
        <f aca="false">TEXT(B1028,"ddd")</f>
        <v>Sun</v>
      </c>
      <c r="E1028" s="3" t="s">
        <v>40</v>
      </c>
      <c r="F1028" s="3" t="s">
        <v>25</v>
      </c>
      <c r="G1028" s="3" t="s">
        <v>21</v>
      </c>
      <c r="H1028" s="3" t="s">
        <v>34</v>
      </c>
      <c r="I1028" s="4" t="n">
        <v>417</v>
      </c>
      <c r="J1028" s="4" t="n">
        <v>0</v>
      </c>
      <c r="K1028" s="4" t="n">
        <v>30</v>
      </c>
      <c r="L1028" s="4" t="n">
        <f aca="false">IF(O1028="Delivered",I1028-J1028+K1028,0)</f>
        <v>447</v>
      </c>
      <c r="M1028" s="0" t="n">
        <v>22</v>
      </c>
      <c r="O1028" s="3" t="s">
        <v>17</v>
      </c>
    </row>
    <row r="1029" customFormat="false" ht="15" hidden="false" customHeight="false" outlineLevel="0" collapsed="false">
      <c r="A1029" s="0" t="s">
        <v>1222</v>
      </c>
      <c r="B1029" s="2" t="n">
        <v>45921</v>
      </c>
      <c r="C1029" s="0" t="str">
        <f aca="false">TEXT(B1029,"mmm")</f>
        <v>Sep</v>
      </c>
      <c r="D1029" s="0" t="str">
        <f aca="false">TEXT(B1029,"ddd")</f>
        <v>Sun</v>
      </c>
      <c r="E1029" s="3" t="s">
        <v>40</v>
      </c>
      <c r="F1029" s="3" t="s">
        <v>28</v>
      </c>
      <c r="G1029" s="3" t="s">
        <v>15</v>
      </c>
      <c r="H1029" s="3" t="s">
        <v>54</v>
      </c>
      <c r="I1029" s="4" t="n">
        <v>392</v>
      </c>
      <c r="J1029" s="4" t="n">
        <v>0</v>
      </c>
      <c r="K1029" s="4" t="n">
        <v>20</v>
      </c>
      <c r="L1029" s="4" t="n">
        <f aca="false">IF(O1029="Delivered",I1029-J1029+K1029,0)</f>
        <v>412</v>
      </c>
      <c r="M1029" s="0" t="n">
        <v>41</v>
      </c>
      <c r="N1029" s="0" t="n">
        <v>4.5</v>
      </c>
      <c r="O1029" s="3" t="s">
        <v>17</v>
      </c>
    </row>
    <row r="1030" customFormat="false" ht="15" hidden="false" customHeight="false" outlineLevel="0" collapsed="false">
      <c r="A1030" s="0" t="s">
        <v>1284</v>
      </c>
      <c r="B1030" s="2" t="n">
        <v>45921</v>
      </c>
      <c r="C1030" s="0" t="str">
        <f aca="false">TEXT(B1030,"mmm")</f>
        <v>Sep</v>
      </c>
      <c r="D1030" s="0" t="str">
        <f aca="false">TEXT(B1030,"ddd")</f>
        <v>Sun</v>
      </c>
      <c r="E1030" s="3" t="s">
        <v>24</v>
      </c>
      <c r="F1030" s="3" t="s">
        <v>56</v>
      </c>
      <c r="G1030" s="3" t="s">
        <v>21</v>
      </c>
      <c r="H1030" s="3" t="s">
        <v>16</v>
      </c>
      <c r="I1030" s="4" t="n">
        <v>316</v>
      </c>
      <c r="J1030" s="4" t="n">
        <v>0</v>
      </c>
      <c r="K1030" s="4" t="n">
        <v>45</v>
      </c>
      <c r="L1030" s="4" t="n">
        <f aca="false">IF(O1030="Delivered",I1030-J1030+K1030,0)</f>
        <v>361</v>
      </c>
      <c r="M1030" s="0" t="n">
        <v>42</v>
      </c>
      <c r="N1030" s="0" t="n">
        <v>3.7</v>
      </c>
      <c r="O1030" s="3" t="s">
        <v>17</v>
      </c>
    </row>
    <row r="1031" customFormat="false" ht="15" hidden="false" customHeight="false" outlineLevel="0" collapsed="false">
      <c r="A1031" s="0" t="s">
        <v>639</v>
      </c>
      <c r="B1031" s="2" t="n">
        <v>45922</v>
      </c>
      <c r="C1031" s="0" t="str">
        <f aca="false">TEXT(B1031,"mmm")</f>
        <v>Sep</v>
      </c>
      <c r="D1031" s="0" t="str">
        <f aca="false">TEXT(B1031,"ddd")</f>
        <v>Mon</v>
      </c>
      <c r="E1031" s="3" t="s">
        <v>40</v>
      </c>
      <c r="F1031" s="3" t="s">
        <v>31</v>
      </c>
      <c r="G1031" s="3" t="s">
        <v>15</v>
      </c>
      <c r="H1031" s="3" t="s">
        <v>22</v>
      </c>
      <c r="I1031" s="4" t="n">
        <v>545</v>
      </c>
      <c r="J1031" s="4" t="n">
        <v>0</v>
      </c>
      <c r="K1031" s="4" t="n">
        <v>0</v>
      </c>
      <c r="L1031" s="4" t="n">
        <f aca="false">IF(O1031="Delivered",I1031-J1031+K1031,0)</f>
        <v>545</v>
      </c>
      <c r="M1031" s="0" t="n">
        <v>29</v>
      </c>
      <c r="N1031" s="0" t="n">
        <v>4.3</v>
      </c>
      <c r="O1031" s="3" t="s">
        <v>17</v>
      </c>
    </row>
    <row r="1032" customFormat="false" ht="15" hidden="false" customHeight="false" outlineLevel="0" collapsed="false">
      <c r="A1032" s="0" t="s">
        <v>1533</v>
      </c>
      <c r="B1032" s="2" t="n">
        <v>45923</v>
      </c>
      <c r="C1032" s="0" t="str">
        <f aca="false">TEXT(B1032,"mmm")</f>
        <v>Sep</v>
      </c>
      <c r="D1032" s="0" t="str">
        <f aca="false">TEXT(B1032,"ddd")</f>
        <v>Tue</v>
      </c>
      <c r="E1032" s="3" t="s">
        <v>13</v>
      </c>
      <c r="F1032" s="3" t="s">
        <v>56</v>
      </c>
      <c r="G1032" s="3" t="s">
        <v>21</v>
      </c>
      <c r="H1032" s="3" t="s">
        <v>1690</v>
      </c>
      <c r="I1032" s="4" t="n">
        <v>263</v>
      </c>
      <c r="J1032" s="4" t="n">
        <v>0</v>
      </c>
      <c r="K1032" s="4" t="n">
        <v>30</v>
      </c>
      <c r="L1032" s="4" t="n">
        <f aca="false">IF(O1032="Delivered",I1032-J1032+K1032,0)</f>
        <v>293</v>
      </c>
      <c r="M1032" s="0" t="n">
        <v>46</v>
      </c>
      <c r="N1032" s="0" t="n">
        <v>3</v>
      </c>
      <c r="O1032" s="3" t="s">
        <v>17</v>
      </c>
    </row>
    <row r="1033" customFormat="false" ht="15" hidden="false" customHeight="false" outlineLevel="0" collapsed="false">
      <c r="A1033" s="0" t="s">
        <v>280</v>
      </c>
      <c r="B1033" s="2" t="n">
        <v>45924</v>
      </c>
      <c r="C1033" s="0" t="str">
        <f aca="false">TEXT(B1033,"mmm")</f>
        <v>Sep</v>
      </c>
      <c r="D1033" s="0" t="str">
        <f aca="false">TEXT(B1033,"ddd")</f>
        <v>Wed</v>
      </c>
      <c r="E1033" s="3" t="s">
        <v>30</v>
      </c>
      <c r="F1033" s="3" t="s">
        <v>25</v>
      </c>
      <c r="G1033" s="3" t="s">
        <v>21</v>
      </c>
      <c r="H1033" s="3" t="s">
        <v>22</v>
      </c>
      <c r="I1033" s="4" t="n">
        <v>357</v>
      </c>
      <c r="J1033" s="4" t="n">
        <v>0</v>
      </c>
      <c r="K1033" s="4" t="n">
        <v>30</v>
      </c>
      <c r="L1033" s="4" t="n">
        <f aca="false">IF(O1033="Delivered",I1033-J1033+K1033,0)</f>
        <v>387</v>
      </c>
      <c r="M1033" s="0" t="n">
        <v>30</v>
      </c>
      <c r="N1033" s="0" t="n">
        <v>4.2</v>
      </c>
      <c r="O1033" s="3" t="s">
        <v>17</v>
      </c>
    </row>
    <row r="1034" customFormat="false" ht="15" hidden="false" customHeight="false" outlineLevel="0" collapsed="false">
      <c r="A1034" s="0" t="s">
        <v>941</v>
      </c>
      <c r="B1034" s="2" t="n">
        <v>45924</v>
      </c>
      <c r="C1034" s="0" t="str">
        <f aca="false">TEXT(B1034,"mmm")</f>
        <v>Sep</v>
      </c>
      <c r="D1034" s="0" t="str">
        <f aca="false">TEXT(B1034,"ddd")</f>
        <v>Wed</v>
      </c>
      <c r="E1034" s="3" t="s">
        <v>27</v>
      </c>
      <c r="F1034" s="3" t="s">
        <v>28</v>
      </c>
      <c r="G1034" s="3" t="s">
        <v>21</v>
      </c>
      <c r="H1034" s="3" t="s">
        <v>16</v>
      </c>
      <c r="I1034" s="4" t="n">
        <v>427</v>
      </c>
      <c r="J1034" s="4" t="n">
        <v>0</v>
      </c>
      <c r="K1034" s="4" t="n">
        <v>20</v>
      </c>
      <c r="L1034" s="4" t="n">
        <f aca="false">IF(O1034="Delivered",I1034-J1034+K1034,0)</f>
        <v>447</v>
      </c>
      <c r="M1034" s="0" t="n">
        <v>40</v>
      </c>
      <c r="N1034" s="0" t="n">
        <v>4.4</v>
      </c>
      <c r="O1034" s="3" t="s">
        <v>17</v>
      </c>
    </row>
    <row r="1035" customFormat="false" ht="15" hidden="false" customHeight="false" outlineLevel="0" collapsed="false">
      <c r="A1035" s="0" t="s">
        <v>143</v>
      </c>
      <c r="B1035" s="2" t="n">
        <v>45925</v>
      </c>
      <c r="C1035" s="0" t="str">
        <f aca="false">TEXT(B1035,"mmm")</f>
        <v>Sep</v>
      </c>
      <c r="D1035" s="0" t="str">
        <f aca="false">TEXT(B1035,"ddd")</f>
        <v>Thu</v>
      </c>
      <c r="E1035" s="3" t="s">
        <v>40</v>
      </c>
      <c r="F1035" s="3" t="s">
        <v>49</v>
      </c>
      <c r="G1035" s="3" t="s">
        <v>21</v>
      </c>
      <c r="H1035" s="3" t="s">
        <v>22</v>
      </c>
      <c r="I1035" s="4" t="n">
        <v>675</v>
      </c>
      <c r="J1035" s="4" t="n">
        <v>86</v>
      </c>
      <c r="K1035" s="4" t="n">
        <v>0</v>
      </c>
      <c r="L1035" s="4" t="n">
        <f aca="false">IF(O1035="Delivered",I1035-J1035+K1035,0)</f>
        <v>589</v>
      </c>
      <c r="M1035" s="0" t="n">
        <v>34</v>
      </c>
      <c r="N1035" s="0" t="n">
        <v>4.5</v>
      </c>
      <c r="O1035" s="3" t="s">
        <v>17</v>
      </c>
    </row>
    <row r="1036" customFormat="false" ht="15" hidden="false" customHeight="false" outlineLevel="0" collapsed="false">
      <c r="A1036" s="0" t="s">
        <v>416</v>
      </c>
      <c r="B1036" s="2" t="n">
        <v>45925</v>
      </c>
      <c r="C1036" s="0" t="str">
        <f aca="false">TEXT(B1036,"mmm")</f>
        <v>Sep</v>
      </c>
      <c r="D1036" s="0" t="str">
        <f aca="false">TEXT(B1036,"ddd")</f>
        <v>Thu</v>
      </c>
      <c r="E1036" s="3" t="s">
        <v>27</v>
      </c>
      <c r="F1036" s="3" t="s">
        <v>31</v>
      </c>
      <c r="G1036" s="3" t="s">
        <v>21</v>
      </c>
      <c r="H1036" s="3" t="s">
        <v>16</v>
      </c>
      <c r="I1036" s="4" t="n">
        <v>447</v>
      </c>
      <c r="J1036" s="4" t="n">
        <v>67</v>
      </c>
      <c r="K1036" s="4" t="n">
        <v>20</v>
      </c>
      <c r="L1036" s="4" t="n">
        <f aca="false">IF(O1036="Delivered",I1036-J1036+K1036,0)</f>
        <v>400</v>
      </c>
      <c r="M1036" s="0" t="n">
        <v>38</v>
      </c>
      <c r="N1036" s="0" t="n">
        <v>5</v>
      </c>
      <c r="O1036" s="3" t="s">
        <v>17</v>
      </c>
    </row>
    <row r="1037" customFormat="false" ht="15" hidden="false" customHeight="false" outlineLevel="0" collapsed="false">
      <c r="A1037" s="0" t="s">
        <v>26</v>
      </c>
      <c r="B1037" s="2" t="n">
        <v>45926</v>
      </c>
      <c r="C1037" s="0" t="str">
        <f aca="false">TEXT(B1037,"mmm")</f>
        <v>Sep</v>
      </c>
      <c r="D1037" s="0" t="str">
        <f aca="false">TEXT(B1037,"ddd")</f>
        <v>Fri</v>
      </c>
      <c r="E1037" s="3" t="s">
        <v>27</v>
      </c>
      <c r="F1037" s="3" t="s">
        <v>28</v>
      </c>
      <c r="G1037" s="3" t="s">
        <v>21</v>
      </c>
      <c r="H1037" s="3" t="s">
        <v>22</v>
      </c>
      <c r="I1037" s="4" t="n">
        <v>491</v>
      </c>
      <c r="J1037" s="4" t="n">
        <v>64</v>
      </c>
      <c r="K1037" s="4" t="n">
        <v>20</v>
      </c>
      <c r="L1037" s="4" t="n">
        <f aca="false">IF(O1037="Delivered",I1037-J1037+K1037,0)</f>
        <v>447</v>
      </c>
      <c r="M1037" s="0" t="n">
        <v>51</v>
      </c>
      <c r="N1037" s="0" t="n">
        <v>3.2</v>
      </c>
      <c r="O1037" s="3" t="s">
        <v>17</v>
      </c>
    </row>
    <row r="1038" customFormat="false" ht="15" hidden="false" customHeight="false" outlineLevel="0" collapsed="false">
      <c r="A1038" s="0" t="s">
        <v>86</v>
      </c>
      <c r="B1038" s="2" t="n">
        <v>45926</v>
      </c>
      <c r="C1038" s="0" t="str">
        <f aca="false">TEXT(B1038,"mmm")</f>
        <v>Sep</v>
      </c>
      <c r="D1038" s="0" t="str">
        <f aca="false">TEXT(B1038,"ddd")</f>
        <v>Fri</v>
      </c>
      <c r="E1038" s="3" t="s">
        <v>24</v>
      </c>
      <c r="F1038" s="3" t="s">
        <v>28</v>
      </c>
      <c r="G1038" s="3" t="s">
        <v>21</v>
      </c>
      <c r="H1038" s="3" t="s">
        <v>36</v>
      </c>
      <c r="I1038" s="4" t="n">
        <v>371</v>
      </c>
      <c r="J1038" s="4" t="n">
        <v>46</v>
      </c>
      <c r="K1038" s="4" t="n">
        <v>20</v>
      </c>
      <c r="L1038" s="4" t="n">
        <f aca="false">IF(O1038="Delivered",I1038-J1038+K1038,0)</f>
        <v>345</v>
      </c>
      <c r="M1038" s="0" t="n">
        <v>41</v>
      </c>
      <c r="N1038" s="0" t="n">
        <v>3.7</v>
      </c>
      <c r="O1038" s="3" t="s">
        <v>17</v>
      </c>
    </row>
    <row r="1039" customFormat="false" ht="15" hidden="false" customHeight="false" outlineLevel="0" collapsed="false">
      <c r="A1039" s="0" t="s">
        <v>154</v>
      </c>
      <c r="B1039" s="2" t="n">
        <v>45926</v>
      </c>
      <c r="C1039" s="0" t="str">
        <f aca="false">TEXT(B1039,"mmm")</f>
        <v>Sep</v>
      </c>
      <c r="D1039" s="0" t="str">
        <f aca="false">TEXT(B1039,"ddd")</f>
        <v>Fri</v>
      </c>
      <c r="E1039" s="3" t="s">
        <v>40</v>
      </c>
      <c r="F1039" s="3" t="s">
        <v>31</v>
      </c>
      <c r="G1039" s="3" t="s">
        <v>21</v>
      </c>
      <c r="H1039" s="3" t="s">
        <v>22</v>
      </c>
      <c r="I1039" s="4" t="n">
        <v>460</v>
      </c>
      <c r="J1039" s="4" t="n">
        <v>0</v>
      </c>
      <c r="K1039" s="4" t="n">
        <v>45</v>
      </c>
      <c r="L1039" s="4" t="n">
        <f aca="false">IF(O1039="Delivered",I1039-J1039+K1039,0)</f>
        <v>505</v>
      </c>
      <c r="M1039" s="0" t="n">
        <v>28</v>
      </c>
      <c r="N1039" s="0" t="n">
        <v>3.8</v>
      </c>
      <c r="O1039" s="3" t="s">
        <v>17</v>
      </c>
    </row>
    <row r="1040" customFormat="false" ht="15" hidden="false" customHeight="false" outlineLevel="0" collapsed="false">
      <c r="A1040" s="0" t="s">
        <v>527</v>
      </c>
      <c r="B1040" s="2" t="n">
        <v>45926</v>
      </c>
      <c r="C1040" s="0" t="str">
        <f aca="false">TEXT(B1040,"mmm")</f>
        <v>Sep</v>
      </c>
      <c r="D1040" s="0" t="str">
        <f aca="false">TEXT(B1040,"ddd")</f>
        <v>Fri</v>
      </c>
      <c r="E1040" s="3" t="s">
        <v>30</v>
      </c>
      <c r="F1040" s="3" t="s">
        <v>78</v>
      </c>
      <c r="G1040" s="3" t="s">
        <v>21</v>
      </c>
      <c r="H1040" s="3" t="s">
        <v>22</v>
      </c>
      <c r="I1040" s="4" t="n">
        <v>490</v>
      </c>
      <c r="J1040" s="4" t="n">
        <v>113</v>
      </c>
      <c r="K1040" s="4" t="n">
        <v>45</v>
      </c>
      <c r="L1040" s="4" t="n">
        <f aca="false">IF(O1040="Delivered",I1040-J1040+K1040,0)</f>
        <v>422</v>
      </c>
      <c r="M1040" s="0" t="n">
        <v>20</v>
      </c>
      <c r="N1040" s="0" t="n">
        <v>4.3</v>
      </c>
      <c r="O1040" s="3" t="s">
        <v>17</v>
      </c>
    </row>
    <row r="1041" customFormat="false" ht="15" hidden="false" customHeight="false" outlineLevel="0" collapsed="false">
      <c r="A1041" s="0" t="s">
        <v>565</v>
      </c>
      <c r="B1041" s="2" t="n">
        <v>45926</v>
      </c>
      <c r="C1041" s="0" t="str">
        <f aca="false">TEXT(B1041,"mmm")</f>
        <v>Sep</v>
      </c>
      <c r="D1041" s="0" t="str">
        <f aca="false">TEXT(B1041,"ddd")</f>
        <v>Fri</v>
      </c>
      <c r="E1041" s="3" t="s">
        <v>40</v>
      </c>
      <c r="F1041" s="3" t="s">
        <v>14</v>
      </c>
      <c r="G1041" s="3" t="s">
        <v>15</v>
      </c>
      <c r="H1041" s="3" t="s">
        <v>36</v>
      </c>
      <c r="I1041" s="4" t="n">
        <v>259</v>
      </c>
      <c r="J1041" s="4" t="n">
        <v>60</v>
      </c>
      <c r="K1041" s="4" t="n">
        <v>40</v>
      </c>
      <c r="L1041" s="4" t="n">
        <f aca="false">IF(O1041="Delivered",I1041-J1041+K1041,0)</f>
        <v>239</v>
      </c>
      <c r="M1041" s="0" t="n">
        <v>32</v>
      </c>
      <c r="N1041" s="0" t="n">
        <v>3.2</v>
      </c>
      <c r="O1041" s="3" t="s">
        <v>17</v>
      </c>
    </row>
    <row r="1042" customFormat="false" ht="15" hidden="false" customHeight="false" outlineLevel="0" collapsed="false">
      <c r="A1042" s="0" t="s">
        <v>867</v>
      </c>
      <c r="B1042" s="2" t="n">
        <v>45926</v>
      </c>
      <c r="C1042" s="0" t="str">
        <f aca="false">TEXT(B1042,"mmm")</f>
        <v>Sep</v>
      </c>
      <c r="D1042" s="0" t="str">
        <f aca="false">TEXT(B1042,"ddd")</f>
        <v>Fri</v>
      </c>
      <c r="E1042" s="3" t="s">
        <v>45</v>
      </c>
      <c r="F1042" s="3" t="s">
        <v>78</v>
      </c>
      <c r="G1042" s="3" t="s">
        <v>21</v>
      </c>
      <c r="H1042" s="3" t="s">
        <v>54</v>
      </c>
      <c r="I1042" s="4" t="n">
        <v>403</v>
      </c>
      <c r="J1042" s="4" t="n">
        <v>0</v>
      </c>
      <c r="K1042" s="4" t="n">
        <v>45</v>
      </c>
      <c r="L1042" s="4" t="n">
        <f aca="false">IF(O1042="Delivered",I1042-J1042+K1042,0)</f>
        <v>448</v>
      </c>
      <c r="M1042" s="0" t="n">
        <v>26</v>
      </c>
      <c r="N1042" s="0" t="n">
        <v>4.6</v>
      </c>
      <c r="O1042" s="3" t="s">
        <v>17</v>
      </c>
    </row>
    <row r="1043" customFormat="false" ht="15" hidden="false" customHeight="false" outlineLevel="0" collapsed="false">
      <c r="A1043" s="0" t="s">
        <v>598</v>
      </c>
      <c r="B1043" s="2" t="n">
        <v>45927</v>
      </c>
      <c r="C1043" s="0" t="str">
        <f aca="false">TEXT(B1043,"mmm")</f>
        <v>Sep</v>
      </c>
      <c r="D1043" s="0" t="str">
        <f aca="false">TEXT(B1043,"ddd")</f>
        <v>Sat</v>
      </c>
      <c r="E1043" s="3" t="s">
        <v>40</v>
      </c>
      <c r="F1043" s="3" t="s">
        <v>20</v>
      </c>
      <c r="G1043" s="3" t="s">
        <v>15</v>
      </c>
      <c r="H1043" s="3" t="s">
        <v>22</v>
      </c>
      <c r="I1043" s="4" t="n">
        <v>527</v>
      </c>
      <c r="J1043" s="4" t="n">
        <v>98</v>
      </c>
      <c r="K1043" s="4" t="n">
        <v>0</v>
      </c>
      <c r="L1043" s="4" t="n">
        <f aca="false">IF(O1043="Delivered",I1043-J1043+K1043,0)</f>
        <v>429</v>
      </c>
      <c r="M1043" s="0" t="n">
        <v>48</v>
      </c>
      <c r="N1043" s="0" t="n">
        <v>3.8</v>
      </c>
      <c r="O1043" s="3" t="s">
        <v>17</v>
      </c>
    </row>
    <row r="1044" customFormat="false" ht="15" hidden="false" customHeight="false" outlineLevel="0" collapsed="false">
      <c r="A1044" s="0" t="s">
        <v>718</v>
      </c>
      <c r="B1044" s="2" t="n">
        <v>45927</v>
      </c>
      <c r="C1044" s="0" t="str">
        <f aca="false">TEXT(B1044,"mmm")</f>
        <v>Sep</v>
      </c>
      <c r="D1044" s="0" t="str">
        <f aca="false">TEXT(B1044,"ddd")</f>
        <v>Sat</v>
      </c>
      <c r="E1044" s="3" t="s">
        <v>40</v>
      </c>
      <c r="F1044" s="3" t="s">
        <v>14</v>
      </c>
      <c r="G1044" s="3" t="s">
        <v>21</v>
      </c>
      <c r="H1044" s="3" t="s">
        <v>22</v>
      </c>
      <c r="I1044" s="4" t="n">
        <v>186</v>
      </c>
      <c r="J1044" s="4" t="n">
        <v>0</v>
      </c>
      <c r="K1044" s="4" t="n">
        <v>40</v>
      </c>
      <c r="L1044" s="4" t="n">
        <f aca="false">IF(O1044="Delivered",I1044-J1044+K1044,0)</f>
        <v>226</v>
      </c>
      <c r="M1044" s="0" t="n">
        <v>23</v>
      </c>
      <c r="O1044" s="3" t="s">
        <v>17</v>
      </c>
    </row>
    <row r="1045" customFormat="false" ht="15" hidden="false" customHeight="false" outlineLevel="0" collapsed="false">
      <c r="A1045" s="0" t="s">
        <v>797</v>
      </c>
      <c r="B1045" s="2" t="n">
        <v>45927</v>
      </c>
      <c r="C1045" s="0" t="str">
        <f aca="false">TEXT(B1045,"mmm")</f>
        <v>Sep</v>
      </c>
      <c r="D1045" s="0" t="str">
        <f aca="false">TEXT(B1045,"ddd")</f>
        <v>Sat</v>
      </c>
      <c r="E1045" s="3" t="s">
        <v>40</v>
      </c>
      <c r="F1045" s="3" t="s">
        <v>25</v>
      </c>
      <c r="G1045" s="3" t="s">
        <v>15</v>
      </c>
      <c r="H1045" s="3" t="s">
        <v>16</v>
      </c>
      <c r="I1045" s="4" t="n">
        <v>468</v>
      </c>
      <c r="J1045" s="4" t="n">
        <v>100</v>
      </c>
      <c r="K1045" s="4" t="n">
        <v>30</v>
      </c>
      <c r="L1045" s="4" t="n">
        <f aca="false">IF(O1045="Delivered",I1045-J1045+K1045,0)</f>
        <v>398</v>
      </c>
      <c r="M1045" s="0" t="n">
        <v>36</v>
      </c>
      <c r="N1045" s="0" t="n">
        <v>3.5</v>
      </c>
      <c r="O1045" s="3" t="s">
        <v>17</v>
      </c>
    </row>
    <row r="1046" customFormat="false" ht="15" hidden="false" customHeight="false" outlineLevel="0" collapsed="false">
      <c r="A1046" s="0" t="s">
        <v>1214</v>
      </c>
      <c r="B1046" s="2" t="n">
        <v>45927</v>
      </c>
      <c r="C1046" s="0" t="str">
        <f aca="false">TEXT(B1046,"mmm")</f>
        <v>Sep</v>
      </c>
      <c r="D1046" s="0" t="str">
        <f aca="false">TEXT(B1046,"ddd")</f>
        <v>Sat</v>
      </c>
      <c r="E1046" s="3" t="s">
        <v>40</v>
      </c>
      <c r="F1046" s="3" t="s">
        <v>14</v>
      </c>
      <c r="G1046" s="3" t="s">
        <v>15</v>
      </c>
      <c r="H1046" s="3" t="s">
        <v>22</v>
      </c>
      <c r="I1046" s="4" t="n">
        <v>295</v>
      </c>
      <c r="J1046" s="4" t="n">
        <v>0</v>
      </c>
      <c r="K1046" s="4" t="n">
        <v>40</v>
      </c>
      <c r="L1046" s="4" t="n">
        <f aca="false">IF(O1046="Delivered",I1046-J1046+K1046,0)</f>
        <v>335</v>
      </c>
      <c r="M1046" s="0" t="n">
        <v>34</v>
      </c>
      <c r="N1046" s="0" t="n">
        <v>5</v>
      </c>
      <c r="O1046" s="3" t="s">
        <v>17</v>
      </c>
    </row>
    <row r="1047" customFormat="false" ht="15" hidden="false" customHeight="false" outlineLevel="0" collapsed="false">
      <c r="A1047" s="0" t="s">
        <v>101</v>
      </c>
      <c r="B1047" s="2" t="n">
        <v>45928</v>
      </c>
      <c r="C1047" s="0" t="str">
        <f aca="false">TEXT(B1047,"mmm")</f>
        <v>Sep</v>
      </c>
      <c r="D1047" s="0" t="str">
        <f aca="false">TEXT(B1047,"ddd")</f>
        <v>Sun</v>
      </c>
      <c r="E1047" s="3" t="s">
        <v>24</v>
      </c>
      <c r="F1047" s="3" t="s">
        <v>20</v>
      </c>
      <c r="G1047" s="3" t="s">
        <v>15</v>
      </c>
      <c r="H1047" s="3" t="s">
        <v>22</v>
      </c>
      <c r="I1047" s="4" t="n">
        <v>734</v>
      </c>
      <c r="J1047" s="4" t="n">
        <v>159</v>
      </c>
      <c r="K1047" s="4" t="n">
        <v>0</v>
      </c>
      <c r="L1047" s="4" t="n">
        <f aca="false">IF(O1047="Delivered",I1047-J1047+K1047,0)</f>
        <v>575</v>
      </c>
      <c r="M1047" s="0" t="n">
        <v>40</v>
      </c>
      <c r="N1047" s="0" t="n">
        <v>4.4</v>
      </c>
      <c r="O1047" s="3" t="s">
        <v>17</v>
      </c>
    </row>
    <row r="1048" customFormat="false" ht="15" hidden="false" customHeight="false" outlineLevel="0" collapsed="false">
      <c r="A1048" s="0" t="s">
        <v>640</v>
      </c>
      <c r="B1048" s="2" t="n">
        <v>45928</v>
      </c>
      <c r="C1048" s="0" t="str">
        <f aca="false">TEXT(B1048,"mmm")</f>
        <v>Sep</v>
      </c>
      <c r="D1048" s="0" t="str">
        <f aca="false">TEXT(B1048,"ddd")</f>
        <v>Sun</v>
      </c>
      <c r="E1048" s="3" t="s">
        <v>27</v>
      </c>
      <c r="F1048" s="3" t="s">
        <v>31</v>
      </c>
      <c r="G1048" s="3" t="s">
        <v>21</v>
      </c>
      <c r="H1048" s="3" t="s">
        <v>54</v>
      </c>
      <c r="I1048" s="4" t="n">
        <v>461</v>
      </c>
      <c r="J1048" s="4" t="n">
        <v>0</v>
      </c>
      <c r="K1048" s="4" t="n">
        <v>20</v>
      </c>
      <c r="L1048" s="4" t="n">
        <f aca="false">IF(O1048="Delivered",I1048-J1048+K1048,0)</f>
        <v>481</v>
      </c>
      <c r="M1048" s="0" t="n">
        <v>37</v>
      </c>
      <c r="N1048" s="0" t="n">
        <v>4.2</v>
      </c>
      <c r="O1048" s="3" t="s">
        <v>17</v>
      </c>
    </row>
    <row r="1049" customFormat="false" ht="15" hidden="false" customHeight="false" outlineLevel="0" collapsed="false">
      <c r="A1049" s="0" t="s">
        <v>1562</v>
      </c>
      <c r="B1049" s="2" t="n">
        <v>45928</v>
      </c>
      <c r="C1049" s="0" t="str">
        <f aca="false">TEXT(B1049,"mmm")</f>
        <v>Sep</v>
      </c>
      <c r="D1049" s="0" t="str">
        <f aca="false">TEXT(B1049,"ddd")</f>
        <v>Sun</v>
      </c>
      <c r="E1049" s="3" t="s">
        <v>40</v>
      </c>
      <c r="F1049" s="3" t="s">
        <v>25</v>
      </c>
      <c r="G1049" s="3" t="s">
        <v>15</v>
      </c>
      <c r="H1049" s="3" t="s">
        <v>16</v>
      </c>
      <c r="I1049" s="4" t="n">
        <v>287</v>
      </c>
      <c r="J1049" s="4" t="n">
        <v>0</v>
      </c>
      <c r="K1049" s="4" t="n">
        <v>20</v>
      </c>
      <c r="L1049" s="4" t="n">
        <f aca="false">IF(O1049="Delivered",I1049-J1049+K1049,0)</f>
        <v>307</v>
      </c>
      <c r="M1049" s="0" t="n">
        <v>42</v>
      </c>
      <c r="N1049" s="0" t="n">
        <v>4.6</v>
      </c>
      <c r="O1049" s="3" t="s">
        <v>17</v>
      </c>
    </row>
    <row r="1050" customFormat="false" ht="15" hidden="false" customHeight="false" outlineLevel="0" collapsed="false">
      <c r="A1050" s="0" t="s">
        <v>1600</v>
      </c>
      <c r="B1050" s="2" t="n">
        <v>45928</v>
      </c>
      <c r="C1050" s="0" t="str">
        <f aca="false">TEXT(B1050,"mmm")</f>
        <v>Sep</v>
      </c>
      <c r="D1050" s="0" t="str">
        <f aca="false">TEXT(B1050,"ddd")</f>
        <v>Sun</v>
      </c>
      <c r="E1050" s="3" t="s">
        <v>19</v>
      </c>
      <c r="F1050" s="3" t="s">
        <v>25</v>
      </c>
      <c r="G1050" s="3" t="s">
        <v>21</v>
      </c>
      <c r="H1050" s="3" t="s">
        <v>22</v>
      </c>
      <c r="I1050" s="4" t="n">
        <v>571</v>
      </c>
      <c r="J1050" s="4" t="n">
        <v>81</v>
      </c>
      <c r="K1050" s="4" t="n">
        <v>0</v>
      </c>
      <c r="L1050" s="4" t="n">
        <f aca="false">IF(O1050="Delivered",I1050-J1050+K1050,0)</f>
        <v>490</v>
      </c>
      <c r="M1050" s="0" t="n">
        <v>28</v>
      </c>
      <c r="N1050" s="0" t="n">
        <v>5</v>
      </c>
      <c r="O1050" s="3" t="s">
        <v>17</v>
      </c>
    </row>
    <row r="1051" customFormat="false" ht="15" hidden="false" customHeight="false" outlineLevel="0" collapsed="false">
      <c r="A1051" s="0" t="s">
        <v>549</v>
      </c>
      <c r="B1051" s="2" t="n">
        <v>45929</v>
      </c>
      <c r="C1051" s="0" t="str">
        <f aca="false">TEXT(B1051,"mmm")</f>
        <v>Sep</v>
      </c>
      <c r="D1051" s="0" t="str">
        <f aca="false">TEXT(B1051,"ddd")</f>
        <v>Mon</v>
      </c>
      <c r="E1051" s="3" t="s">
        <v>30</v>
      </c>
      <c r="F1051" s="3" t="s">
        <v>31</v>
      </c>
      <c r="G1051" s="3" t="s">
        <v>15</v>
      </c>
      <c r="H1051" s="3" t="s">
        <v>16</v>
      </c>
      <c r="I1051" s="4" t="n">
        <v>464</v>
      </c>
      <c r="J1051" s="4" t="n">
        <v>61</v>
      </c>
      <c r="K1051" s="4" t="n">
        <v>45</v>
      </c>
      <c r="L1051" s="4" t="n">
        <f aca="false">IF(O1051="Delivered",I1051-J1051+K1051,0)</f>
        <v>448</v>
      </c>
      <c r="M1051" s="0" t="n">
        <v>31</v>
      </c>
      <c r="N1051" s="0" t="n">
        <v>4.3</v>
      </c>
      <c r="O1051" s="3" t="s">
        <v>17</v>
      </c>
    </row>
    <row r="1052" customFormat="false" ht="15" hidden="false" customHeight="false" outlineLevel="0" collapsed="false">
      <c r="A1052" s="0" t="s">
        <v>934</v>
      </c>
      <c r="B1052" s="2" t="n">
        <v>45929</v>
      </c>
      <c r="C1052" s="0" t="str">
        <f aca="false">TEXT(B1052,"mmm")</f>
        <v>Sep</v>
      </c>
      <c r="D1052" s="0" t="str">
        <f aca="false">TEXT(B1052,"ddd")</f>
        <v>Mon</v>
      </c>
      <c r="E1052" s="3" t="s">
        <v>13</v>
      </c>
      <c r="F1052" s="3" t="s">
        <v>25</v>
      </c>
      <c r="G1052" s="3" t="s">
        <v>15</v>
      </c>
      <c r="H1052" s="3" t="s">
        <v>22</v>
      </c>
      <c r="I1052" s="4" t="n">
        <v>298</v>
      </c>
      <c r="J1052" s="4" t="n">
        <v>61</v>
      </c>
      <c r="K1052" s="4" t="n">
        <v>20</v>
      </c>
      <c r="L1052" s="4" t="n">
        <f aca="false">IF(O1052="Delivered",I1052-J1052+K1052,0)</f>
        <v>257</v>
      </c>
      <c r="M1052" s="0" t="n">
        <v>21</v>
      </c>
      <c r="N1052" s="0" t="n">
        <v>4.9</v>
      </c>
      <c r="O1052" s="3" t="s">
        <v>17</v>
      </c>
    </row>
    <row r="1053" customFormat="false" ht="15" hidden="false" customHeight="false" outlineLevel="0" collapsed="false">
      <c r="A1053" s="0" t="s">
        <v>1589</v>
      </c>
      <c r="B1053" s="2" t="n">
        <v>45929</v>
      </c>
      <c r="C1053" s="0" t="str">
        <f aca="false">TEXT(B1053,"mmm")</f>
        <v>Sep</v>
      </c>
      <c r="D1053" s="0" t="str">
        <f aca="false">TEXT(B1053,"ddd")</f>
        <v>Mon</v>
      </c>
      <c r="E1053" s="3" t="s">
        <v>27</v>
      </c>
      <c r="F1053" s="3" t="s">
        <v>31</v>
      </c>
      <c r="G1053" s="3" t="s">
        <v>15</v>
      </c>
      <c r="H1053" s="3" t="s">
        <v>22</v>
      </c>
      <c r="I1053" s="4" t="n">
        <v>310</v>
      </c>
      <c r="J1053" s="4" t="n">
        <v>41</v>
      </c>
      <c r="K1053" s="4" t="n">
        <v>20</v>
      </c>
      <c r="L1053" s="4" t="n">
        <f aca="false">IF(O1053="Delivered",I1053-J1053+K1053,0)</f>
        <v>289</v>
      </c>
      <c r="M1053" s="0" t="n">
        <v>55</v>
      </c>
      <c r="N1053" s="0" t="n">
        <v>3.8</v>
      </c>
      <c r="O1053" s="3" t="s">
        <v>17</v>
      </c>
    </row>
    <row r="1054" customFormat="false" ht="15" hidden="false" customHeight="false" outlineLevel="0" collapsed="false">
      <c r="A1054" s="0" t="s">
        <v>542</v>
      </c>
      <c r="B1054" s="2" t="n">
        <v>45930</v>
      </c>
      <c r="C1054" s="0" t="str">
        <f aca="false">TEXT(B1054,"mmm")</f>
        <v>Sep</v>
      </c>
      <c r="D1054" s="0" t="str">
        <f aca="false">TEXT(B1054,"ddd")</f>
        <v>Tue</v>
      </c>
      <c r="E1054" s="3" t="s">
        <v>51</v>
      </c>
      <c r="F1054" s="3" t="s">
        <v>25</v>
      </c>
      <c r="G1054" s="3" t="s">
        <v>21</v>
      </c>
      <c r="H1054" s="3" t="s">
        <v>22</v>
      </c>
      <c r="I1054" s="4" t="n">
        <v>444</v>
      </c>
      <c r="J1054" s="4" t="n">
        <v>0</v>
      </c>
      <c r="K1054" s="4" t="n">
        <v>45</v>
      </c>
      <c r="L1054" s="4" t="n">
        <f aca="false">IF(O1054="Delivered",I1054-J1054+K1054,0)</f>
        <v>489</v>
      </c>
      <c r="M1054" s="0" t="n">
        <v>35</v>
      </c>
      <c r="N1054" s="0" t="n">
        <v>4.3</v>
      </c>
      <c r="O1054" s="3" t="s">
        <v>17</v>
      </c>
    </row>
    <row r="1055" customFormat="false" ht="15" hidden="false" customHeight="false" outlineLevel="0" collapsed="false">
      <c r="A1055" s="0" t="s">
        <v>893</v>
      </c>
      <c r="B1055" s="2" t="n">
        <v>45930</v>
      </c>
      <c r="C1055" s="0" t="str">
        <f aca="false">TEXT(B1055,"mmm")</f>
        <v>Sep</v>
      </c>
      <c r="D1055" s="0" t="str">
        <f aca="false">TEXT(B1055,"ddd")</f>
        <v>Tue</v>
      </c>
      <c r="E1055" s="3" t="s">
        <v>13</v>
      </c>
      <c r="F1055" s="3" t="s">
        <v>78</v>
      </c>
      <c r="G1055" s="3" t="s">
        <v>21</v>
      </c>
      <c r="H1055" s="3" t="s">
        <v>22</v>
      </c>
      <c r="I1055" s="4" t="n">
        <v>296</v>
      </c>
      <c r="J1055" s="4" t="n">
        <v>0</v>
      </c>
      <c r="K1055" s="4" t="n">
        <v>40</v>
      </c>
      <c r="L1055" s="4" t="n">
        <f aca="false">IF(O1055="Delivered",I1055-J1055+K1055,0)</f>
        <v>336</v>
      </c>
      <c r="M1055" s="0" t="n">
        <v>36</v>
      </c>
      <c r="N1055" s="0" t="n">
        <v>3.4</v>
      </c>
      <c r="O1055" s="3" t="s">
        <v>17</v>
      </c>
    </row>
    <row r="1056" customFormat="false" ht="15" hidden="false" customHeight="false" outlineLevel="0" collapsed="false">
      <c r="A1056" s="0" t="s">
        <v>1092</v>
      </c>
      <c r="B1056" s="2" t="n">
        <v>45930</v>
      </c>
      <c r="C1056" s="0" t="str">
        <f aca="false">TEXT(B1056,"mmm")</f>
        <v>Sep</v>
      </c>
      <c r="D1056" s="0" t="str">
        <f aca="false">TEXT(B1056,"ddd")</f>
        <v>Tue</v>
      </c>
      <c r="E1056" s="3" t="s">
        <v>40</v>
      </c>
      <c r="F1056" s="3" t="s">
        <v>25</v>
      </c>
      <c r="G1056" s="3" t="s">
        <v>21</v>
      </c>
      <c r="H1056" s="3" t="s">
        <v>36</v>
      </c>
      <c r="I1056" s="4" t="n">
        <v>519</v>
      </c>
      <c r="J1056" s="4" t="n">
        <v>0</v>
      </c>
      <c r="K1056" s="4" t="n">
        <v>0</v>
      </c>
      <c r="L1056" s="4" t="n">
        <f aca="false">IF(O1056="Delivered",I1056-J1056+K1056,0)</f>
        <v>519</v>
      </c>
      <c r="M1056" s="0" t="n">
        <v>33</v>
      </c>
      <c r="N1056" s="0" t="n">
        <v>5</v>
      </c>
      <c r="O1056" s="3" t="s">
        <v>17</v>
      </c>
    </row>
    <row r="1057" customFormat="false" ht="15" hidden="false" customHeight="false" outlineLevel="0" collapsed="false">
      <c r="A1057" s="0" t="s">
        <v>1367</v>
      </c>
      <c r="B1057" s="2" t="n">
        <v>45930</v>
      </c>
      <c r="C1057" s="0" t="str">
        <f aca="false">TEXT(B1057,"mmm")</f>
        <v>Sep</v>
      </c>
      <c r="D1057" s="0" t="str">
        <f aca="false">TEXT(B1057,"ddd")</f>
        <v>Tue</v>
      </c>
      <c r="E1057" s="3" t="s">
        <v>30</v>
      </c>
      <c r="F1057" s="3" t="s">
        <v>20</v>
      </c>
      <c r="G1057" s="3" t="s">
        <v>21</v>
      </c>
      <c r="H1057" s="3" t="s">
        <v>54</v>
      </c>
      <c r="I1057" s="4" t="n">
        <v>546</v>
      </c>
      <c r="J1057" s="4" t="n">
        <v>0</v>
      </c>
      <c r="K1057" s="4" t="n">
        <v>0</v>
      </c>
      <c r="L1057" s="4" t="n">
        <f aca="false">IF(O1057="Delivered",I1057-J1057+K1057,0)</f>
        <v>546</v>
      </c>
      <c r="M1057" s="0" t="n">
        <v>33</v>
      </c>
      <c r="N1057" s="0" t="n">
        <v>4.2</v>
      </c>
      <c r="O1057" s="3" t="s">
        <v>17</v>
      </c>
    </row>
    <row r="1058" customFormat="false" ht="15" hidden="false" customHeight="false" outlineLevel="0" collapsed="false">
      <c r="A1058" s="0" t="s">
        <v>759</v>
      </c>
      <c r="B1058" s="2" t="n">
        <v>45931</v>
      </c>
      <c r="C1058" s="0" t="str">
        <f aca="false">TEXT(B1058,"mmm")</f>
        <v>Oct</v>
      </c>
      <c r="D1058" s="0" t="str">
        <f aca="false">TEXT(B1058,"ddd")</f>
        <v>Wed</v>
      </c>
      <c r="E1058" s="3" t="s">
        <v>30</v>
      </c>
      <c r="F1058" s="3" t="s">
        <v>25</v>
      </c>
      <c r="G1058" s="3" t="s">
        <v>15</v>
      </c>
      <c r="H1058" s="3" t="s">
        <v>36</v>
      </c>
      <c r="I1058" s="4" t="n">
        <v>537</v>
      </c>
      <c r="J1058" s="4" t="n">
        <v>0</v>
      </c>
      <c r="K1058" s="4" t="n">
        <v>0</v>
      </c>
      <c r="L1058" s="4" t="n">
        <f aca="false">IF(O1058="Delivered",I1058-J1058+K1058,0)</f>
        <v>537</v>
      </c>
      <c r="M1058" s="0" t="n">
        <v>33</v>
      </c>
      <c r="N1058" s="0" t="n">
        <v>4.1</v>
      </c>
      <c r="O1058" s="3" t="s">
        <v>17</v>
      </c>
    </row>
    <row r="1059" customFormat="false" ht="15" hidden="false" customHeight="false" outlineLevel="0" collapsed="false">
      <c r="A1059" s="0" t="s">
        <v>158</v>
      </c>
      <c r="B1059" s="2" t="n">
        <v>45932</v>
      </c>
      <c r="C1059" s="0" t="str">
        <f aca="false">TEXT(B1059,"mmm")</f>
        <v>Oct</v>
      </c>
      <c r="D1059" s="0" t="str">
        <f aca="false">TEXT(B1059,"ddd")</f>
        <v>Thu</v>
      </c>
      <c r="E1059" s="3" t="s">
        <v>24</v>
      </c>
      <c r="F1059" s="3" t="s">
        <v>28</v>
      </c>
      <c r="G1059" s="3" t="s">
        <v>15</v>
      </c>
      <c r="H1059" s="3" t="s">
        <v>54</v>
      </c>
      <c r="I1059" s="4" t="n">
        <v>370</v>
      </c>
      <c r="J1059" s="4" t="n">
        <v>46</v>
      </c>
      <c r="K1059" s="4" t="n">
        <v>20</v>
      </c>
      <c r="L1059" s="4" t="n">
        <f aca="false">IF(O1059="Delivered",I1059-J1059+K1059,0)</f>
        <v>344</v>
      </c>
      <c r="M1059" s="0" t="n">
        <v>41</v>
      </c>
      <c r="N1059" s="0" t="n">
        <v>3.8</v>
      </c>
      <c r="O1059" s="3" t="s">
        <v>17</v>
      </c>
    </row>
    <row r="1060" customFormat="false" ht="15" hidden="false" customHeight="false" outlineLevel="0" collapsed="false">
      <c r="A1060" s="0" t="s">
        <v>284</v>
      </c>
      <c r="B1060" s="2" t="n">
        <v>45932</v>
      </c>
      <c r="C1060" s="0" t="str">
        <f aca="false">TEXT(B1060,"mmm")</f>
        <v>Oct</v>
      </c>
      <c r="D1060" s="0" t="str">
        <f aca="false">TEXT(B1060,"ddd")</f>
        <v>Thu</v>
      </c>
      <c r="E1060" s="3" t="s">
        <v>24</v>
      </c>
      <c r="F1060" s="3" t="s">
        <v>31</v>
      </c>
      <c r="G1060" s="3" t="s">
        <v>21</v>
      </c>
      <c r="H1060" s="3" t="s">
        <v>22</v>
      </c>
      <c r="I1060" s="4" t="n">
        <v>596</v>
      </c>
      <c r="J1060" s="4" t="n">
        <v>138</v>
      </c>
      <c r="K1060" s="4" t="n">
        <v>0</v>
      </c>
      <c r="L1060" s="4" t="n">
        <f aca="false">IF(O1060="Delivered",I1060-J1060+K1060,0)</f>
        <v>458</v>
      </c>
      <c r="M1060" s="0" t="n">
        <v>36</v>
      </c>
      <c r="N1060" s="0" t="n">
        <v>4.2</v>
      </c>
      <c r="O1060" s="3" t="s">
        <v>17</v>
      </c>
    </row>
    <row r="1061" customFormat="false" ht="15" hidden="false" customHeight="false" outlineLevel="0" collapsed="false">
      <c r="A1061" s="0" t="s">
        <v>477</v>
      </c>
      <c r="B1061" s="2" t="n">
        <v>45932</v>
      </c>
      <c r="C1061" s="0" t="str">
        <f aca="false">TEXT(B1061,"mmm")</f>
        <v>Oct</v>
      </c>
      <c r="D1061" s="0" t="str">
        <f aca="false">TEXT(B1061,"ddd")</f>
        <v>Thu</v>
      </c>
      <c r="E1061" s="3" t="s">
        <v>40</v>
      </c>
      <c r="F1061" s="3" t="s">
        <v>20</v>
      </c>
      <c r="G1061" s="3" t="s">
        <v>15</v>
      </c>
      <c r="H1061" s="3" t="s">
        <v>22</v>
      </c>
      <c r="I1061" s="4" t="n">
        <v>830</v>
      </c>
      <c r="J1061" s="4" t="n">
        <v>0</v>
      </c>
      <c r="K1061" s="4" t="n">
        <v>0</v>
      </c>
      <c r="L1061" s="4" t="n">
        <f aca="false">IF(O1061="Delivered",I1061-J1061+K1061,0)</f>
        <v>830</v>
      </c>
      <c r="M1061" s="0" t="n">
        <v>40</v>
      </c>
      <c r="N1061" s="0" t="n">
        <v>4</v>
      </c>
      <c r="O1061" s="3" t="s">
        <v>17</v>
      </c>
    </row>
    <row r="1062" customFormat="false" ht="15" hidden="false" customHeight="false" outlineLevel="0" collapsed="false">
      <c r="A1062" s="0" t="s">
        <v>789</v>
      </c>
      <c r="B1062" s="2" t="n">
        <v>45932</v>
      </c>
      <c r="C1062" s="0" t="str">
        <f aca="false">TEXT(B1062,"mmm")</f>
        <v>Oct</v>
      </c>
      <c r="D1062" s="0" t="str">
        <f aca="false">TEXT(B1062,"ddd")</f>
        <v>Thu</v>
      </c>
      <c r="E1062" s="3" t="s">
        <v>24</v>
      </c>
      <c r="F1062" s="3" t="s">
        <v>56</v>
      </c>
      <c r="G1062" s="3" t="s">
        <v>21</v>
      </c>
      <c r="H1062" s="3" t="s">
        <v>36</v>
      </c>
      <c r="I1062" s="4" t="n">
        <v>455</v>
      </c>
      <c r="J1062" s="4" t="n">
        <v>0</v>
      </c>
      <c r="K1062" s="4" t="n">
        <v>30</v>
      </c>
      <c r="L1062" s="4" t="n">
        <f aca="false">IF(O1062="Delivered",I1062-J1062+K1062,0)</f>
        <v>485</v>
      </c>
      <c r="M1062" s="0" t="n">
        <v>43</v>
      </c>
      <c r="N1062" s="0" t="n">
        <v>2.9</v>
      </c>
      <c r="O1062" s="3" t="s">
        <v>17</v>
      </c>
    </row>
    <row r="1063" customFormat="false" ht="15" hidden="false" customHeight="false" outlineLevel="0" collapsed="false">
      <c r="A1063" s="0" t="s">
        <v>173</v>
      </c>
      <c r="B1063" s="2" t="n">
        <v>45933</v>
      </c>
      <c r="C1063" s="0" t="str">
        <f aca="false">TEXT(B1063,"mmm")</f>
        <v>Oct</v>
      </c>
      <c r="D1063" s="0" t="str">
        <f aca="false">TEXT(B1063,"ddd")</f>
        <v>Fri</v>
      </c>
      <c r="E1063" s="3" t="s">
        <v>27</v>
      </c>
      <c r="F1063" s="3" t="s">
        <v>28</v>
      </c>
      <c r="G1063" s="3" t="s">
        <v>21</v>
      </c>
      <c r="H1063" s="3" t="s">
        <v>22</v>
      </c>
      <c r="I1063" s="4" t="n">
        <v>364</v>
      </c>
      <c r="J1063" s="4" t="n">
        <v>0</v>
      </c>
      <c r="K1063" s="4" t="n">
        <v>45</v>
      </c>
      <c r="L1063" s="4" t="n">
        <f aca="false">IF(O1063="Delivered",I1063-J1063+K1063,0)</f>
        <v>409</v>
      </c>
      <c r="M1063" s="0" t="n">
        <v>28</v>
      </c>
      <c r="N1063" s="0" t="n">
        <v>5</v>
      </c>
      <c r="O1063" s="3" t="s">
        <v>17</v>
      </c>
    </row>
    <row r="1064" customFormat="false" ht="15" hidden="false" customHeight="false" outlineLevel="0" collapsed="false">
      <c r="A1064" s="0" t="s">
        <v>725</v>
      </c>
      <c r="B1064" s="2" t="n">
        <v>45933</v>
      </c>
      <c r="C1064" s="0" t="str">
        <f aca="false">TEXT(B1064,"mmm")</f>
        <v>Oct</v>
      </c>
      <c r="D1064" s="0" t="str">
        <f aca="false">TEXT(B1064,"ddd")</f>
        <v>Fri</v>
      </c>
      <c r="E1064" s="3" t="s">
        <v>51</v>
      </c>
      <c r="F1064" s="3" t="s">
        <v>25</v>
      </c>
      <c r="G1064" s="3" t="s">
        <v>21</v>
      </c>
      <c r="H1064" s="3" t="s">
        <v>22</v>
      </c>
      <c r="I1064" s="4" t="n">
        <v>621</v>
      </c>
      <c r="J1064" s="4" t="n">
        <v>0</v>
      </c>
      <c r="K1064" s="4" t="n">
        <v>0</v>
      </c>
      <c r="L1064" s="4" t="n">
        <f aca="false">IF(O1064="Delivered",I1064-J1064+K1064,0)</f>
        <v>621</v>
      </c>
      <c r="M1064" s="0" t="n">
        <v>30</v>
      </c>
      <c r="N1064" s="0" t="n">
        <v>4.9</v>
      </c>
      <c r="O1064" s="3" t="s">
        <v>17</v>
      </c>
    </row>
    <row r="1065" customFormat="false" ht="15" hidden="false" customHeight="false" outlineLevel="0" collapsed="false">
      <c r="A1065" s="0" t="s">
        <v>1016</v>
      </c>
      <c r="B1065" s="2" t="n">
        <v>45933</v>
      </c>
      <c r="C1065" s="0" t="str">
        <f aca="false">TEXT(B1065,"mmm")</f>
        <v>Oct</v>
      </c>
      <c r="D1065" s="0" t="str">
        <f aca="false">TEXT(B1065,"ddd")</f>
        <v>Fri</v>
      </c>
      <c r="E1065" s="3" t="s">
        <v>24</v>
      </c>
      <c r="F1065" s="3" t="s">
        <v>78</v>
      </c>
      <c r="G1065" s="3" t="s">
        <v>21</v>
      </c>
      <c r="H1065" s="3" t="s">
        <v>22</v>
      </c>
      <c r="I1065" s="4" t="n">
        <v>404</v>
      </c>
      <c r="J1065" s="4" t="n">
        <v>0</v>
      </c>
      <c r="K1065" s="4" t="n">
        <v>45</v>
      </c>
      <c r="L1065" s="4" t="n">
        <f aca="false">IF(O1065="Delivered",I1065-J1065+K1065,0)</f>
        <v>0</v>
      </c>
      <c r="O1065" s="3" t="s">
        <v>68</v>
      </c>
    </row>
    <row r="1066" customFormat="false" ht="15" hidden="false" customHeight="false" outlineLevel="0" collapsed="false">
      <c r="A1066" s="0" t="s">
        <v>1183</v>
      </c>
      <c r="B1066" s="2" t="n">
        <v>45933</v>
      </c>
      <c r="C1066" s="0" t="str">
        <f aca="false">TEXT(B1066,"mmm")</f>
        <v>Oct</v>
      </c>
      <c r="D1066" s="0" t="str">
        <f aca="false">TEXT(B1066,"ddd")</f>
        <v>Fri</v>
      </c>
      <c r="E1066" s="3" t="s">
        <v>13</v>
      </c>
      <c r="F1066" s="3" t="s">
        <v>25</v>
      </c>
      <c r="G1066" s="3" t="s">
        <v>21</v>
      </c>
      <c r="H1066" s="3" t="s">
        <v>22</v>
      </c>
      <c r="I1066" s="4" t="n">
        <v>382</v>
      </c>
      <c r="J1066" s="4" t="n">
        <v>0</v>
      </c>
      <c r="K1066" s="4" t="n">
        <v>40</v>
      </c>
      <c r="L1066" s="4" t="n">
        <f aca="false">IF(O1066="Delivered",I1066-J1066+K1066,0)</f>
        <v>422</v>
      </c>
      <c r="M1066" s="0" t="n">
        <v>25</v>
      </c>
      <c r="N1066" s="0" t="n">
        <v>4.8</v>
      </c>
      <c r="O1066" s="3" t="s">
        <v>17</v>
      </c>
    </row>
    <row r="1067" customFormat="false" ht="15" hidden="false" customHeight="false" outlineLevel="0" collapsed="false">
      <c r="A1067" s="0" t="s">
        <v>138</v>
      </c>
      <c r="B1067" s="2" t="n">
        <v>45934</v>
      </c>
      <c r="C1067" s="0" t="str">
        <f aca="false">TEXT(B1067,"mmm")</f>
        <v>Oct</v>
      </c>
      <c r="D1067" s="0" t="str">
        <f aca="false">TEXT(B1067,"ddd")</f>
        <v>Sat</v>
      </c>
      <c r="E1067" s="3" t="s">
        <v>24</v>
      </c>
      <c r="F1067" s="3" t="s">
        <v>25</v>
      </c>
      <c r="G1067" s="3" t="s">
        <v>21</v>
      </c>
      <c r="H1067" s="3" t="s">
        <v>16</v>
      </c>
      <c r="I1067" s="4" t="n">
        <v>545</v>
      </c>
      <c r="J1067" s="4" t="n">
        <v>74</v>
      </c>
      <c r="K1067" s="4" t="n">
        <v>0</v>
      </c>
      <c r="L1067" s="4" t="n">
        <f aca="false">IF(O1067="Delivered",I1067-J1067+K1067,0)</f>
        <v>471</v>
      </c>
      <c r="M1067" s="0" t="n">
        <v>26</v>
      </c>
      <c r="N1067" s="0" t="n">
        <v>4.4</v>
      </c>
      <c r="O1067" s="3" t="s">
        <v>17</v>
      </c>
    </row>
    <row r="1068" customFormat="false" ht="15" hidden="false" customHeight="false" outlineLevel="0" collapsed="false">
      <c r="A1068" s="0" t="s">
        <v>1467</v>
      </c>
      <c r="B1068" s="2" t="n">
        <v>45934</v>
      </c>
      <c r="C1068" s="0" t="str">
        <f aca="false">TEXT(B1068,"mmm")</f>
        <v>Oct</v>
      </c>
      <c r="D1068" s="0" t="str">
        <f aca="false">TEXT(B1068,"ddd")</f>
        <v>Sat</v>
      </c>
      <c r="E1068" s="3" t="s">
        <v>13</v>
      </c>
      <c r="F1068" s="3" t="s">
        <v>20</v>
      </c>
      <c r="G1068" s="3" t="s">
        <v>21</v>
      </c>
      <c r="H1068" s="3" t="s">
        <v>54</v>
      </c>
      <c r="I1068" s="4" t="n">
        <v>569</v>
      </c>
      <c r="J1068" s="4" t="n">
        <v>0</v>
      </c>
      <c r="K1068" s="4" t="n">
        <v>0</v>
      </c>
      <c r="L1068" s="4" t="n">
        <f aca="false">IF(O1068="Delivered",I1068-J1068+K1068,0)</f>
        <v>569</v>
      </c>
      <c r="M1068" s="0" t="n">
        <v>32</v>
      </c>
      <c r="N1068" s="0" t="n">
        <v>3.8</v>
      </c>
      <c r="O1068" s="3" t="s">
        <v>17</v>
      </c>
    </row>
    <row r="1069" customFormat="false" ht="15" hidden="false" customHeight="false" outlineLevel="0" collapsed="false">
      <c r="A1069" s="0" t="s">
        <v>1652</v>
      </c>
      <c r="B1069" s="2" t="n">
        <v>45934</v>
      </c>
      <c r="C1069" s="0" t="str">
        <f aca="false">TEXT(B1069,"mmm")</f>
        <v>Oct</v>
      </c>
      <c r="D1069" s="0" t="str">
        <f aca="false">TEXT(B1069,"ddd")</f>
        <v>Sat</v>
      </c>
      <c r="E1069" s="3" t="s">
        <v>27</v>
      </c>
      <c r="F1069" s="3" t="s">
        <v>78</v>
      </c>
      <c r="G1069" s="3" t="s">
        <v>21</v>
      </c>
      <c r="H1069" s="3" t="s">
        <v>36</v>
      </c>
      <c r="I1069" s="4" t="n">
        <v>401</v>
      </c>
      <c r="J1069" s="4" t="n">
        <v>0</v>
      </c>
      <c r="K1069" s="4" t="n">
        <v>45</v>
      </c>
      <c r="L1069" s="4" t="n">
        <f aca="false">IF(O1069="Delivered",I1069-J1069+K1069,0)</f>
        <v>446</v>
      </c>
      <c r="M1069" s="0" t="n">
        <v>47</v>
      </c>
      <c r="N1069" s="0" t="n">
        <v>3.9</v>
      </c>
      <c r="O1069" s="3" t="s">
        <v>17</v>
      </c>
    </row>
    <row r="1070" customFormat="false" ht="15" hidden="false" customHeight="false" outlineLevel="0" collapsed="false">
      <c r="A1070" s="0" t="s">
        <v>220</v>
      </c>
      <c r="B1070" s="2" t="n">
        <v>45935</v>
      </c>
      <c r="C1070" s="0" t="str">
        <f aca="false">TEXT(B1070,"mmm")</f>
        <v>Oct</v>
      </c>
      <c r="D1070" s="0" t="str">
        <f aca="false">TEXT(B1070,"ddd")</f>
        <v>Sun</v>
      </c>
      <c r="E1070" s="3" t="s">
        <v>24</v>
      </c>
      <c r="F1070" s="3" t="s">
        <v>49</v>
      </c>
      <c r="G1070" s="3" t="s">
        <v>21</v>
      </c>
      <c r="H1070" s="3" t="s">
        <v>22</v>
      </c>
      <c r="I1070" s="4" t="n">
        <v>464</v>
      </c>
      <c r="J1070" s="4" t="n">
        <v>0</v>
      </c>
      <c r="K1070" s="4" t="n">
        <v>40</v>
      </c>
      <c r="L1070" s="4" t="n">
        <f aca="false">IF(O1070="Delivered",I1070-J1070+K1070,0)</f>
        <v>504</v>
      </c>
      <c r="M1070" s="0" t="n">
        <v>40</v>
      </c>
      <c r="N1070" s="0" t="n">
        <v>3.2</v>
      </c>
      <c r="O1070" s="3" t="s">
        <v>17</v>
      </c>
    </row>
    <row r="1071" customFormat="false" ht="15" hidden="false" customHeight="false" outlineLevel="0" collapsed="false">
      <c r="A1071" s="0" t="s">
        <v>423</v>
      </c>
      <c r="B1071" s="2" t="n">
        <v>45935</v>
      </c>
      <c r="C1071" s="0" t="str">
        <f aca="false">TEXT(B1071,"mmm")</f>
        <v>Oct</v>
      </c>
      <c r="D1071" s="0" t="str">
        <f aca="false">TEXT(B1071,"ddd")</f>
        <v>Sun</v>
      </c>
      <c r="E1071" s="3" t="s">
        <v>27</v>
      </c>
      <c r="F1071" s="3" t="s">
        <v>14</v>
      </c>
      <c r="G1071" s="3" t="s">
        <v>15</v>
      </c>
      <c r="H1071" s="3" t="s">
        <v>22</v>
      </c>
      <c r="I1071" s="4" t="n">
        <v>357</v>
      </c>
      <c r="J1071" s="4" t="n">
        <v>0</v>
      </c>
      <c r="K1071" s="4" t="n">
        <v>30</v>
      </c>
      <c r="L1071" s="4" t="n">
        <f aca="false">IF(O1071="Delivered",I1071-J1071+K1071,0)</f>
        <v>387</v>
      </c>
      <c r="M1071" s="0" t="n">
        <v>27</v>
      </c>
      <c r="N1071" s="0" t="n">
        <v>4.5</v>
      </c>
      <c r="O1071" s="3" t="s">
        <v>17</v>
      </c>
    </row>
    <row r="1072" customFormat="false" ht="15" hidden="false" customHeight="false" outlineLevel="0" collapsed="false">
      <c r="A1072" s="0" t="s">
        <v>933</v>
      </c>
      <c r="B1072" s="2" t="n">
        <v>45935</v>
      </c>
      <c r="C1072" s="0" t="str">
        <f aca="false">TEXT(B1072,"mmm")</f>
        <v>Oct</v>
      </c>
      <c r="D1072" s="0" t="str">
        <f aca="false">TEXT(B1072,"ddd")</f>
        <v>Sun</v>
      </c>
      <c r="E1072" s="3" t="s">
        <v>40</v>
      </c>
      <c r="F1072" s="3" t="s">
        <v>56</v>
      </c>
      <c r="G1072" s="3" t="s">
        <v>15</v>
      </c>
      <c r="H1072" s="3" t="s">
        <v>16</v>
      </c>
      <c r="I1072" s="4" t="n">
        <v>331</v>
      </c>
      <c r="J1072" s="4" t="n">
        <v>60</v>
      </c>
      <c r="K1072" s="4" t="n">
        <v>30</v>
      </c>
      <c r="L1072" s="4" t="n">
        <f aca="false">IF(O1072="Delivered",I1072-J1072+K1072,0)</f>
        <v>301</v>
      </c>
      <c r="M1072" s="0" t="n">
        <v>37</v>
      </c>
      <c r="N1072" s="0" t="n">
        <v>3.9</v>
      </c>
      <c r="O1072" s="3" t="s">
        <v>17</v>
      </c>
    </row>
    <row r="1073" customFormat="false" ht="15" hidden="false" customHeight="false" outlineLevel="0" collapsed="false">
      <c r="A1073" s="0" t="s">
        <v>972</v>
      </c>
      <c r="B1073" s="2" t="n">
        <v>45935</v>
      </c>
      <c r="C1073" s="0" t="str">
        <f aca="false">TEXT(B1073,"mmm")</f>
        <v>Oct</v>
      </c>
      <c r="D1073" s="0" t="str">
        <f aca="false">TEXT(B1073,"ddd")</f>
        <v>Sun</v>
      </c>
      <c r="E1073" s="3" t="s">
        <v>27</v>
      </c>
      <c r="F1073" s="3" t="s">
        <v>25</v>
      </c>
      <c r="G1073" s="3" t="s">
        <v>21</v>
      </c>
      <c r="H1073" s="3" t="s">
        <v>22</v>
      </c>
      <c r="I1073" s="4" t="n">
        <v>504</v>
      </c>
      <c r="J1073" s="4" t="n">
        <v>0</v>
      </c>
      <c r="K1073" s="4" t="n">
        <v>0</v>
      </c>
      <c r="L1073" s="4" t="n">
        <f aca="false">IF(O1073="Delivered",I1073-J1073+K1073,0)</f>
        <v>504</v>
      </c>
      <c r="M1073" s="0" t="n">
        <v>44</v>
      </c>
      <c r="N1073" s="0" t="n">
        <v>5</v>
      </c>
      <c r="O1073" s="3" t="s">
        <v>17</v>
      </c>
    </row>
    <row r="1074" customFormat="false" ht="15" hidden="false" customHeight="false" outlineLevel="0" collapsed="false">
      <c r="A1074" s="0" t="s">
        <v>1160</v>
      </c>
      <c r="B1074" s="2" t="n">
        <v>45935</v>
      </c>
      <c r="C1074" s="0" t="str">
        <f aca="false">TEXT(B1074,"mmm")</f>
        <v>Oct</v>
      </c>
      <c r="D1074" s="0" t="str">
        <f aca="false">TEXT(B1074,"ddd")</f>
        <v>Sun</v>
      </c>
      <c r="E1074" s="3" t="s">
        <v>27</v>
      </c>
      <c r="F1074" s="3" t="s">
        <v>31</v>
      </c>
      <c r="G1074" s="3" t="s">
        <v>21</v>
      </c>
      <c r="H1074" s="3" t="s">
        <v>22</v>
      </c>
      <c r="I1074" s="4" t="n">
        <v>574</v>
      </c>
      <c r="J1074" s="4" t="n">
        <v>0</v>
      </c>
      <c r="K1074" s="4" t="n">
        <v>0</v>
      </c>
      <c r="L1074" s="4" t="n">
        <f aca="false">IF(O1074="Delivered",I1074-J1074+K1074,0)</f>
        <v>574</v>
      </c>
      <c r="M1074" s="0" t="n">
        <v>37</v>
      </c>
      <c r="N1074" s="0" t="n">
        <v>4.3</v>
      </c>
      <c r="O1074" s="3" t="s">
        <v>17</v>
      </c>
    </row>
    <row r="1075" customFormat="false" ht="15" hidden="false" customHeight="false" outlineLevel="0" collapsed="false">
      <c r="A1075" s="0" t="s">
        <v>1291</v>
      </c>
      <c r="B1075" s="2" t="n">
        <v>45935</v>
      </c>
      <c r="C1075" s="0" t="str">
        <f aca="false">TEXT(B1075,"mmm")</f>
        <v>Oct</v>
      </c>
      <c r="D1075" s="0" t="str">
        <f aca="false">TEXT(B1075,"ddd")</f>
        <v>Sun</v>
      </c>
      <c r="E1075" s="3" t="s">
        <v>13</v>
      </c>
      <c r="F1075" s="3" t="s">
        <v>56</v>
      </c>
      <c r="G1075" s="3" t="s">
        <v>15</v>
      </c>
      <c r="H1075" s="3" t="s">
        <v>16</v>
      </c>
      <c r="I1075" s="4" t="n">
        <v>287</v>
      </c>
      <c r="J1075" s="4" t="n">
        <v>0</v>
      </c>
      <c r="K1075" s="4" t="n">
        <v>30</v>
      </c>
      <c r="L1075" s="4" t="n">
        <f aca="false">IF(O1075="Delivered",I1075-J1075+K1075,0)</f>
        <v>317</v>
      </c>
      <c r="M1075" s="0" t="n">
        <v>32</v>
      </c>
      <c r="O1075" s="3" t="s">
        <v>17</v>
      </c>
    </row>
    <row r="1076" customFormat="false" ht="15" hidden="false" customHeight="false" outlineLevel="0" collapsed="false">
      <c r="A1076" s="0" t="s">
        <v>469</v>
      </c>
      <c r="B1076" s="2" t="n">
        <v>45936</v>
      </c>
      <c r="C1076" s="0" t="str">
        <f aca="false">TEXT(B1076,"mmm")</f>
        <v>Oct</v>
      </c>
      <c r="D1076" s="0" t="str">
        <f aca="false">TEXT(B1076,"ddd")</f>
        <v>Mon</v>
      </c>
      <c r="E1076" s="3" t="s">
        <v>27</v>
      </c>
      <c r="F1076" s="3" t="s">
        <v>78</v>
      </c>
      <c r="G1076" s="3" t="s">
        <v>21</v>
      </c>
      <c r="H1076" s="3" t="s">
        <v>16</v>
      </c>
      <c r="I1076" s="4" t="n">
        <v>402</v>
      </c>
      <c r="J1076" s="4" t="n">
        <v>0</v>
      </c>
      <c r="K1076" s="4" t="n">
        <v>30</v>
      </c>
      <c r="L1076" s="4" t="n">
        <f aca="false">IF(O1076="Delivered",I1076-J1076+K1076,0)</f>
        <v>432</v>
      </c>
      <c r="M1076" s="0" t="n">
        <v>40</v>
      </c>
      <c r="N1076" s="0" t="n">
        <v>4.4</v>
      </c>
      <c r="O1076" s="3" t="s">
        <v>17</v>
      </c>
    </row>
    <row r="1077" customFormat="false" ht="15" hidden="false" customHeight="false" outlineLevel="0" collapsed="false">
      <c r="A1077" s="0" t="s">
        <v>730</v>
      </c>
      <c r="B1077" s="2" t="n">
        <v>45937</v>
      </c>
      <c r="C1077" s="0" t="str">
        <f aca="false">TEXT(B1077,"mmm")</f>
        <v>Oct</v>
      </c>
      <c r="D1077" s="0" t="str">
        <f aca="false">TEXT(B1077,"ddd")</f>
        <v>Tue</v>
      </c>
      <c r="E1077" s="3" t="s">
        <v>24</v>
      </c>
      <c r="F1077" s="3" t="s">
        <v>31</v>
      </c>
      <c r="G1077" s="3" t="s">
        <v>21</v>
      </c>
      <c r="H1077" s="3" t="s">
        <v>22</v>
      </c>
      <c r="I1077" s="4" t="n">
        <v>575</v>
      </c>
      <c r="J1077" s="4" t="n">
        <v>0</v>
      </c>
      <c r="K1077" s="4" t="n">
        <v>0</v>
      </c>
      <c r="L1077" s="4" t="n">
        <f aca="false">IF(O1077="Delivered",I1077-J1077+K1077,0)</f>
        <v>575</v>
      </c>
      <c r="M1077" s="0" t="n">
        <v>39</v>
      </c>
      <c r="N1077" s="0" t="n">
        <v>4.7</v>
      </c>
      <c r="O1077" s="3" t="s">
        <v>17</v>
      </c>
    </row>
    <row r="1078" customFormat="false" ht="15" hidden="false" customHeight="false" outlineLevel="0" collapsed="false">
      <c r="A1078" s="0" t="s">
        <v>995</v>
      </c>
      <c r="B1078" s="2" t="n">
        <v>45937</v>
      </c>
      <c r="C1078" s="0" t="str">
        <f aca="false">TEXT(B1078,"mmm")</f>
        <v>Oct</v>
      </c>
      <c r="D1078" s="0" t="str">
        <f aca="false">TEXT(B1078,"ddd")</f>
        <v>Tue</v>
      </c>
      <c r="E1078" s="3" t="s">
        <v>27</v>
      </c>
      <c r="F1078" s="3" t="s">
        <v>14</v>
      </c>
      <c r="G1078" s="3" t="s">
        <v>21</v>
      </c>
      <c r="H1078" s="3" t="s">
        <v>22</v>
      </c>
      <c r="I1078" s="4" t="n">
        <v>311</v>
      </c>
      <c r="J1078" s="4" t="n">
        <v>0</v>
      </c>
      <c r="K1078" s="4" t="n">
        <v>30</v>
      </c>
      <c r="L1078" s="4" t="n">
        <f aca="false">IF(O1078="Delivered",I1078-J1078+K1078,0)</f>
        <v>341</v>
      </c>
      <c r="M1078" s="0" t="n">
        <v>32</v>
      </c>
      <c r="N1078" s="0" t="n">
        <v>4.4</v>
      </c>
      <c r="O1078" s="3" t="s">
        <v>17</v>
      </c>
    </row>
    <row r="1079" customFormat="false" ht="15" hidden="false" customHeight="false" outlineLevel="0" collapsed="false">
      <c r="A1079" s="0" t="s">
        <v>1001</v>
      </c>
      <c r="B1079" s="2" t="n">
        <v>45937</v>
      </c>
      <c r="C1079" s="0" t="str">
        <f aca="false">TEXT(B1079,"mmm")</f>
        <v>Oct</v>
      </c>
      <c r="D1079" s="0" t="str">
        <f aca="false">TEXT(B1079,"ddd")</f>
        <v>Tue</v>
      </c>
      <c r="E1079" s="3" t="s">
        <v>40</v>
      </c>
      <c r="F1079" s="3" t="s">
        <v>31</v>
      </c>
      <c r="G1079" s="3" t="s">
        <v>15</v>
      </c>
      <c r="H1079" s="3" t="s">
        <v>54</v>
      </c>
      <c r="I1079" s="4" t="n">
        <v>518</v>
      </c>
      <c r="J1079" s="4" t="n">
        <v>85</v>
      </c>
      <c r="K1079" s="4" t="n">
        <v>0</v>
      </c>
      <c r="L1079" s="4" t="n">
        <f aca="false">IF(O1079="Delivered",I1079-J1079+K1079,0)</f>
        <v>433</v>
      </c>
      <c r="M1079" s="0" t="n">
        <v>28</v>
      </c>
      <c r="N1079" s="0" t="n">
        <v>4.6</v>
      </c>
      <c r="O1079" s="3" t="s">
        <v>17</v>
      </c>
    </row>
    <row r="1080" customFormat="false" ht="15" hidden="false" customHeight="false" outlineLevel="0" collapsed="false">
      <c r="A1080" s="0" t="s">
        <v>413</v>
      </c>
      <c r="B1080" s="2" t="n">
        <v>45938</v>
      </c>
      <c r="C1080" s="0" t="str">
        <f aca="false">TEXT(B1080,"mmm")</f>
        <v>Oct</v>
      </c>
      <c r="D1080" s="0" t="str">
        <f aca="false">TEXT(B1080,"ddd")</f>
        <v>Wed</v>
      </c>
      <c r="E1080" s="3" t="s">
        <v>27</v>
      </c>
      <c r="F1080" s="3" t="s">
        <v>49</v>
      </c>
      <c r="G1080" s="3" t="s">
        <v>21</v>
      </c>
      <c r="H1080" s="3" t="s">
        <v>16</v>
      </c>
      <c r="I1080" s="4" t="n">
        <v>429</v>
      </c>
      <c r="J1080" s="4" t="n">
        <v>0</v>
      </c>
      <c r="K1080" s="4" t="n">
        <v>20</v>
      </c>
      <c r="L1080" s="4" t="n">
        <f aca="false">IF(O1080="Delivered",I1080-J1080+K1080,0)</f>
        <v>0</v>
      </c>
      <c r="O1080" s="3" t="s">
        <v>68</v>
      </c>
    </row>
    <row r="1081" customFormat="false" ht="15" hidden="false" customHeight="false" outlineLevel="0" collapsed="false">
      <c r="A1081" s="0" t="s">
        <v>538</v>
      </c>
      <c r="B1081" s="2" t="n">
        <v>45938</v>
      </c>
      <c r="C1081" s="0" t="str">
        <f aca="false">TEXT(B1081,"mmm")</f>
        <v>Oct</v>
      </c>
      <c r="D1081" s="0" t="str">
        <f aca="false">TEXT(B1081,"ddd")</f>
        <v>Wed</v>
      </c>
      <c r="E1081" s="3" t="s">
        <v>27</v>
      </c>
      <c r="F1081" s="3" t="s">
        <v>31</v>
      </c>
      <c r="G1081" s="3" t="s">
        <v>21</v>
      </c>
      <c r="H1081" s="3" t="s">
        <v>36</v>
      </c>
      <c r="I1081" s="4" t="n">
        <v>484</v>
      </c>
      <c r="J1081" s="4" t="n">
        <v>0</v>
      </c>
      <c r="K1081" s="4" t="n">
        <v>30</v>
      </c>
      <c r="L1081" s="4" t="n">
        <f aca="false">IF(O1081="Delivered",I1081-J1081+K1081,0)</f>
        <v>514</v>
      </c>
      <c r="M1081" s="0" t="n">
        <v>43</v>
      </c>
      <c r="N1081" s="0" t="n">
        <v>4.3</v>
      </c>
      <c r="O1081" s="3" t="s">
        <v>17</v>
      </c>
    </row>
    <row r="1082" customFormat="false" ht="15" hidden="false" customHeight="false" outlineLevel="0" collapsed="false">
      <c r="A1082" s="0" t="s">
        <v>737</v>
      </c>
      <c r="B1082" s="2" t="n">
        <v>45938</v>
      </c>
      <c r="C1082" s="0" t="str">
        <f aca="false">TEXT(B1082,"mmm")</f>
        <v>Oct</v>
      </c>
      <c r="D1082" s="0" t="str">
        <f aca="false">TEXT(B1082,"ddd")</f>
        <v>Wed</v>
      </c>
      <c r="E1082" s="3" t="s">
        <v>51</v>
      </c>
      <c r="F1082" s="3" t="s">
        <v>28</v>
      </c>
      <c r="G1082" s="3" t="s">
        <v>21</v>
      </c>
      <c r="H1082" s="3" t="s">
        <v>22</v>
      </c>
      <c r="I1082" s="4" t="n">
        <v>593</v>
      </c>
      <c r="J1082" s="4" t="n">
        <v>111</v>
      </c>
      <c r="K1082" s="4" t="n">
        <v>0</v>
      </c>
      <c r="L1082" s="4" t="n">
        <f aca="false">IF(O1082="Delivered",I1082-J1082+K1082,0)</f>
        <v>482</v>
      </c>
      <c r="M1082" s="0" t="n">
        <v>46</v>
      </c>
      <c r="N1082" s="0" t="n">
        <v>3.4</v>
      </c>
      <c r="O1082" s="3" t="s">
        <v>17</v>
      </c>
    </row>
    <row r="1083" customFormat="false" ht="15" hidden="false" customHeight="false" outlineLevel="0" collapsed="false">
      <c r="A1083" s="0" t="s">
        <v>1074</v>
      </c>
      <c r="B1083" s="2" t="n">
        <v>45938</v>
      </c>
      <c r="C1083" s="0" t="str">
        <f aca="false">TEXT(B1083,"mmm")</f>
        <v>Oct</v>
      </c>
      <c r="D1083" s="0" t="str">
        <f aca="false">TEXT(B1083,"ddd")</f>
        <v>Wed</v>
      </c>
      <c r="E1083" s="3" t="s">
        <v>13</v>
      </c>
      <c r="F1083" s="3" t="s">
        <v>49</v>
      </c>
      <c r="G1083" s="3" t="s">
        <v>21</v>
      </c>
      <c r="H1083" s="3" t="s">
        <v>54</v>
      </c>
      <c r="I1083" s="4" t="n">
        <v>448</v>
      </c>
      <c r="J1083" s="4" t="n">
        <v>0</v>
      </c>
      <c r="K1083" s="4" t="n">
        <v>45</v>
      </c>
      <c r="L1083" s="4" t="n">
        <f aca="false">IF(O1083="Delivered",I1083-J1083+K1083,0)</f>
        <v>493</v>
      </c>
      <c r="M1083" s="0" t="n">
        <v>29</v>
      </c>
      <c r="N1083" s="0" t="n">
        <v>4.2</v>
      </c>
      <c r="O1083" s="3" t="s">
        <v>17</v>
      </c>
    </row>
    <row r="1084" customFormat="false" ht="15" hidden="false" customHeight="false" outlineLevel="0" collapsed="false">
      <c r="A1084" s="0" t="s">
        <v>1363</v>
      </c>
      <c r="B1084" s="2" t="n">
        <v>45938</v>
      </c>
      <c r="C1084" s="0" t="str">
        <f aca="false">TEXT(B1084,"mmm")</f>
        <v>Oct</v>
      </c>
      <c r="D1084" s="0" t="str">
        <f aca="false">TEXT(B1084,"ddd")</f>
        <v>Wed</v>
      </c>
      <c r="E1084" s="3" t="s">
        <v>45</v>
      </c>
      <c r="F1084" s="3" t="s">
        <v>31</v>
      </c>
      <c r="G1084" s="3" t="s">
        <v>15</v>
      </c>
      <c r="H1084" s="3" t="s">
        <v>36</v>
      </c>
      <c r="I1084" s="4" t="n">
        <v>404</v>
      </c>
      <c r="J1084" s="4" t="n">
        <v>68</v>
      </c>
      <c r="K1084" s="4" t="n">
        <v>40</v>
      </c>
      <c r="L1084" s="4" t="n">
        <f aca="false">IF(O1084="Delivered",I1084-J1084+K1084,0)</f>
        <v>376</v>
      </c>
      <c r="M1084" s="0" t="n">
        <v>17</v>
      </c>
      <c r="N1084" s="0" t="n">
        <v>4.7</v>
      </c>
      <c r="O1084" s="3" t="s">
        <v>17</v>
      </c>
    </row>
    <row r="1085" customFormat="false" ht="15" hidden="false" customHeight="false" outlineLevel="0" collapsed="false">
      <c r="A1085" s="0" t="s">
        <v>285</v>
      </c>
      <c r="B1085" s="2" t="n">
        <v>45939</v>
      </c>
      <c r="C1085" s="0" t="str">
        <f aca="false">TEXT(B1085,"mmm")</f>
        <v>Oct</v>
      </c>
      <c r="D1085" s="0" t="str">
        <f aca="false">TEXT(B1085,"ddd")</f>
        <v>Thu</v>
      </c>
      <c r="E1085" s="3" t="s">
        <v>30</v>
      </c>
      <c r="F1085" s="3" t="s">
        <v>28</v>
      </c>
      <c r="G1085" s="3" t="s">
        <v>15</v>
      </c>
      <c r="H1085" s="3" t="s">
        <v>22</v>
      </c>
      <c r="I1085" s="4" t="n">
        <v>320</v>
      </c>
      <c r="J1085" s="4" t="n">
        <v>67</v>
      </c>
      <c r="K1085" s="4" t="n">
        <v>20</v>
      </c>
      <c r="L1085" s="4" t="n">
        <f aca="false">IF(O1085="Delivered",I1085-J1085+K1085,0)</f>
        <v>273</v>
      </c>
      <c r="M1085" s="0" t="n">
        <v>24</v>
      </c>
      <c r="N1085" s="0" t="n">
        <v>5</v>
      </c>
      <c r="O1085" s="3" t="s">
        <v>17</v>
      </c>
    </row>
    <row r="1086" customFormat="false" ht="15" hidden="false" customHeight="false" outlineLevel="0" collapsed="false">
      <c r="A1086" s="0" t="s">
        <v>609</v>
      </c>
      <c r="B1086" s="2" t="n">
        <v>45939</v>
      </c>
      <c r="C1086" s="0" t="str">
        <f aca="false">TEXT(B1086,"mmm")</f>
        <v>Oct</v>
      </c>
      <c r="D1086" s="0" t="str">
        <f aca="false">TEXT(B1086,"ddd")</f>
        <v>Thu</v>
      </c>
      <c r="E1086" s="3" t="s">
        <v>45</v>
      </c>
      <c r="F1086" s="3" t="s">
        <v>56</v>
      </c>
      <c r="G1086" s="3" t="s">
        <v>15</v>
      </c>
      <c r="H1086" s="3" t="s">
        <v>54</v>
      </c>
      <c r="I1086" s="4" t="n">
        <v>299</v>
      </c>
      <c r="J1086" s="4" t="n">
        <v>0</v>
      </c>
      <c r="K1086" s="4" t="n">
        <v>20</v>
      </c>
      <c r="L1086" s="4" t="n">
        <f aca="false">IF(O1086="Delivered",I1086-J1086+K1086,0)</f>
        <v>319</v>
      </c>
      <c r="M1086" s="0" t="n">
        <v>38</v>
      </c>
      <c r="N1086" s="0" t="n">
        <v>3.4</v>
      </c>
      <c r="O1086" s="3" t="s">
        <v>17</v>
      </c>
    </row>
    <row r="1087" customFormat="false" ht="15" hidden="false" customHeight="false" outlineLevel="0" collapsed="false">
      <c r="A1087" s="0" t="s">
        <v>935</v>
      </c>
      <c r="B1087" s="2" t="n">
        <v>45939</v>
      </c>
      <c r="C1087" s="0" t="str">
        <f aca="false">TEXT(B1087,"mmm")</f>
        <v>Oct</v>
      </c>
      <c r="D1087" s="0" t="str">
        <f aca="false">TEXT(B1087,"ddd")</f>
        <v>Thu</v>
      </c>
      <c r="E1087" s="3" t="s">
        <v>51</v>
      </c>
      <c r="F1087" s="3" t="s">
        <v>31</v>
      </c>
      <c r="G1087" s="3" t="s">
        <v>21</v>
      </c>
      <c r="H1087" s="3" t="s">
        <v>22</v>
      </c>
      <c r="I1087" s="4" t="n">
        <v>381</v>
      </c>
      <c r="J1087" s="4" t="n">
        <v>0</v>
      </c>
      <c r="K1087" s="4" t="n">
        <v>20</v>
      </c>
      <c r="L1087" s="4" t="n">
        <f aca="false">IF(O1087="Delivered",I1087-J1087+K1087,0)</f>
        <v>401</v>
      </c>
      <c r="M1087" s="0" t="n">
        <v>32</v>
      </c>
      <c r="N1087" s="0" t="n">
        <v>4.2</v>
      </c>
      <c r="O1087" s="3" t="s">
        <v>17</v>
      </c>
    </row>
    <row r="1088" customFormat="false" ht="15" hidden="false" customHeight="false" outlineLevel="0" collapsed="false">
      <c r="A1088" s="0" t="s">
        <v>1180</v>
      </c>
      <c r="B1088" s="2" t="n">
        <v>45939</v>
      </c>
      <c r="C1088" s="0" t="str">
        <f aca="false">TEXT(B1088,"mmm")</f>
        <v>Oct</v>
      </c>
      <c r="D1088" s="0" t="str">
        <f aca="false">TEXT(B1088,"ddd")</f>
        <v>Thu</v>
      </c>
      <c r="E1088" s="3" t="s">
        <v>30</v>
      </c>
      <c r="F1088" s="3" t="s">
        <v>56</v>
      </c>
      <c r="G1088" s="3" t="s">
        <v>21</v>
      </c>
      <c r="H1088" s="3" t="s">
        <v>34</v>
      </c>
      <c r="I1088" s="4" t="n">
        <v>372</v>
      </c>
      <c r="J1088" s="4" t="n">
        <v>0</v>
      </c>
      <c r="K1088" s="4" t="n">
        <v>40</v>
      </c>
      <c r="L1088" s="4" t="n">
        <f aca="false">IF(O1088="Delivered",I1088-J1088+K1088,0)</f>
        <v>0</v>
      </c>
      <c r="O1088" s="3" t="s">
        <v>68</v>
      </c>
    </row>
    <row r="1089" customFormat="false" ht="15" hidden="false" customHeight="false" outlineLevel="0" collapsed="false">
      <c r="A1089" s="0" t="s">
        <v>1331</v>
      </c>
      <c r="B1089" s="2" t="n">
        <v>45939</v>
      </c>
      <c r="C1089" s="0" t="str">
        <f aca="false">TEXT(B1089,"mmm")</f>
        <v>Oct</v>
      </c>
      <c r="D1089" s="0" t="str">
        <f aca="false">TEXT(B1089,"ddd")</f>
        <v>Thu</v>
      </c>
      <c r="E1089" s="3" t="s">
        <v>27</v>
      </c>
      <c r="F1089" s="3" t="s">
        <v>28</v>
      </c>
      <c r="G1089" s="3" t="s">
        <v>21</v>
      </c>
      <c r="H1089" s="3" t="s">
        <v>16</v>
      </c>
      <c r="I1089" s="4" t="n">
        <v>535</v>
      </c>
      <c r="J1089" s="4" t="n">
        <v>0</v>
      </c>
      <c r="K1089" s="4" t="n">
        <v>0</v>
      </c>
      <c r="L1089" s="4" t="n">
        <f aca="false">IF(O1089="Delivered",I1089-J1089+K1089,0)</f>
        <v>535</v>
      </c>
      <c r="M1089" s="0" t="n">
        <v>41</v>
      </c>
      <c r="N1089" s="0" t="n">
        <v>3.8</v>
      </c>
      <c r="O1089" s="3" t="s">
        <v>17</v>
      </c>
    </row>
    <row r="1090" customFormat="false" ht="15" hidden="false" customHeight="false" outlineLevel="0" collapsed="false">
      <c r="A1090" s="0" t="s">
        <v>763</v>
      </c>
      <c r="B1090" s="2" t="n">
        <v>45940</v>
      </c>
      <c r="C1090" s="0" t="str">
        <f aca="false">TEXT(B1090,"mmm")</f>
        <v>Oct</v>
      </c>
      <c r="D1090" s="0" t="str">
        <f aca="false">TEXT(B1090,"ddd")</f>
        <v>Fri</v>
      </c>
      <c r="E1090" s="3" t="s">
        <v>45</v>
      </c>
      <c r="F1090" s="3" t="s">
        <v>25</v>
      </c>
      <c r="G1090" s="3" t="s">
        <v>21</v>
      </c>
      <c r="H1090" s="3" t="s">
        <v>22</v>
      </c>
      <c r="I1090" s="4" t="n">
        <v>568</v>
      </c>
      <c r="J1090" s="4" t="n">
        <v>0</v>
      </c>
      <c r="K1090" s="4" t="n">
        <v>0</v>
      </c>
      <c r="L1090" s="4" t="n">
        <f aca="false">IF(O1090="Delivered",I1090-J1090+K1090,0)</f>
        <v>568</v>
      </c>
      <c r="M1090" s="0" t="n">
        <v>39</v>
      </c>
      <c r="N1090" s="0" t="n">
        <v>3.1</v>
      </c>
      <c r="O1090" s="3" t="s">
        <v>17</v>
      </c>
    </row>
    <row r="1091" customFormat="false" ht="15" hidden="false" customHeight="false" outlineLevel="0" collapsed="false">
      <c r="A1091" s="0" t="s">
        <v>824</v>
      </c>
      <c r="B1091" s="2" t="n">
        <v>45940</v>
      </c>
      <c r="C1091" s="0" t="str">
        <f aca="false">TEXT(B1091,"mmm")</f>
        <v>Oct</v>
      </c>
      <c r="D1091" s="0" t="str">
        <f aca="false">TEXT(B1091,"ddd")</f>
        <v>Fri</v>
      </c>
      <c r="E1091" s="3" t="s">
        <v>40</v>
      </c>
      <c r="F1091" s="3" t="s">
        <v>25</v>
      </c>
      <c r="G1091" s="3" t="s">
        <v>21</v>
      </c>
      <c r="H1091" s="3" t="s">
        <v>22</v>
      </c>
      <c r="I1091" s="4" t="n">
        <v>403</v>
      </c>
      <c r="J1091" s="4" t="n">
        <v>0</v>
      </c>
      <c r="K1091" s="4" t="n">
        <v>40</v>
      </c>
      <c r="L1091" s="4" t="n">
        <f aca="false">IF(O1091="Delivered",I1091-J1091+K1091,0)</f>
        <v>443</v>
      </c>
      <c r="M1091" s="0" t="n">
        <v>47</v>
      </c>
      <c r="N1091" s="0" t="n">
        <v>3.6</v>
      </c>
      <c r="O1091" s="3" t="s">
        <v>17</v>
      </c>
    </row>
    <row r="1092" customFormat="false" ht="15" hidden="false" customHeight="false" outlineLevel="0" collapsed="false">
      <c r="A1092" s="0" t="s">
        <v>1000</v>
      </c>
      <c r="B1092" s="2" t="n">
        <v>45940</v>
      </c>
      <c r="C1092" s="0" t="str">
        <f aca="false">TEXT(B1092,"mmm")</f>
        <v>Oct</v>
      </c>
      <c r="D1092" s="0" t="str">
        <f aca="false">TEXT(B1092,"ddd")</f>
        <v>Fri</v>
      </c>
      <c r="E1092" s="3" t="s">
        <v>30</v>
      </c>
      <c r="F1092" s="3" t="s">
        <v>56</v>
      </c>
      <c r="G1092" s="3" t="s">
        <v>21</v>
      </c>
      <c r="H1092" s="3" t="s">
        <v>22</v>
      </c>
      <c r="I1092" s="4" t="n">
        <v>409</v>
      </c>
      <c r="J1092" s="4" t="n">
        <v>69</v>
      </c>
      <c r="K1092" s="4" t="n">
        <v>40</v>
      </c>
      <c r="L1092" s="4" t="n">
        <f aca="false">IF(O1092="Delivered",I1092-J1092+K1092,0)</f>
        <v>380</v>
      </c>
      <c r="M1092" s="0" t="n">
        <v>28</v>
      </c>
      <c r="O1092" s="3" t="s">
        <v>17</v>
      </c>
    </row>
    <row r="1093" customFormat="false" ht="15" hidden="false" customHeight="false" outlineLevel="0" collapsed="false">
      <c r="A1093" s="0" t="s">
        <v>1132</v>
      </c>
      <c r="B1093" s="2" t="n">
        <v>45940</v>
      </c>
      <c r="C1093" s="0" t="str">
        <f aca="false">TEXT(B1093,"mmm")</f>
        <v>Oct</v>
      </c>
      <c r="D1093" s="0" t="str">
        <f aca="false">TEXT(B1093,"ddd")</f>
        <v>Fri</v>
      </c>
      <c r="E1093" s="3" t="s">
        <v>40</v>
      </c>
      <c r="F1093" s="3" t="s">
        <v>20</v>
      </c>
      <c r="G1093" s="3" t="s">
        <v>21</v>
      </c>
      <c r="H1093" s="3" t="s">
        <v>22</v>
      </c>
      <c r="I1093" s="4" t="n">
        <v>386</v>
      </c>
      <c r="J1093" s="4" t="n">
        <v>0</v>
      </c>
      <c r="K1093" s="4" t="n">
        <v>30</v>
      </c>
      <c r="L1093" s="4" t="n">
        <f aca="false">IF(O1093="Delivered",I1093-J1093+K1093,0)</f>
        <v>416</v>
      </c>
      <c r="M1093" s="0" t="n">
        <v>41</v>
      </c>
      <c r="O1093" s="3" t="s">
        <v>17</v>
      </c>
    </row>
    <row r="1094" customFormat="false" ht="15" hidden="false" customHeight="false" outlineLevel="0" collapsed="false">
      <c r="A1094" s="0" t="s">
        <v>72</v>
      </c>
      <c r="B1094" s="2" t="n">
        <v>45941</v>
      </c>
      <c r="C1094" s="0" t="str">
        <f aca="false">TEXT(B1094,"mmm")</f>
        <v>Oct</v>
      </c>
      <c r="D1094" s="0" t="str">
        <f aca="false">TEXT(B1094,"ddd")</f>
        <v>Sat</v>
      </c>
      <c r="E1094" s="3" t="s">
        <v>24</v>
      </c>
      <c r="F1094" s="3" t="s">
        <v>28</v>
      </c>
      <c r="G1094" s="3" t="s">
        <v>21</v>
      </c>
      <c r="H1094" s="3" t="s">
        <v>22</v>
      </c>
      <c r="I1094" s="4" t="n">
        <v>374</v>
      </c>
      <c r="J1094" s="4" t="n">
        <v>43</v>
      </c>
      <c r="K1094" s="4" t="n">
        <v>40</v>
      </c>
      <c r="L1094" s="4" t="n">
        <f aca="false">IF(O1094="Delivered",I1094-J1094+K1094,0)</f>
        <v>371</v>
      </c>
      <c r="M1094" s="0" t="n">
        <v>41</v>
      </c>
      <c r="N1094" s="0" t="n">
        <v>4.4</v>
      </c>
      <c r="O1094" s="3" t="s">
        <v>17</v>
      </c>
    </row>
    <row r="1095" customFormat="false" ht="15" hidden="false" customHeight="false" outlineLevel="0" collapsed="false">
      <c r="A1095" s="0" t="s">
        <v>329</v>
      </c>
      <c r="B1095" s="2" t="n">
        <v>45941</v>
      </c>
      <c r="C1095" s="0" t="str">
        <f aca="false">TEXT(B1095,"mmm")</f>
        <v>Oct</v>
      </c>
      <c r="D1095" s="0" t="str">
        <f aca="false">TEXT(B1095,"ddd")</f>
        <v>Sat</v>
      </c>
      <c r="E1095" s="3" t="s">
        <v>27</v>
      </c>
      <c r="F1095" s="3" t="s">
        <v>14</v>
      </c>
      <c r="G1095" s="3" t="s">
        <v>21</v>
      </c>
      <c r="H1095" s="3" t="s">
        <v>54</v>
      </c>
      <c r="I1095" s="4" t="n">
        <v>308</v>
      </c>
      <c r="J1095" s="4" t="n">
        <v>45</v>
      </c>
      <c r="K1095" s="4" t="n">
        <v>20</v>
      </c>
      <c r="L1095" s="4" t="n">
        <f aca="false">IF(O1095="Delivered",I1095-J1095+K1095,0)</f>
        <v>283</v>
      </c>
      <c r="M1095" s="0" t="n">
        <v>30</v>
      </c>
      <c r="N1095" s="0" t="n">
        <v>3.6</v>
      </c>
      <c r="O1095" s="3" t="s">
        <v>17</v>
      </c>
    </row>
    <row r="1096" customFormat="false" ht="15" hidden="false" customHeight="false" outlineLevel="0" collapsed="false">
      <c r="A1096" s="0" t="s">
        <v>533</v>
      </c>
      <c r="B1096" s="2" t="n">
        <v>45941</v>
      </c>
      <c r="C1096" s="0" t="str">
        <f aca="false">TEXT(B1096,"mmm")</f>
        <v>Oct</v>
      </c>
      <c r="D1096" s="0" t="str">
        <f aca="false">TEXT(B1096,"ddd")</f>
        <v>Sat</v>
      </c>
      <c r="E1096" s="3" t="s">
        <v>24</v>
      </c>
      <c r="F1096" s="3" t="s">
        <v>31</v>
      </c>
      <c r="G1096" s="3" t="s">
        <v>21</v>
      </c>
      <c r="H1096" s="3" t="s">
        <v>36</v>
      </c>
      <c r="I1096" s="4" t="n">
        <v>442</v>
      </c>
      <c r="J1096" s="4" t="n">
        <v>84</v>
      </c>
      <c r="K1096" s="4" t="n">
        <v>40</v>
      </c>
      <c r="L1096" s="4" t="n">
        <f aca="false">IF(O1096="Delivered",I1096-J1096+K1096,0)</f>
        <v>398</v>
      </c>
      <c r="M1096" s="0" t="n">
        <v>33</v>
      </c>
      <c r="N1096" s="0" t="n">
        <v>4</v>
      </c>
      <c r="O1096" s="3" t="s">
        <v>17</v>
      </c>
    </row>
    <row r="1097" customFormat="false" ht="15" hidden="false" customHeight="false" outlineLevel="0" collapsed="false">
      <c r="A1097" s="0" t="s">
        <v>626</v>
      </c>
      <c r="B1097" s="2" t="n">
        <v>45941</v>
      </c>
      <c r="C1097" s="0" t="str">
        <f aca="false">TEXT(B1097,"mmm")</f>
        <v>Oct</v>
      </c>
      <c r="D1097" s="0" t="str">
        <f aca="false">TEXT(B1097,"ddd")</f>
        <v>Sat</v>
      </c>
      <c r="E1097" s="3" t="s">
        <v>40</v>
      </c>
      <c r="F1097" s="3" t="s">
        <v>31</v>
      </c>
      <c r="G1097" s="3" t="s">
        <v>21</v>
      </c>
      <c r="H1097" s="3" t="s">
        <v>34</v>
      </c>
      <c r="I1097" s="4" t="n">
        <v>427</v>
      </c>
      <c r="J1097" s="4" t="n">
        <v>91</v>
      </c>
      <c r="K1097" s="4" t="n">
        <v>45</v>
      </c>
      <c r="L1097" s="4" t="n">
        <f aca="false">IF(O1097="Delivered",I1097-J1097+K1097,0)</f>
        <v>0</v>
      </c>
      <c r="O1097" s="3" t="s">
        <v>68</v>
      </c>
    </row>
    <row r="1098" customFormat="false" ht="15" hidden="false" customHeight="false" outlineLevel="0" collapsed="false">
      <c r="A1098" s="0" t="s">
        <v>1012</v>
      </c>
      <c r="B1098" s="2" t="n">
        <v>45941</v>
      </c>
      <c r="C1098" s="0" t="str">
        <f aca="false">TEXT(B1098,"mmm")</f>
        <v>Oct</v>
      </c>
      <c r="D1098" s="0" t="str">
        <f aca="false">TEXT(B1098,"ddd")</f>
        <v>Sat</v>
      </c>
      <c r="E1098" s="3" t="s">
        <v>27</v>
      </c>
      <c r="F1098" s="3" t="s">
        <v>56</v>
      </c>
      <c r="G1098" s="3" t="s">
        <v>15</v>
      </c>
      <c r="H1098" s="3" t="s">
        <v>36</v>
      </c>
      <c r="I1098" s="4" t="n">
        <v>414</v>
      </c>
      <c r="J1098" s="4" t="n">
        <v>66</v>
      </c>
      <c r="K1098" s="4" t="n">
        <v>20</v>
      </c>
      <c r="L1098" s="4" t="n">
        <f aca="false">IF(O1098="Delivered",I1098-J1098+K1098,0)</f>
        <v>368</v>
      </c>
      <c r="M1098" s="0" t="n">
        <v>43</v>
      </c>
      <c r="N1098" s="0" t="n">
        <v>2.8</v>
      </c>
      <c r="O1098" s="3" t="s">
        <v>17</v>
      </c>
    </row>
    <row r="1099" customFormat="false" ht="15" hidden="false" customHeight="false" outlineLevel="0" collapsed="false">
      <c r="A1099" s="0" t="s">
        <v>1241</v>
      </c>
      <c r="B1099" s="2" t="n">
        <v>45941</v>
      </c>
      <c r="C1099" s="0" t="str">
        <f aca="false">TEXT(B1099,"mmm")</f>
        <v>Oct</v>
      </c>
      <c r="D1099" s="0" t="str">
        <f aca="false">TEXT(B1099,"ddd")</f>
        <v>Sat</v>
      </c>
      <c r="E1099" s="3" t="s">
        <v>27</v>
      </c>
      <c r="F1099" s="3" t="s">
        <v>49</v>
      </c>
      <c r="G1099" s="3" t="s">
        <v>21</v>
      </c>
      <c r="H1099" s="3" t="s">
        <v>36</v>
      </c>
      <c r="I1099" s="4" t="n">
        <v>490</v>
      </c>
      <c r="J1099" s="4" t="n">
        <v>85</v>
      </c>
      <c r="K1099" s="4" t="n">
        <v>40</v>
      </c>
      <c r="L1099" s="4" t="n">
        <f aca="false">IF(O1099="Delivered",I1099-J1099+K1099,0)</f>
        <v>445</v>
      </c>
      <c r="M1099" s="0" t="n">
        <v>38</v>
      </c>
      <c r="N1099" s="0" t="n">
        <v>3.5</v>
      </c>
      <c r="O1099" s="3" t="s">
        <v>17</v>
      </c>
    </row>
    <row r="1100" customFormat="false" ht="15" hidden="false" customHeight="false" outlineLevel="0" collapsed="false">
      <c r="A1100" s="0" t="s">
        <v>1488</v>
      </c>
      <c r="B1100" s="2" t="n">
        <v>45941</v>
      </c>
      <c r="C1100" s="0" t="str">
        <f aca="false">TEXT(B1100,"mmm")</f>
        <v>Oct</v>
      </c>
      <c r="D1100" s="0" t="str">
        <f aca="false">TEXT(B1100,"ddd")</f>
        <v>Sat</v>
      </c>
      <c r="E1100" s="3" t="s">
        <v>27</v>
      </c>
      <c r="F1100" s="3" t="s">
        <v>14</v>
      </c>
      <c r="G1100" s="3" t="s">
        <v>21</v>
      </c>
      <c r="H1100" s="3" t="s">
        <v>16</v>
      </c>
      <c r="I1100" s="4" t="n">
        <v>397</v>
      </c>
      <c r="J1100" s="4" t="n">
        <v>0</v>
      </c>
      <c r="K1100" s="4" t="n">
        <v>30</v>
      </c>
      <c r="L1100" s="4" t="n">
        <f aca="false">IF(O1100="Delivered",I1100-J1100+K1100,0)</f>
        <v>427</v>
      </c>
      <c r="M1100" s="0" t="n">
        <v>31</v>
      </c>
      <c r="N1100" s="0" t="n">
        <v>4.5</v>
      </c>
      <c r="O1100" s="3" t="s">
        <v>17</v>
      </c>
    </row>
    <row r="1101" customFormat="false" ht="15" hidden="false" customHeight="false" outlineLevel="0" collapsed="false">
      <c r="A1101" s="0" t="s">
        <v>246</v>
      </c>
      <c r="B1101" s="2" t="n">
        <v>45942</v>
      </c>
      <c r="C1101" s="0" t="str">
        <f aca="false">TEXT(B1101,"mmm")</f>
        <v>Oct</v>
      </c>
      <c r="D1101" s="0" t="str">
        <f aca="false">TEXT(B1101,"ddd")</f>
        <v>Sun</v>
      </c>
      <c r="E1101" s="3" t="s">
        <v>27</v>
      </c>
      <c r="F1101" s="3" t="s">
        <v>56</v>
      </c>
      <c r="G1101" s="3" t="s">
        <v>21</v>
      </c>
      <c r="H1101" s="3" t="s">
        <v>16</v>
      </c>
      <c r="I1101" s="4" t="n">
        <v>486</v>
      </c>
      <c r="J1101" s="4" t="n">
        <v>0</v>
      </c>
      <c r="K1101" s="4" t="n">
        <v>45</v>
      </c>
      <c r="L1101" s="4" t="n">
        <f aca="false">IF(O1101="Delivered",I1101-J1101+K1101,0)</f>
        <v>531</v>
      </c>
      <c r="M1101" s="0" t="n">
        <v>40</v>
      </c>
      <c r="N1101" s="0" t="n">
        <v>3.9</v>
      </c>
      <c r="O1101" s="3" t="s">
        <v>17</v>
      </c>
    </row>
    <row r="1102" customFormat="false" ht="15" hidden="false" customHeight="false" outlineLevel="0" collapsed="false">
      <c r="A1102" s="0" t="s">
        <v>255</v>
      </c>
      <c r="B1102" s="2" t="n">
        <v>45942</v>
      </c>
      <c r="C1102" s="0" t="str">
        <f aca="false">TEXT(B1102,"mmm")</f>
        <v>Oct</v>
      </c>
      <c r="D1102" s="0" t="str">
        <f aca="false">TEXT(B1102,"ddd")</f>
        <v>Sun</v>
      </c>
      <c r="E1102" s="3" t="s">
        <v>27</v>
      </c>
      <c r="F1102" s="3" t="s">
        <v>31</v>
      </c>
      <c r="G1102" s="3" t="s">
        <v>21</v>
      </c>
      <c r="H1102" s="3" t="s">
        <v>34</v>
      </c>
      <c r="I1102" s="4" t="n">
        <v>573</v>
      </c>
      <c r="J1102" s="4" t="n">
        <v>0</v>
      </c>
      <c r="K1102" s="4" t="n">
        <v>0</v>
      </c>
      <c r="L1102" s="4" t="n">
        <f aca="false">IF(O1102="Delivered",I1102-J1102+K1102,0)</f>
        <v>573</v>
      </c>
      <c r="M1102" s="0" t="n">
        <v>52</v>
      </c>
      <c r="N1102" s="0" t="n">
        <v>4</v>
      </c>
      <c r="O1102" s="3" t="s">
        <v>17</v>
      </c>
    </row>
    <row r="1103" customFormat="false" ht="15" hidden="false" customHeight="false" outlineLevel="0" collapsed="false">
      <c r="A1103" s="0" t="s">
        <v>1173</v>
      </c>
      <c r="B1103" s="2" t="n">
        <v>45942</v>
      </c>
      <c r="C1103" s="0" t="str">
        <f aca="false">TEXT(B1103,"mmm")</f>
        <v>Oct</v>
      </c>
      <c r="D1103" s="0" t="str">
        <f aca="false">TEXT(B1103,"ddd")</f>
        <v>Sun</v>
      </c>
      <c r="E1103" s="3" t="s">
        <v>27</v>
      </c>
      <c r="F1103" s="3" t="s">
        <v>31</v>
      </c>
      <c r="G1103" s="3" t="s">
        <v>15</v>
      </c>
      <c r="H1103" s="3" t="s">
        <v>54</v>
      </c>
      <c r="I1103" s="4" t="n">
        <v>539</v>
      </c>
      <c r="J1103" s="4" t="n">
        <v>68</v>
      </c>
      <c r="K1103" s="4" t="n">
        <v>0</v>
      </c>
      <c r="L1103" s="4" t="n">
        <f aca="false">IF(O1103="Delivered",I1103-J1103+K1103,0)</f>
        <v>471</v>
      </c>
      <c r="M1103" s="0" t="n">
        <v>37</v>
      </c>
      <c r="N1103" s="0" t="n">
        <v>4.5</v>
      </c>
      <c r="O1103" s="3" t="s">
        <v>17</v>
      </c>
    </row>
    <row r="1104" customFormat="false" ht="15" hidden="false" customHeight="false" outlineLevel="0" collapsed="false">
      <c r="A1104" s="0" t="s">
        <v>1305</v>
      </c>
      <c r="B1104" s="2" t="n">
        <v>45942</v>
      </c>
      <c r="C1104" s="0" t="str">
        <f aca="false">TEXT(B1104,"mmm")</f>
        <v>Oct</v>
      </c>
      <c r="D1104" s="0" t="str">
        <f aca="false">TEXT(B1104,"ddd")</f>
        <v>Sun</v>
      </c>
      <c r="E1104" s="3" t="s">
        <v>13</v>
      </c>
      <c r="F1104" s="3" t="s">
        <v>31</v>
      </c>
      <c r="G1104" s="3" t="s">
        <v>21</v>
      </c>
      <c r="H1104" s="3" t="s">
        <v>22</v>
      </c>
      <c r="I1104" s="4" t="n">
        <v>345</v>
      </c>
      <c r="J1104" s="4" t="n">
        <v>46</v>
      </c>
      <c r="K1104" s="4" t="n">
        <v>40</v>
      </c>
      <c r="L1104" s="4" t="n">
        <f aca="false">IF(O1104="Delivered",I1104-J1104+K1104,0)</f>
        <v>339</v>
      </c>
      <c r="M1104" s="0" t="n">
        <v>28</v>
      </c>
      <c r="N1104" s="0" t="n">
        <v>5</v>
      </c>
      <c r="O1104" s="3" t="s">
        <v>17</v>
      </c>
    </row>
    <row r="1105" customFormat="false" ht="15" hidden="false" customHeight="false" outlineLevel="0" collapsed="false">
      <c r="A1105" s="0" t="s">
        <v>738</v>
      </c>
      <c r="B1105" s="2" t="n">
        <v>45943</v>
      </c>
      <c r="C1105" s="0" t="str">
        <f aca="false">TEXT(B1105,"mmm")</f>
        <v>Oct</v>
      </c>
      <c r="D1105" s="0" t="str">
        <f aca="false">TEXT(B1105,"ddd")</f>
        <v>Mon</v>
      </c>
      <c r="E1105" s="3" t="s">
        <v>24</v>
      </c>
      <c r="F1105" s="3" t="s">
        <v>25</v>
      </c>
      <c r="G1105" s="3" t="s">
        <v>21</v>
      </c>
      <c r="H1105" s="3" t="s">
        <v>22</v>
      </c>
      <c r="I1105" s="4" t="n">
        <v>364</v>
      </c>
      <c r="J1105" s="4" t="n">
        <v>0</v>
      </c>
      <c r="K1105" s="4" t="n">
        <v>45</v>
      </c>
      <c r="L1105" s="4" t="n">
        <f aca="false">IF(O1105="Delivered",I1105-J1105+K1105,0)</f>
        <v>409</v>
      </c>
      <c r="M1105" s="0" t="n">
        <v>43</v>
      </c>
      <c r="N1105" s="0" t="n">
        <v>5</v>
      </c>
      <c r="O1105" s="3" t="s">
        <v>17</v>
      </c>
    </row>
    <row r="1106" customFormat="false" ht="15" hidden="false" customHeight="false" outlineLevel="0" collapsed="false">
      <c r="A1106" s="0" t="s">
        <v>816</v>
      </c>
      <c r="B1106" s="2" t="n">
        <v>45943</v>
      </c>
      <c r="C1106" s="0" t="str">
        <f aca="false">TEXT(B1106,"mmm")</f>
        <v>Oct</v>
      </c>
      <c r="D1106" s="0" t="str">
        <f aca="false">TEXT(B1106,"ddd")</f>
        <v>Mon</v>
      </c>
      <c r="E1106" s="3" t="s">
        <v>24</v>
      </c>
      <c r="F1106" s="3" t="s">
        <v>20</v>
      </c>
      <c r="G1106" s="3" t="s">
        <v>21</v>
      </c>
      <c r="H1106" s="3" t="s">
        <v>16</v>
      </c>
      <c r="I1106" s="4" t="n">
        <v>561</v>
      </c>
      <c r="J1106" s="4" t="n">
        <v>0</v>
      </c>
      <c r="K1106" s="4" t="n">
        <v>0</v>
      </c>
      <c r="L1106" s="4" t="n">
        <f aca="false">IF(O1106="Delivered",I1106-J1106+K1106,0)</f>
        <v>561</v>
      </c>
      <c r="M1106" s="0" t="n">
        <v>38</v>
      </c>
      <c r="N1106" s="0" t="n">
        <v>4</v>
      </c>
      <c r="O1106" s="3" t="s">
        <v>17</v>
      </c>
    </row>
    <row r="1107" customFormat="false" ht="15" hidden="false" customHeight="false" outlineLevel="0" collapsed="false">
      <c r="A1107" s="0" t="s">
        <v>1141</v>
      </c>
      <c r="B1107" s="2" t="n">
        <v>45943</v>
      </c>
      <c r="C1107" s="0" t="str">
        <f aca="false">TEXT(B1107,"mmm")</f>
        <v>Oct</v>
      </c>
      <c r="D1107" s="0" t="str">
        <f aca="false">TEXT(B1107,"ddd")</f>
        <v>Mon</v>
      </c>
      <c r="E1107" s="3" t="s">
        <v>27</v>
      </c>
      <c r="F1107" s="3" t="s">
        <v>56</v>
      </c>
      <c r="G1107" s="3" t="s">
        <v>21</v>
      </c>
      <c r="H1107" s="3" t="s">
        <v>22</v>
      </c>
      <c r="I1107" s="4" t="n">
        <v>430</v>
      </c>
      <c r="J1107" s="4" t="n">
        <v>0</v>
      </c>
      <c r="K1107" s="4" t="n">
        <v>45</v>
      </c>
      <c r="L1107" s="4" t="n">
        <f aca="false">IF(O1107="Delivered",I1107-J1107+K1107,0)</f>
        <v>475</v>
      </c>
      <c r="M1107" s="0" t="n">
        <v>45</v>
      </c>
      <c r="N1107" s="0" t="n">
        <v>4.8</v>
      </c>
      <c r="O1107" s="3" t="s">
        <v>17</v>
      </c>
    </row>
    <row r="1108" customFormat="false" ht="15" hidden="false" customHeight="false" outlineLevel="0" collapsed="false">
      <c r="A1108" s="0" t="s">
        <v>1334</v>
      </c>
      <c r="B1108" s="2" t="n">
        <v>45943</v>
      </c>
      <c r="C1108" s="0" t="str">
        <f aca="false">TEXT(B1108,"mmm")</f>
        <v>Oct</v>
      </c>
      <c r="D1108" s="0" t="str">
        <f aca="false">TEXT(B1108,"ddd")</f>
        <v>Mon</v>
      </c>
      <c r="E1108" s="3" t="s">
        <v>27</v>
      </c>
      <c r="F1108" s="3" t="s">
        <v>25</v>
      </c>
      <c r="G1108" s="3" t="s">
        <v>21</v>
      </c>
      <c r="H1108" s="3" t="s">
        <v>34</v>
      </c>
      <c r="I1108" s="4" t="n">
        <v>587</v>
      </c>
      <c r="J1108" s="4" t="n">
        <v>0</v>
      </c>
      <c r="K1108" s="4" t="n">
        <v>0</v>
      </c>
      <c r="L1108" s="4" t="n">
        <f aca="false">IF(O1108="Delivered",I1108-J1108+K1108,0)</f>
        <v>587</v>
      </c>
      <c r="M1108" s="0" t="n">
        <v>39</v>
      </c>
      <c r="N1108" s="0" t="n">
        <v>4.8</v>
      </c>
      <c r="O1108" s="3" t="s">
        <v>17</v>
      </c>
    </row>
    <row r="1109" customFormat="false" ht="15" hidden="false" customHeight="false" outlineLevel="0" collapsed="false">
      <c r="A1109" s="0" t="s">
        <v>1336</v>
      </c>
      <c r="B1109" s="2" t="n">
        <v>45943</v>
      </c>
      <c r="C1109" s="0" t="str">
        <f aca="false">TEXT(B1109,"mmm")</f>
        <v>Oct</v>
      </c>
      <c r="D1109" s="0" t="str">
        <f aca="false">TEXT(B1109,"ddd")</f>
        <v>Mon</v>
      </c>
      <c r="E1109" s="3" t="s">
        <v>27</v>
      </c>
      <c r="F1109" s="3" t="s">
        <v>20</v>
      </c>
      <c r="G1109" s="3" t="s">
        <v>21</v>
      </c>
      <c r="H1109" s="3" t="s">
        <v>22</v>
      </c>
      <c r="I1109" s="4" t="n">
        <v>776</v>
      </c>
      <c r="J1109" s="4" t="n">
        <v>81</v>
      </c>
      <c r="K1109" s="4" t="n">
        <v>0</v>
      </c>
      <c r="L1109" s="4" t="n">
        <f aca="false">IF(O1109="Delivered",I1109-J1109+K1109,0)</f>
        <v>695</v>
      </c>
      <c r="M1109" s="0" t="n">
        <v>50</v>
      </c>
      <c r="N1109" s="0" t="n">
        <v>3</v>
      </c>
      <c r="O1109" s="3" t="s">
        <v>17</v>
      </c>
    </row>
    <row r="1110" customFormat="false" ht="15" hidden="false" customHeight="false" outlineLevel="0" collapsed="false">
      <c r="A1110" s="0" t="s">
        <v>1342</v>
      </c>
      <c r="B1110" s="2" t="n">
        <v>45943</v>
      </c>
      <c r="C1110" s="0" t="str">
        <f aca="false">TEXT(B1110,"mmm")</f>
        <v>Oct</v>
      </c>
      <c r="D1110" s="0" t="str">
        <f aca="false">TEXT(B1110,"ddd")</f>
        <v>Mon</v>
      </c>
      <c r="E1110" s="3" t="s">
        <v>30</v>
      </c>
      <c r="F1110" s="3" t="s">
        <v>28</v>
      </c>
      <c r="G1110" s="3" t="s">
        <v>21</v>
      </c>
      <c r="H1110" s="3" t="s">
        <v>22</v>
      </c>
      <c r="I1110" s="4" t="n">
        <v>349</v>
      </c>
      <c r="J1110" s="4" t="n">
        <v>49</v>
      </c>
      <c r="K1110" s="4" t="n">
        <v>45</v>
      </c>
      <c r="L1110" s="4" t="n">
        <f aca="false">IF(O1110="Delivered",I1110-J1110+K1110,0)</f>
        <v>345</v>
      </c>
      <c r="M1110" s="0" t="n">
        <v>39</v>
      </c>
      <c r="N1110" s="0" t="n">
        <v>4.4</v>
      </c>
      <c r="O1110" s="3" t="s">
        <v>17</v>
      </c>
    </row>
    <row r="1111" customFormat="false" ht="15" hidden="false" customHeight="false" outlineLevel="0" collapsed="false">
      <c r="A1111" s="0" t="s">
        <v>1037</v>
      </c>
      <c r="B1111" s="2" t="n">
        <v>45944</v>
      </c>
      <c r="C1111" s="0" t="str">
        <f aca="false">TEXT(B1111,"mmm")</f>
        <v>Oct</v>
      </c>
      <c r="D1111" s="0" t="str">
        <f aca="false">TEXT(B1111,"ddd")</f>
        <v>Tue</v>
      </c>
      <c r="E1111" s="3" t="s">
        <v>27</v>
      </c>
      <c r="F1111" s="3" t="s">
        <v>49</v>
      </c>
      <c r="G1111" s="3" t="s">
        <v>21</v>
      </c>
      <c r="H1111" s="3" t="s">
        <v>22</v>
      </c>
      <c r="I1111" s="4" t="n">
        <v>361</v>
      </c>
      <c r="J1111" s="4" t="n">
        <v>0</v>
      </c>
      <c r="K1111" s="4" t="n">
        <v>30</v>
      </c>
      <c r="L1111" s="4" t="n">
        <f aca="false">IF(O1111="Delivered",I1111-J1111+K1111,0)</f>
        <v>0</v>
      </c>
      <c r="O1111" s="3" t="s">
        <v>68</v>
      </c>
    </row>
    <row r="1112" customFormat="false" ht="15" hidden="false" customHeight="false" outlineLevel="0" collapsed="false">
      <c r="A1112" s="0" t="s">
        <v>1425</v>
      </c>
      <c r="B1112" s="2" t="n">
        <v>45944</v>
      </c>
      <c r="C1112" s="0" t="str">
        <f aca="false">TEXT(B1112,"mmm")</f>
        <v>Oct</v>
      </c>
      <c r="D1112" s="0" t="str">
        <f aca="false">TEXT(B1112,"ddd")</f>
        <v>Tue</v>
      </c>
      <c r="E1112" s="3" t="s">
        <v>45</v>
      </c>
      <c r="F1112" s="3" t="s">
        <v>31</v>
      </c>
      <c r="G1112" s="3" t="s">
        <v>15</v>
      </c>
      <c r="H1112" s="3" t="s">
        <v>16</v>
      </c>
      <c r="I1112" s="4" t="n">
        <v>525</v>
      </c>
      <c r="J1112" s="4" t="n">
        <v>0</v>
      </c>
      <c r="K1112" s="4" t="n">
        <v>0</v>
      </c>
      <c r="L1112" s="4" t="n">
        <f aca="false">IF(O1112="Delivered",I1112-J1112+K1112,0)</f>
        <v>525</v>
      </c>
      <c r="M1112" s="0" t="n">
        <v>38</v>
      </c>
      <c r="N1112" s="0" t="n">
        <v>4</v>
      </c>
      <c r="O1112" s="3" t="s">
        <v>17</v>
      </c>
    </row>
    <row r="1113" customFormat="false" ht="15" hidden="false" customHeight="false" outlineLevel="0" collapsed="false">
      <c r="A1113" s="0" t="s">
        <v>658</v>
      </c>
      <c r="B1113" s="2" t="n">
        <v>45945</v>
      </c>
      <c r="C1113" s="0" t="str">
        <f aca="false">TEXT(B1113,"mmm")</f>
        <v>Oct</v>
      </c>
      <c r="D1113" s="0" t="str">
        <f aca="false">TEXT(B1113,"ddd")</f>
        <v>Wed</v>
      </c>
      <c r="E1113" s="3" t="s">
        <v>40</v>
      </c>
      <c r="F1113" s="3" t="s">
        <v>31</v>
      </c>
      <c r="G1113" s="3" t="s">
        <v>15</v>
      </c>
      <c r="H1113" s="3" t="s">
        <v>36</v>
      </c>
      <c r="I1113" s="4" t="n">
        <v>394</v>
      </c>
      <c r="J1113" s="4" t="n">
        <v>49</v>
      </c>
      <c r="K1113" s="4" t="n">
        <v>40</v>
      </c>
      <c r="L1113" s="4" t="n">
        <f aca="false">IF(O1113="Delivered",I1113-J1113+K1113,0)</f>
        <v>385</v>
      </c>
      <c r="M1113" s="0" t="n">
        <v>46</v>
      </c>
      <c r="N1113" s="0" t="n">
        <v>3.4</v>
      </c>
      <c r="O1113" s="3" t="s">
        <v>17</v>
      </c>
    </row>
    <row r="1114" customFormat="false" ht="15" hidden="false" customHeight="false" outlineLevel="0" collapsed="false">
      <c r="A1114" s="0" t="s">
        <v>1471</v>
      </c>
      <c r="B1114" s="2" t="n">
        <v>45945</v>
      </c>
      <c r="C1114" s="0" t="str">
        <f aca="false">TEXT(B1114,"mmm")</f>
        <v>Oct</v>
      </c>
      <c r="D1114" s="0" t="str">
        <f aca="false">TEXT(B1114,"ddd")</f>
        <v>Wed</v>
      </c>
      <c r="E1114" s="3" t="s">
        <v>40</v>
      </c>
      <c r="F1114" s="3" t="s">
        <v>78</v>
      </c>
      <c r="G1114" s="3" t="s">
        <v>21</v>
      </c>
      <c r="H1114" s="3" t="s">
        <v>54</v>
      </c>
      <c r="I1114" s="4" t="n">
        <v>336</v>
      </c>
      <c r="J1114" s="4" t="n">
        <v>0</v>
      </c>
      <c r="K1114" s="4" t="n">
        <v>20</v>
      </c>
      <c r="L1114" s="4" t="n">
        <f aca="false">IF(O1114="Delivered",I1114-J1114+K1114,0)</f>
        <v>0</v>
      </c>
      <c r="O1114" s="3" t="s">
        <v>68</v>
      </c>
    </row>
    <row r="1115" customFormat="false" ht="15" hidden="false" customHeight="false" outlineLevel="0" collapsed="false">
      <c r="A1115" s="0" t="s">
        <v>55</v>
      </c>
      <c r="B1115" s="2" t="n">
        <v>45946</v>
      </c>
      <c r="C1115" s="0" t="str">
        <f aca="false">TEXT(B1115,"mmm")</f>
        <v>Oct</v>
      </c>
      <c r="D1115" s="0" t="str">
        <f aca="false">TEXT(B1115,"ddd")</f>
        <v>Thu</v>
      </c>
      <c r="E1115" s="3" t="s">
        <v>24</v>
      </c>
      <c r="F1115" s="3" t="s">
        <v>56</v>
      </c>
      <c r="G1115" s="3" t="s">
        <v>15</v>
      </c>
      <c r="H1115" s="3" t="s">
        <v>54</v>
      </c>
      <c r="I1115" s="4" t="n">
        <v>315</v>
      </c>
      <c r="J1115" s="4" t="n">
        <v>47</v>
      </c>
      <c r="K1115" s="4" t="n">
        <v>30</v>
      </c>
      <c r="L1115" s="4" t="n">
        <f aca="false">IF(O1115="Delivered",I1115-J1115+K1115,0)</f>
        <v>298</v>
      </c>
      <c r="M1115" s="0" t="n">
        <v>25</v>
      </c>
      <c r="N1115" s="0" t="n">
        <v>3.9</v>
      </c>
      <c r="O1115" s="3" t="s">
        <v>17</v>
      </c>
    </row>
    <row r="1116" customFormat="false" ht="15" hidden="false" customHeight="false" outlineLevel="0" collapsed="false">
      <c r="A1116" s="0" t="s">
        <v>171</v>
      </c>
      <c r="B1116" s="2" t="n">
        <v>45946</v>
      </c>
      <c r="C1116" s="0" t="str">
        <f aca="false">TEXT(B1116,"mmm")</f>
        <v>Oct</v>
      </c>
      <c r="D1116" s="0" t="str">
        <f aca="false">TEXT(B1116,"ddd")</f>
        <v>Thu</v>
      </c>
      <c r="E1116" s="3" t="s">
        <v>40</v>
      </c>
      <c r="F1116" s="3" t="s">
        <v>31</v>
      </c>
      <c r="G1116" s="3" t="s">
        <v>15</v>
      </c>
      <c r="H1116" s="3" t="s">
        <v>22</v>
      </c>
      <c r="I1116" s="4" t="n">
        <v>441</v>
      </c>
      <c r="J1116" s="4" t="n">
        <v>55</v>
      </c>
      <c r="K1116" s="4" t="n">
        <v>40</v>
      </c>
      <c r="L1116" s="4" t="n">
        <f aca="false">IF(O1116="Delivered",I1116-J1116+K1116,0)</f>
        <v>426</v>
      </c>
      <c r="M1116" s="0" t="n">
        <v>34</v>
      </c>
      <c r="O1116" s="3" t="s">
        <v>17</v>
      </c>
    </row>
    <row r="1117" customFormat="false" ht="15" hidden="false" customHeight="false" outlineLevel="0" collapsed="false">
      <c r="A1117" s="0" t="s">
        <v>974</v>
      </c>
      <c r="B1117" s="2" t="n">
        <v>45946</v>
      </c>
      <c r="C1117" s="0" t="str">
        <f aca="false">TEXT(B1117,"mmm")</f>
        <v>Oct</v>
      </c>
      <c r="D1117" s="0" t="str">
        <f aca="false">TEXT(B1117,"ddd")</f>
        <v>Thu</v>
      </c>
      <c r="E1117" s="3" t="s">
        <v>45</v>
      </c>
      <c r="F1117" s="3" t="s">
        <v>28</v>
      </c>
      <c r="G1117" s="3" t="s">
        <v>21</v>
      </c>
      <c r="H1117" s="3" t="s">
        <v>22</v>
      </c>
      <c r="I1117" s="4" t="n">
        <v>409</v>
      </c>
      <c r="J1117" s="4" t="n">
        <v>0</v>
      </c>
      <c r="K1117" s="4" t="n">
        <v>20</v>
      </c>
      <c r="L1117" s="4" t="n">
        <f aca="false">IF(O1117="Delivered",I1117-J1117+K1117,0)</f>
        <v>429</v>
      </c>
      <c r="M1117" s="0" t="n">
        <v>36</v>
      </c>
      <c r="N1117" s="0" t="n">
        <v>4.1</v>
      </c>
      <c r="O1117" s="3" t="s">
        <v>17</v>
      </c>
    </row>
    <row r="1118" customFormat="false" ht="15" hidden="false" customHeight="false" outlineLevel="0" collapsed="false">
      <c r="A1118" s="0" t="s">
        <v>1078</v>
      </c>
      <c r="B1118" s="2" t="n">
        <v>45946</v>
      </c>
      <c r="C1118" s="0" t="str">
        <f aca="false">TEXT(B1118,"mmm")</f>
        <v>Oct</v>
      </c>
      <c r="D1118" s="0" t="str">
        <f aca="false">TEXT(B1118,"ddd")</f>
        <v>Thu</v>
      </c>
      <c r="E1118" s="3" t="s">
        <v>24</v>
      </c>
      <c r="F1118" s="3" t="s">
        <v>31</v>
      </c>
      <c r="G1118" s="3" t="s">
        <v>21</v>
      </c>
      <c r="H1118" s="3" t="s">
        <v>36</v>
      </c>
      <c r="I1118" s="4" t="n">
        <v>353</v>
      </c>
      <c r="J1118" s="4" t="n">
        <v>0</v>
      </c>
      <c r="K1118" s="4" t="n">
        <v>45</v>
      </c>
      <c r="L1118" s="4" t="n">
        <f aca="false">IF(O1118="Delivered",I1118-J1118+K1118,0)</f>
        <v>398</v>
      </c>
      <c r="M1118" s="0" t="n">
        <v>32</v>
      </c>
      <c r="N1118" s="0" t="n">
        <v>4</v>
      </c>
      <c r="O1118" s="3" t="s">
        <v>17</v>
      </c>
    </row>
    <row r="1119" customFormat="false" ht="15" hidden="false" customHeight="false" outlineLevel="0" collapsed="false">
      <c r="A1119" s="0" t="s">
        <v>1375</v>
      </c>
      <c r="B1119" s="2" t="n">
        <v>45946</v>
      </c>
      <c r="C1119" s="0" t="str">
        <f aca="false">TEXT(B1119,"mmm")</f>
        <v>Oct</v>
      </c>
      <c r="D1119" s="0" t="str">
        <f aca="false">TEXT(B1119,"ddd")</f>
        <v>Thu</v>
      </c>
      <c r="E1119" s="3" t="s">
        <v>19</v>
      </c>
      <c r="F1119" s="3" t="s">
        <v>28</v>
      </c>
      <c r="G1119" s="3" t="s">
        <v>21</v>
      </c>
      <c r="H1119" s="3" t="s">
        <v>16</v>
      </c>
      <c r="I1119" s="4" t="n">
        <v>546</v>
      </c>
      <c r="J1119" s="4" t="n">
        <v>121</v>
      </c>
      <c r="K1119" s="4" t="n">
        <v>0</v>
      </c>
      <c r="L1119" s="4" t="n">
        <f aca="false">IF(O1119="Delivered",I1119-J1119+K1119,0)</f>
        <v>425</v>
      </c>
      <c r="M1119" s="0" t="n">
        <v>26</v>
      </c>
      <c r="N1119" s="0" t="n">
        <v>4.4</v>
      </c>
      <c r="O1119" s="3" t="s">
        <v>17</v>
      </c>
    </row>
    <row r="1120" customFormat="false" ht="15" hidden="false" customHeight="false" outlineLevel="0" collapsed="false">
      <c r="A1120" s="0" t="s">
        <v>33</v>
      </c>
      <c r="B1120" s="2" t="n">
        <v>45947</v>
      </c>
      <c r="C1120" s="0" t="str">
        <f aca="false">TEXT(B1120,"mmm")</f>
        <v>Oct</v>
      </c>
      <c r="D1120" s="0" t="str">
        <f aca="false">TEXT(B1120,"ddd")</f>
        <v>Fri</v>
      </c>
      <c r="E1120" s="3" t="s">
        <v>13</v>
      </c>
      <c r="F1120" s="3" t="s">
        <v>20</v>
      </c>
      <c r="G1120" s="3" t="s">
        <v>21</v>
      </c>
      <c r="H1120" s="3" t="s">
        <v>34</v>
      </c>
      <c r="I1120" s="4" t="n">
        <v>592</v>
      </c>
      <c r="J1120" s="4" t="n">
        <v>0</v>
      </c>
      <c r="K1120" s="4" t="n">
        <v>0</v>
      </c>
      <c r="L1120" s="4" t="n">
        <f aca="false">IF(O1120="Delivered",I1120-J1120+K1120,0)</f>
        <v>592</v>
      </c>
      <c r="M1120" s="0" t="n">
        <v>34</v>
      </c>
      <c r="N1120" s="0" t="n">
        <v>4.7</v>
      </c>
      <c r="O1120" s="3" t="s">
        <v>17</v>
      </c>
    </row>
    <row r="1121" customFormat="false" ht="15" hidden="false" customHeight="false" outlineLevel="0" collapsed="false">
      <c r="A1121" s="0" t="s">
        <v>444</v>
      </c>
      <c r="B1121" s="2" t="n">
        <v>45947</v>
      </c>
      <c r="C1121" s="0" t="str">
        <f aca="false">TEXT(B1121,"mmm")</f>
        <v>Oct</v>
      </c>
      <c r="D1121" s="0" t="str">
        <f aca="false">TEXT(B1121,"ddd")</f>
        <v>Fri</v>
      </c>
      <c r="E1121" s="3" t="s">
        <v>24</v>
      </c>
      <c r="F1121" s="3" t="s">
        <v>20</v>
      </c>
      <c r="G1121" s="3" t="s">
        <v>21</v>
      </c>
      <c r="H1121" s="3" t="s">
        <v>22</v>
      </c>
      <c r="I1121" s="4" t="n">
        <v>444</v>
      </c>
      <c r="J1121" s="4" t="n">
        <v>0</v>
      </c>
      <c r="K1121" s="4" t="n">
        <v>45</v>
      </c>
      <c r="L1121" s="4" t="n">
        <f aca="false">IF(O1121="Delivered",I1121-J1121+K1121,0)</f>
        <v>489</v>
      </c>
      <c r="M1121" s="0" t="n">
        <v>41</v>
      </c>
      <c r="N1121" s="0" t="n">
        <v>4.7</v>
      </c>
      <c r="O1121" s="3" t="s">
        <v>17</v>
      </c>
    </row>
    <row r="1122" customFormat="false" ht="15" hidden="false" customHeight="false" outlineLevel="0" collapsed="false">
      <c r="A1122" s="0" t="s">
        <v>459</v>
      </c>
      <c r="B1122" s="2" t="n">
        <v>45947</v>
      </c>
      <c r="C1122" s="0" t="str">
        <f aca="false">TEXT(B1122,"mmm")</f>
        <v>Oct</v>
      </c>
      <c r="D1122" s="0" t="str">
        <f aca="false">TEXT(B1122,"ddd")</f>
        <v>Fri</v>
      </c>
      <c r="E1122" s="3" t="s">
        <v>24</v>
      </c>
      <c r="F1122" s="3" t="s">
        <v>49</v>
      </c>
      <c r="G1122" s="3" t="s">
        <v>21</v>
      </c>
      <c r="H1122" s="3" t="s">
        <v>54</v>
      </c>
      <c r="I1122" s="4" t="n">
        <v>514</v>
      </c>
      <c r="J1122" s="4" t="n">
        <v>112</v>
      </c>
      <c r="K1122" s="4" t="n">
        <v>0</v>
      </c>
      <c r="L1122" s="4" t="n">
        <f aca="false">IF(O1122="Delivered",I1122-J1122+K1122,0)</f>
        <v>402</v>
      </c>
      <c r="M1122" s="0" t="n">
        <v>33</v>
      </c>
      <c r="N1122" s="0" t="n">
        <v>4.5</v>
      </c>
      <c r="O1122" s="3" t="s">
        <v>17</v>
      </c>
    </row>
    <row r="1123" customFormat="false" ht="15" hidden="false" customHeight="false" outlineLevel="0" collapsed="false">
      <c r="A1123" s="0" t="s">
        <v>681</v>
      </c>
      <c r="B1123" s="2" t="n">
        <v>45947</v>
      </c>
      <c r="C1123" s="0" t="str">
        <f aca="false">TEXT(B1123,"mmm")</f>
        <v>Oct</v>
      </c>
      <c r="D1123" s="0" t="str">
        <f aca="false">TEXT(B1123,"ddd")</f>
        <v>Fri</v>
      </c>
      <c r="E1123" s="3" t="s">
        <v>27</v>
      </c>
      <c r="F1123" s="3" t="s">
        <v>14</v>
      </c>
      <c r="G1123" s="3" t="s">
        <v>21</v>
      </c>
      <c r="H1123" s="3" t="s">
        <v>34</v>
      </c>
      <c r="I1123" s="4" t="n">
        <v>265</v>
      </c>
      <c r="J1123" s="4" t="n">
        <v>0</v>
      </c>
      <c r="K1123" s="4" t="n">
        <v>45</v>
      </c>
      <c r="L1123" s="4" t="n">
        <f aca="false">IF(O1123="Delivered",I1123-J1123+K1123,0)</f>
        <v>310</v>
      </c>
      <c r="M1123" s="0" t="n">
        <v>51</v>
      </c>
      <c r="N1123" s="0" t="n">
        <v>3.4</v>
      </c>
      <c r="O1123" s="3" t="s">
        <v>17</v>
      </c>
    </row>
    <row r="1124" customFormat="false" ht="15" hidden="false" customHeight="false" outlineLevel="0" collapsed="false">
      <c r="A1124" s="0" t="s">
        <v>723</v>
      </c>
      <c r="B1124" s="2" t="n">
        <v>45947</v>
      </c>
      <c r="C1124" s="0" t="str">
        <f aca="false">TEXT(B1124,"mmm")</f>
        <v>Oct</v>
      </c>
      <c r="D1124" s="0" t="str">
        <f aca="false">TEXT(B1124,"ddd")</f>
        <v>Fri</v>
      </c>
      <c r="E1124" s="3" t="s">
        <v>40</v>
      </c>
      <c r="F1124" s="3" t="s">
        <v>31</v>
      </c>
      <c r="G1124" s="3" t="s">
        <v>15</v>
      </c>
      <c r="H1124" s="3" t="s">
        <v>22</v>
      </c>
      <c r="I1124" s="4" t="n">
        <v>479</v>
      </c>
      <c r="J1124" s="4" t="n">
        <v>66</v>
      </c>
      <c r="K1124" s="4" t="n">
        <v>20</v>
      </c>
      <c r="L1124" s="4" t="n">
        <f aca="false">IF(O1124="Delivered",I1124-J1124+K1124,0)</f>
        <v>433</v>
      </c>
      <c r="M1124" s="0" t="n">
        <v>32</v>
      </c>
      <c r="N1124" s="0" t="n">
        <v>5</v>
      </c>
      <c r="O1124" s="3" t="s">
        <v>17</v>
      </c>
    </row>
    <row r="1125" customFormat="false" ht="15" hidden="false" customHeight="false" outlineLevel="0" collapsed="false">
      <c r="A1125" s="0" t="s">
        <v>1243</v>
      </c>
      <c r="B1125" s="2" t="n">
        <v>45947</v>
      </c>
      <c r="C1125" s="0" t="str">
        <f aca="false">TEXT(B1125,"mmm")</f>
        <v>Oct</v>
      </c>
      <c r="D1125" s="0" t="str">
        <f aca="false">TEXT(B1125,"ddd")</f>
        <v>Fri</v>
      </c>
      <c r="E1125" s="3" t="s">
        <v>40</v>
      </c>
      <c r="F1125" s="3" t="s">
        <v>20</v>
      </c>
      <c r="G1125" s="3" t="s">
        <v>15</v>
      </c>
      <c r="H1125" s="3" t="s">
        <v>22</v>
      </c>
      <c r="I1125" s="4" t="n">
        <v>650</v>
      </c>
      <c r="J1125" s="4" t="n">
        <v>0</v>
      </c>
      <c r="K1125" s="4" t="n">
        <v>0</v>
      </c>
      <c r="L1125" s="4" t="n">
        <f aca="false">IF(O1125="Delivered",I1125-J1125+K1125,0)</f>
        <v>650</v>
      </c>
      <c r="M1125" s="0" t="n">
        <v>28</v>
      </c>
      <c r="N1125" s="0" t="n">
        <v>4.9</v>
      </c>
      <c r="O1125" s="3" t="s">
        <v>17</v>
      </c>
    </row>
    <row r="1126" customFormat="false" ht="15" hidden="false" customHeight="false" outlineLevel="0" collapsed="false">
      <c r="A1126" s="0" t="s">
        <v>113</v>
      </c>
      <c r="B1126" s="2" t="n">
        <v>45948</v>
      </c>
      <c r="C1126" s="0" t="str">
        <f aca="false">TEXT(B1126,"mmm")</f>
        <v>Oct</v>
      </c>
      <c r="D1126" s="0" t="str">
        <f aca="false">TEXT(B1126,"ddd")</f>
        <v>Sat</v>
      </c>
      <c r="E1126" s="3" t="s">
        <v>45</v>
      </c>
      <c r="F1126" s="3" t="s">
        <v>14</v>
      </c>
      <c r="G1126" s="3" t="s">
        <v>21</v>
      </c>
      <c r="H1126" s="3" t="s">
        <v>22</v>
      </c>
      <c r="I1126" s="4" t="n">
        <v>421</v>
      </c>
      <c r="J1126" s="4" t="n">
        <v>53</v>
      </c>
      <c r="K1126" s="4" t="n">
        <v>40</v>
      </c>
      <c r="L1126" s="4" t="n">
        <f aca="false">IF(O1126="Delivered",I1126-J1126+K1126,0)</f>
        <v>408</v>
      </c>
      <c r="M1126" s="0" t="n">
        <v>30</v>
      </c>
      <c r="N1126" s="0" t="n">
        <v>4.2</v>
      </c>
      <c r="O1126" s="3" t="s">
        <v>17</v>
      </c>
    </row>
    <row r="1127" customFormat="false" ht="15" hidden="false" customHeight="false" outlineLevel="0" collapsed="false">
      <c r="A1127" s="0" t="s">
        <v>1053</v>
      </c>
      <c r="B1127" s="2" t="n">
        <v>45948</v>
      </c>
      <c r="C1127" s="0" t="str">
        <f aca="false">TEXT(B1127,"mmm")</f>
        <v>Oct</v>
      </c>
      <c r="D1127" s="0" t="str">
        <f aca="false">TEXT(B1127,"ddd")</f>
        <v>Sat</v>
      </c>
      <c r="E1127" s="3" t="s">
        <v>13</v>
      </c>
      <c r="F1127" s="3" t="s">
        <v>56</v>
      </c>
      <c r="G1127" s="3" t="s">
        <v>15</v>
      </c>
      <c r="H1127" s="3" t="s">
        <v>36</v>
      </c>
      <c r="I1127" s="4" t="n">
        <v>316</v>
      </c>
      <c r="J1127" s="4" t="n">
        <v>33</v>
      </c>
      <c r="K1127" s="4" t="n">
        <v>30</v>
      </c>
      <c r="L1127" s="4" t="n">
        <f aca="false">IF(O1127="Delivered",I1127-J1127+K1127,0)</f>
        <v>313</v>
      </c>
      <c r="M1127" s="0" t="n">
        <v>43</v>
      </c>
      <c r="N1127" s="0" t="n">
        <v>3.7</v>
      </c>
      <c r="O1127" s="3" t="s">
        <v>17</v>
      </c>
    </row>
    <row r="1128" customFormat="false" ht="15" hidden="false" customHeight="false" outlineLevel="0" collapsed="false">
      <c r="A1128" s="0" t="s">
        <v>1242</v>
      </c>
      <c r="B1128" s="2" t="n">
        <v>45948</v>
      </c>
      <c r="C1128" s="0" t="str">
        <f aca="false">TEXT(B1128,"mmm")</f>
        <v>Oct</v>
      </c>
      <c r="D1128" s="0" t="str">
        <f aca="false">TEXT(B1128,"ddd")</f>
        <v>Sat</v>
      </c>
      <c r="E1128" s="3" t="s">
        <v>24</v>
      </c>
      <c r="F1128" s="3" t="s">
        <v>20</v>
      </c>
      <c r="G1128" s="3" t="s">
        <v>21</v>
      </c>
      <c r="H1128" s="3" t="s">
        <v>36</v>
      </c>
      <c r="I1128" s="4" t="n">
        <v>617</v>
      </c>
      <c r="J1128" s="4" t="n">
        <v>0</v>
      </c>
      <c r="K1128" s="4" t="n">
        <v>0</v>
      </c>
      <c r="L1128" s="4" t="n">
        <f aca="false">IF(O1128="Delivered",I1128-J1128+K1128,0)</f>
        <v>617</v>
      </c>
      <c r="M1128" s="0" t="n">
        <v>27</v>
      </c>
      <c r="N1128" s="0" t="n">
        <v>3.5</v>
      </c>
      <c r="O1128" s="3" t="s">
        <v>17</v>
      </c>
    </row>
    <row r="1129" customFormat="false" ht="15" hidden="false" customHeight="false" outlineLevel="0" collapsed="false">
      <c r="A1129" s="0" t="s">
        <v>222</v>
      </c>
      <c r="B1129" s="2" t="n">
        <v>45949</v>
      </c>
      <c r="C1129" s="0" t="str">
        <f aca="false">TEXT(B1129,"mmm")</f>
        <v>Oct</v>
      </c>
      <c r="D1129" s="0" t="str">
        <f aca="false">TEXT(B1129,"ddd")</f>
        <v>Sun</v>
      </c>
      <c r="E1129" s="3" t="s">
        <v>40</v>
      </c>
      <c r="F1129" s="3" t="s">
        <v>25</v>
      </c>
      <c r="G1129" s="3" t="s">
        <v>15</v>
      </c>
      <c r="H1129" s="3" t="s">
        <v>54</v>
      </c>
      <c r="I1129" s="4" t="n">
        <v>392</v>
      </c>
      <c r="J1129" s="4" t="n">
        <v>0</v>
      </c>
      <c r="K1129" s="4" t="n">
        <v>20</v>
      </c>
      <c r="L1129" s="4" t="n">
        <f aca="false">IF(O1129="Delivered",I1129-J1129+K1129,0)</f>
        <v>412</v>
      </c>
      <c r="M1129" s="0" t="n">
        <v>33</v>
      </c>
      <c r="N1129" s="0" t="n">
        <v>4.1</v>
      </c>
      <c r="O1129" s="3" t="s">
        <v>17</v>
      </c>
    </row>
    <row r="1130" customFormat="false" ht="15" hidden="false" customHeight="false" outlineLevel="0" collapsed="false">
      <c r="A1130" s="0" t="s">
        <v>690</v>
      </c>
      <c r="B1130" s="2" t="n">
        <v>45949</v>
      </c>
      <c r="C1130" s="0" t="str">
        <f aca="false">TEXT(B1130,"mmm")</f>
        <v>Oct</v>
      </c>
      <c r="D1130" s="0" t="str">
        <f aca="false">TEXT(B1130,"ddd")</f>
        <v>Sun</v>
      </c>
      <c r="E1130" s="3" t="s">
        <v>45</v>
      </c>
      <c r="F1130" s="3" t="s">
        <v>56</v>
      </c>
      <c r="G1130" s="3" t="s">
        <v>21</v>
      </c>
      <c r="H1130" s="3" t="s">
        <v>1690</v>
      </c>
      <c r="I1130" s="4" t="n">
        <v>249</v>
      </c>
      <c r="J1130" s="4" t="n">
        <v>0</v>
      </c>
      <c r="K1130" s="4" t="n">
        <v>45</v>
      </c>
      <c r="L1130" s="4" t="n">
        <f aca="false">IF(O1130="Delivered",I1130-J1130+K1130,0)</f>
        <v>294</v>
      </c>
      <c r="M1130" s="0" t="n">
        <v>39</v>
      </c>
      <c r="N1130" s="0" t="n">
        <v>4.5</v>
      </c>
      <c r="O1130" s="3" t="s">
        <v>17</v>
      </c>
    </row>
    <row r="1131" customFormat="false" ht="15" hidden="false" customHeight="false" outlineLevel="0" collapsed="false">
      <c r="A1131" s="0" t="s">
        <v>1643</v>
      </c>
      <c r="B1131" s="2" t="n">
        <v>45949</v>
      </c>
      <c r="C1131" s="0" t="str">
        <f aca="false">TEXT(B1131,"mmm")</f>
        <v>Oct</v>
      </c>
      <c r="D1131" s="0" t="str">
        <f aca="false">TEXT(B1131,"ddd")</f>
        <v>Sun</v>
      </c>
      <c r="E1131" s="3" t="s">
        <v>30</v>
      </c>
      <c r="F1131" s="3" t="s">
        <v>56</v>
      </c>
      <c r="G1131" s="3" t="s">
        <v>15</v>
      </c>
      <c r="H1131" s="3" t="s">
        <v>16</v>
      </c>
      <c r="I1131" s="4" t="n">
        <v>311</v>
      </c>
      <c r="J1131" s="4" t="n">
        <v>0</v>
      </c>
      <c r="K1131" s="4" t="n">
        <v>30</v>
      </c>
      <c r="L1131" s="4" t="n">
        <f aca="false">IF(O1131="Delivered",I1131-J1131+K1131,0)</f>
        <v>341</v>
      </c>
      <c r="M1131" s="0" t="n">
        <v>43</v>
      </c>
      <c r="N1131" s="0" t="n">
        <v>3.9</v>
      </c>
      <c r="O1131" s="3" t="s">
        <v>17</v>
      </c>
    </row>
    <row r="1132" customFormat="false" ht="15" hidden="false" customHeight="false" outlineLevel="0" collapsed="false">
      <c r="A1132" s="0" t="s">
        <v>251</v>
      </c>
      <c r="B1132" s="2" t="n">
        <v>45950</v>
      </c>
      <c r="C1132" s="0" t="str">
        <f aca="false">TEXT(B1132,"mmm")</f>
        <v>Oct</v>
      </c>
      <c r="D1132" s="0" t="str">
        <f aca="false">TEXT(B1132,"ddd")</f>
        <v>Mon</v>
      </c>
      <c r="E1132" s="3" t="s">
        <v>40</v>
      </c>
      <c r="F1132" s="3" t="s">
        <v>31</v>
      </c>
      <c r="G1132" s="3" t="s">
        <v>21</v>
      </c>
      <c r="H1132" s="3" t="s">
        <v>22</v>
      </c>
      <c r="I1132" s="4" t="n">
        <v>397</v>
      </c>
      <c r="J1132" s="4" t="n">
        <v>0</v>
      </c>
      <c r="K1132" s="4" t="n">
        <v>40</v>
      </c>
      <c r="L1132" s="4" t="n">
        <f aca="false">IF(O1132="Delivered",I1132-J1132+K1132,0)</f>
        <v>437</v>
      </c>
      <c r="M1132" s="0" t="n">
        <v>31</v>
      </c>
      <c r="N1132" s="0" t="n">
        <v>5</v>
      </c>
      <c r="O1132" s="3" t="s">
        <v>17</v>
      </c>
    </row>
    <row r="1133" customFormat="false" ht="15" hidden="false" customHeight="false" outlineLevel="0" collapsed="false">
      <c r="A1133" s="0" t="s">
        <v>526</v>
      </c>
      <c r="B1133" s="2" t="n">
        <v>45950</v>
      </c>
      <c r="C1133" s="0" t="str">
        <f aca="false">TEXT(B1133,"mmm")</f>
        <v>Oct</v>
      </c>
      <c r="D1133" s="0" t="str">
        <f aca="false">TEXT(B1133,"ddd")</f>
        <v>Mon</v>
      </c>
      <c r="E1133" s="3" t="s">
        <v>27</v>
      </c>
      <c r="F1133" s="3" t="s">
        <v>20</v>
      </c>
      <c r="G1133" s="3" t="s">
        <v>21</v>
      </c>
      <c r="H1133" s="3" t="s">
        <v>16</v>
      </c>
      <c r="I1133" s="4" t="n">
        <v>445</v>
      </c>
      <c r="J1133" s="4" t="n">
        <v>0</v>
      </c>
      <c r="K1133" s="4" t="n">
        <v>40</v>
      </c>
      <c r="L1133" s="4" t="n">
        <f aca="false">IF(O1133="Delivered",I1133-J1133+K1133,0)</f>
        <v>485</v>
      </c>
      <c r="M1133" s="0" t="n">
        <v>25</v>
      </c>
      <c r="N1133" s="0" t="n">
        <v>4</v>
      </c>
      <c r="O1133" s="3" t="s">
        <v>17</v>
      </c>
    </row>
    <row r="1134" customFormat="false" ht="15" hidden="false" customHeight="false" outlineLevel="0" collapsed="false">
      <c r="A1134" s="0" t="s">
        <v>637</v>
      </c>
      <c r="B1134" s="2" t="n">
        <v>45950</v>
      </c>
      <c r="C1134" s="0" t="str">
        <f aca="false">TEXT(B1134,"mmm")</f>
        <v>Oct</v>
      </c>
      <c r="D1134" s="0" t="str">
        <f aca="false">TEXT(B1134,"ddd")</f>
        <v>Mon</v>
      </c>
      <c r="E1134" s="3" t="s">
        <v>27</v>
      </c>
      <c r="F1134" s="3" t="s">
        <v>14</v>
      </c>
      <c r="G1134" s="3" t="s">
        <v>21</v>
      </c>
      <c r="H1134" s="3" t="s">
        <v>16</v>
      </c>
      <c r="I1134" s="4" t="n">
        <v>341</v>
      </c>
      <c r="J1134" s="4" t="n">
        <v>53</v>
      </c>
      <c r="K1134" s="4" t="n">
        <v>45</v>
      </c>
      <c r="L1134" s="4" t="n">
        <f aca="false">IF(O1134="Delivered",I1134-J1134+K1134,0)</f>
        <v>0</v>
      </c>
      <c r="O1134" s="3" t="s">
        <v>68</v>
      </c>
    </row>
    <row r="1135" customFormat="false" ht="15" hidden="false" customHeight="false" outlineLevel="0" collapsed="false">
      <c r="A1135" s="0" t="s">
        <v>912</v>
      </c>
      <c r="B1135" s="2" t="n">
        <v>45950</v>
      </c>
      <c r="C1135" s="0" t="str">
        <f aca="false">TEXT(B1135,"mmm")</f>
        <v>Oct</v>
      </c>
      <c r="D1135" s="0" t="str">
        <f aca="false">TEXT(B1135,"ddd")</f>
        <v>Mon</v>
      </c>
      <c r="E1135" s="3" t="s">
        <v>45</v>
      </c>
      <c r="F1135" s="3" t="s">
        <v>28</v>
      </c>
      <c r="G1135" s="3" t="s">
        <v>15</v>
      </c>
      <c r="H1135" s="3" t="s">
        <v>22</v>
      </c>
      <c r="I1135" s="4" t="n">
        <v>438</v>
      </c>
      <c r="J1135" s="4" t="n">
        <v>66</v>
      </c>
      <c r="K1135" s="4" t="n">
        <v>40</v>
      </c>
      <c r="L1135" s="4" t="n">
        <f aca="false">IF(O1135="Delivered",I1135-J1135+K1135,0)</f>
        <v>412</v>
      </c>
      <c r="M1135" s="0" t="n">
        <v>27</v>
      </c>
      <c r="O1135" s="3" t="s">
        <v>17</v>
      </c>
    </row>
    <row r="1136" customFormat="false" ht="15" hidden="false" customHeight="false" outlineLevel="0" collapsed="false">
      <c r="A1136" s="0" t="s">
        <v>1079</v>
      </c>
      <c r="B1136" s="2" t="n">
        <v>45950</v>
      </c>
      <c r="C1136" s="0" t="str">
        <f aca="false">TEXT(B1136,"mmm")</f>
        <v>Oct</v>
      </c>
      <c r="D1136" s="0" t="str">
        <f aca="false">TEXT(B1136,"ddd")</f>
        <v>Mon</v>
      </c>
      <c r="E1136" s="3" t="s">
        <v>13</v>
      </c>
      <c r="F1136" s="3" t="s">
        <v>56</v>
      </c>
      <c r="G1136" s="3" t="s">
        <v>21</v>
      </c>
      <c r="H1136" s="3" t="s">
        <v>34</v>
      </c>
      <c r="I1136" s="4" t="n">
        <v>413</v>
      </c>
      <c r="J1136" s="4" t="n">
        <v>0</v>
      </c>
      <c r="K1136" s="4" t="n">
        <v>40</v>
      </c>
      <c r="L1136" s="4" t="n">
        <f aca="false">IF(O1136="Delivered",I1136-J1136+K1136,0)</f>
        <v>453</v>
      </c>
      <c r="M1136" s="0" t="n">
        <v>33</v>
      </c>
      <c r="N1136" s="0" t="n">
        <v>3.6</v>
      </c>
      <c r="O1136" s="3" t="s">
        <v>17</v>
      </c>
    </row>
    <row r="1137" customFormat="false" ht="15" hidden="false" customHeight="false" outlineLevel="0" collapsed="false">
      <c r="A1137" s="0" t="s">
        <v>12</v>
      </c>
      <c r="B1137" s="2" t="n">
        <v>45951</v>
      </c>
      <c r="C1137" s="0" t="str">
        <f aca="false">TEXT(B1137,"mmm")</f>
        <v>Oct</v>
      </c>
      <c r="D1137" s="0" t="str">
        <f aca="false">TEXT(B1137,"ddd")</f>
        <v>Tue</v>
      </c>
      <c r="E1137" s="3" t="s">
        <v>13</v>
      </c>
      <c r="F1137" s="3" t="s">
        <v>14</v>
      </c>
      <c r="G1137" s="3" t="s">
        <v>15</v>
      </c>
      <c r="H1137" s="3" t="s">
        <v>16</v>
      </c>
      <c r="I1137" s="4" t="n">
        <v>309</v>
      </c>
      <c r="J1137" s="4" t="n">
        <v>0</v>
      </c>
      <c r="K1137" s="4" t="n">
        <v>30</v>
      </c>
      <c r="L1137" s="4" t="n">
        <f aca="false">IF(O1137="Delivered",I1137-J1137+K1137,0)</f>
        <v>339</v>
      </c>
      <c r="M1137" s="0" t="n">
        <v>28</v>
      </c>
      <c r="N1137" s="0" t="n">
        <v>3.5</v>
      </c>
      <c r="O1137" s="3" t="s">
        <v>17</v>
      </c>
    </row>
    <row r="1138" customFormat="false" ht="15" hidden="false" customHeight="false" outlineLevel="0" collapsed="false">
      <c r="A1138" s="0" t="s">
        <v>454</v>
      </c>
      <c r="B1138" s="2" t="n">
        <v>45951</v>
      </c>
      <c r="C1138" s="0" t="str">
        <f aca="false">TEXT(B1138,"mmm")</f>
        <v>Oct</v>
      </c>
      <c r="D1138" s="0" t="str">
        <f aca="false">TEXT(B1138,"ddd")</f>
        <v>Tue</v>
      </c>
      <c r="E1138" s="3" t="s">
        <v>51</v>
      </c>
      <c r="F1138" s="3" t="s">
        <v>28</v>
      </c>
      <c r="G1138" s="3" t="s">
        <v>15</v>
      </c>
      <c r="H1138" s="3" t="s">
        <v>16</v>
      </c>
      <c r="I1138" s="4" t="n">
        <v>559</v>
      </c>
      <c r="J1138" s="4" t="n">
        <v>0</v>
      </c>
      <c r="K1138" s="4" t="n">
        <v>0</v>
      </c>
      <c r="L1138" s="4" t="n">
        <f aca="false">IF(O1138="Delivered",I1138-J1138+K1138,0)</f>
        <v>559</v>
      </c>
      <c r="M1138" s="0" t="n">
        <v>38</v>
      </c>
      <c r="N1138" s="0" t="n">
        <v>4.3</v>
      </c>
      <c r="O1138" s="3" t="s">
        <v>17</v>
      </c>
    </row>
    <row r="1139" customFormat="false" ht="15" hidden="false" customHeight="false" outlineLevel="0" collapsed="false">
      <c r="A1139" s="0" t="s">
        <v>760</v>
      </c>
      <c r="B1139" s="2" t="n">
        <v>45951</v>
      </c>
      <c r="C1139" s="0" t="str">
        <f aca="false">TEXT(B1139,"mmm")</f>
        <v>Oct</v>
      </c>
      <c r="D1139" s="0" t="str">
        <f aca="false">TEXT(B1139,"ddd")</f>
        <v>Tue</v>
      </c>
      <c r="E1139" s="3" t="s">
        <v>30</v>
      </c>
      <c r="F1139" s="3" t="s">
        <v>14</v>
      </c>
      <c r="G1139" s="3" t="s">
        <v>15</v>
      </c>
      <c r="H1139" s="3" t="s">
        <v>36</v>
      </c>
      <c r="I1139" s="4" t="n">
        <v>382</v>
      </c>
      <c r="J1139" s="4" t="n">
        <v>84</v>
      </c>
      <c r="K1139" s="4" t="n">
        <v>20</v>
      </c>
      <c r="L1139" s="4" t="n">
        <f aca="false">IF(O1139="Delivered",I1139-J1139+K1139,0)</f>
        <v>318</v>
      </c>
      <c r="M1139" s="0" t="n">
        <v>34</v>
      </c>
      <c r="N1139" s="0" t="n">
        <v>4.6</v>
      </c>
      <c r="O1139" s="3" t="s">
        <v>17</v>
      </c>
    </row>
    <row r="1140" customFormat="false" ht="15" hidden="false" customHeight="false" outlineLevel="0" collapsed="false">
      <c r="A1140" s="0" t="s">
        <v>1261</v>
      </c>
      <c r="B1140" s="2" t="n">
        <v>45951</v>
      </c>
      <c r="C1140" s="0" t="str">
        <f aca="false">TEXT(B1140,"mmm")</f>
        <v>Oct</v>
      </c>
      <c r="D1140" s="0" t="str">
        <f aca="false">TEXT(B1140,"ddd")</f>
        <v>Tue</v>
      </c>
      <c r="E1140" s="3" t="s">
        <v>40</v>
      </c>
      <c r="F1140" s="3" t="s">
        <v>31</v>
      </c>
      <c r="G1140" s="3" t="s">
        <v>21</v>
      </c>
      <c r="H1140" s="3" t="s">
        <v>22</v>
      </c>
      <c r="I1140" s="4" t="n">
        <v>366</v>
      </c>
      <c r="J1140" s="4" t="n">
        <v>60</v>
      </c>
      <c r="K1140" s="4" t="n">
        <v>45</v>
      </c>
      <c r="L1140" s="4" t="n">
        <f aca="false">IF(O1140="Delivered",I1140-J1140+K1140,0)</f>
        <v>351</v>
      </c>
      <c r="M1140" s="0" t="n">
        <v>36</v>
      </c>
      <c r="N1140" s="0" t="n">
        <v>4.1</v>
      </c>
      <c r="O1140" s="3" t="s">
        <v>17</v>
      </c>
    </row>
    <row r="1141" customFormat="false" ht="15" hidden="false" customHeight="false" outlineLevel="0" collapsed="false">
      <c r="A1141" s="0" t="s">
        <v>1319</v>
      </c>
      <c r="B1141" s="2" t="n">
        <v>45951</v>
      </c>
      <c r="C1141" s="0" t="str">
        <f aca="false">TEXT(B1141,"mmm")</f>
        <v>Oct</v>
      </c>
      <c r="D1141" s="0" t="str">
        <f aca="false">TEXT(B1141,"ddd")</f>
        <v>Tue</v>
      </c>
      <c r="E1141" s="3" t="s">
        <v>24</v>
      </c>
      <c r="F1141" s="3" t="s">
        <v>25</v>
      </c>
      <c r="G1141" s="3" t="s">
        <v>21</v>
      </c>
      <c r="H1141" s="3" t="s">
        <v>22</v>
      </c>
      <c r="I1141" s="4" t="n">
        <v>620</v>
      </c>
      <c r="J1141" s="4" t="n">
        <v>0</v>
      </c>
      <c r="K1141" s="4" t="n">
        <v>0</v>
      </c>
      <c r="L1141" s="4" t="n">
        <f aca="false">IF(O1141="Delivered",I1141-J1141+K1141,0)</f>
        <v>620</v>
      </c>
      <c r="M1141" s="0" t="n">
        <v>46</v>
      </c>
      <c r="N1141" s="0" t="n">
        <v>4.2</v>
      </c>
      <c r="O1141" s="3" t="s">
        <v>17</v>
      </c>
    </row>
    <row r="1142" customFormat="false" ht="15" hidden="false" customHeight="false" outlineLevel="0" collapsed="false">
      <c r="A1142" s="0" t="s">
        <v>1503</v>
      </c>
      <c r="B1142" s="2" t="n">
        <v>45951</v>
      </c>
      <c r="C1142" s="0" t="str">
        <f aca="false">TEXT(B1142,"mmm")</f>
        <v>Oct</v>
      </c>
      <c r="D1142" s="0" t="str">
        <f aca="false">TEXT(B1142,"ddd")</f>
        <v>Tue</v>
      </c>
      <c r="E1142" s="3" t="s">
        <v>24</v>
      </c>
      <c r="F1142" s="3" t="s">
        <v>31</v>
      </c>
      <c r="G1142" s="3" t="s">
        <v>21</v>
      </c>
      <c r="H1142" s="3" t="s">
        <v>22</v>
      </c>
      <c r="I1142" s="4" t="n">
        <v>425</v>
      </c>
      <c r="J1142" s="4" t="n">
        <v>0</v>
      </c>
      <c r="K1142" s="4" t="n">
        <v>45</v>
      </c>
      <c r="L1142" s="4" t="n">
        <f aca="false">IF(O1142="Delivered",I1142-J1142+K1142,0)</f>
        <v>470</v>
      </c>
      <c r="M1142" s="0" t="n">
        <v>36</v>
      </c>
      <c r="N1142" s="0" t="n">
        <v>3.3</v>
      </c>
      <c r="O1142" s="3" t="s">
        <v>17</v>
      </c>
    </row>
    <row r="1143" customFormat="false" ht="15" hidden="false" customHeight="false" outlineLevel="0" collapsed="false">
      <c r="A1143" s="0" t="s">
        <v>62</v>
      </c>
      <c r="B1143" s="2" t="n">
        <v>45952</v>
      </c>
      <c r="C1143" s="0" t="str">
        <f aca="false">TEXT(B1143,"mmm")</f>
        <v>Oct</v>
      </c>
      <c r="D1143" s="0" t="str">
        <f aca="false">TEXT(B1143,"ddd")</f>
        <v>Wed</v>
      </c>
      <c r="E1143" s="3" t="s">
        <v>13</v>
      </c>
      <c r="F1143" s="3" t="s">
        <v>25</v>
      </c>
      <c r="G1143" s="3" t="s">
        <v>21</v>
      </c>
      <c r="H1143" s="3" t="s">
        <v>36</v>
      </c>
      <c r="I1143" s="4" t="n">
        <v>411</v>
      </c>
      <c r="J1143" s="4" t="n">
        <v>0</v>
      </c>
      <c r="K1143" s="4" t="n">
        <v>45</v>
      </c>
      <c r="L1143" s="4" t="n">
        <f aca="false">IF(O1143="Delivered",I1143-J1143+K1143,0)</f>
        <v>456</v>
      </c>
      <c r="M1143" s="0" t="n">
        <v>32</v>
      </c>
      <c r="N1143" s="0" t="n">
        <v>4.3</v>
      </c>
      <c r="O1143" s="3" t="s">
        <v>17</v>
      </c>
    </row>
    <row r="1144" customFormat="false" ht="15" hidden="false" customHeight="false" outlineLevel="0" collapsed="false">
      <c r="A1144" s="0" t="s">
        <v>157</v>
      </c>
      <c r="B1144" s="2" t="n">
        <v>45952</v>
      </c>
      <c r="C1144" s="0" t="str">
        <f aca="false">TEXT(B1144,"mmm")</f>
        <v>Oct</v>
      </c>
      <c r="D1144" s="0" t="str">
        <f aca="false">TEXT(B1144,"ddd")</f>
        <v>Wed</v>
      </c>
      <c r="E1144" s="3" t="s">
        <v>24</v>
      </c>
      <c r="F1144" s="3" t="s">
        <v>20</v>
      </c>
      <c r="G1144" s="3" t="s">
        <v>21</v>
      </c>
      <c r="H1144" s="3" t="s">
        <v>16</v>
      </c>
      <c r="I1144" s="4" t="n">
        <v>793</v>
      </c>
      <c r="J1144" s="4" t="n">
        <v>134</v>
      </c>
      <c r="K1144" s="4" t="n">
        <v>0</v>
      </c>
      <c r="L1144" s="4" t="n">
        <f aca="false">IF(O1144="Delivered",I1144-J1144+K1144,0)</f>
        <v>659</v>
      </c>
      <c r="M1144" s="0" t="n">
        <v>35</v>
      </c>
      <c r="N1144" s="0" t="n">
        <v>5</v>
      </c>
      <c r="O1144" s="3" t="s">
        <v>17</v>
      </c>
    </row>
    <row r="1145" customFormat="false" ht="15" hidden="false" customHeight="false" outlineLevel="0" collapsed="false">
      <c r="A1145" s="0" t="s">
        <v>268</v>
      </c>
      <c r="B1145" s="2" t="n">
        <v>45952</v>
      </c>
      <c r="C1145" s="0" t="str">
        <f aca="false">TEXT(B1145,"mmm")</f>
        <v>Oct</v>
      </c>
      <c r="D1145" s="0" t="str">
        <f aca="false">TEXT(B1145,"ddd")</f>
        <v>Wed</v>
      </c>
      <c r="E1145" s="3" t="s">
        <v>51</v>
      </c>
      <c r="F1145" s="3" t="s">
        <v>28</v>
      </c>
      <c r="G1145" s="3" t="s">
        <v>21</v>
      </c>
      <c r="H1145" s="3" t="s">
        <v>16</v>
      </c>
      <c r="I1145" s="4" t="n">
        <v>385</v>
      </c>
      <c r="J1145" s="4" t="n">
        <v>87</v>
      </c>
      <c r="K1145" s="4" t="n">
        <v>40</v>
      </c>
      <c r="L1145" s="4" t="n">
        <f aca="false">IF(O1145="Delivered",I1145-J1145+K1145,0)</f>
        <v>338</v>
      </c>
      <c r="M1145" s="0" t="n">
        <v>36</v>
      </c>
      <c r="N1145" s="0" t="n">
        <v>3.6</v>
      </c>
      <c r="O1145" s="3" t="s">
        <v>17</v>
      </c>
    </row>
    <row r="1146" customFormat="false" ht="15" hidden="false" customHeight="false" outlineLevel="0" collapsed="false">
      <c r="A1146" s="0" t="s">
        <v>379</v>
      </c>
      <c r="B1146" s="2" t="n">
        <v>45952</v>
      </c>
      <c r="C1146" s="0" t="str">
        <f aca="false">TEXT(B1146,"mmm")</f>
        <v>Oct</v>
      </c>
      <c r="D1146" s="0" t="str">
        <f aca="false">TEXT(B1146,"ddd")</f>
        <v>Wed</v>
      </c>
      <c r="E1146" s="3" t="s">
        <v>27</v>
      </c>
      <c r="F1146" s="3" t="s">
        <v>49</v>
      </c>
      <c r="G1146" s="3" t="s">
        <v>21</v>
      </c>
      <c r="H1146" s="3" t="s">
        <v>22</v>
      </c>
      <c r="I1146" s="4" t="n">
        <v>616</v>
      </c>
      <c r="J1146" s="4" t="n">
        <v>74</v>
      </c>
      <c r="K1146" s="4" t="n">
        <v>0</v>
      </c>
      <c r="L1146" s="4" t="n">
        <f aca="false">IF(O1146="Delivered",I1146-J1146+K1146,0)</f>
        <v>542</v>
      </c>
      <c r="M1146" s="0" t="n">
        <v>41</v>
      </c>
      <c r="N1146" s="0" t="n">
        <v>4.4</v>
      </c>
      <c r="O1146" s="3" t="s">
        <v>17</v>
      </c>
    </row>
    <row r="1147" customFormat="false" ht="15" hidden="false" customHeight="false" outlineLevel="0" collapsed="false">
      <c r="A1147" s="0" t="s">
        <v>511</v>
      </c>
      <c r="B1147" s="2" t="n">
        <v>45952</v>
      </c>
      <c r="C1147" s="0" t="str">
        <f aca="false">TEXT(B1147,"mmm")</f>
        <v>Oct</v>
      </c>
      <c r="D1147" s="0" t="str">
        <f aca="false">TEXT(B1147,"ddd")</f>
        <v>Wed</v>
      </c>
      <c r="E1147" s="3" t="s">
        <v>13</v>
      </c>
      <c r="F1147" s="3" t="s">
        <v>28</v>
      </c>
      <c r="G1147" s="3" t="s">
        <v>21</v>
      </c>
      <c r="H1147" s="3" t="s">
        <v>22</v>
      </c>
      <c r="I1147" s="4" t="n">
        <v>365</v>
      </c>
      <c r="J1147" s="4" t="n">
        <v>0</v>
      </c>
      <c r="K1147" s="4" t="n">
        <v>45</v>
      </c>
      <c r="L1147" s="4" t="n">
        <f aca="false">IF(O1147="Delivered",I1147-J1147+K1147,0)</f>
        <v>410</v>
      </c>
      <c r="M1147" s="0" t="n">
        <v>36</v>
      </c>
      <c r="N1147" s="0" t="n">
        <v>4.4</v>
      </c>
      <c r="O1147" s="3" t="s">
        <v>17</v>
      </c>
    </row>
    <row r="1148" customFormat="false" ht="15" hidden="false" customHeight="false" outlineLevel="0" collapsed="false">
      <c r="A1148" s="0" t="s">
        <v>742</v>
      </c>
      <c r="B1148" s="2" t="n">
        <v>45952</v>
      </c>
      <c r="C1148" s="0" t="str">
        <f aca="false">TEXT(B1148,"mmm")</f>
        <v>Oct</v>
      </c>
      <c r="D1148" s="0" t="str">
        <f aca="false">TEXT(B1148,"ddd")</f>
        <v>Wed</v>
      </c>
      <c r="E1148" s="3" t="s">
        <v>24</v>
      </c>
      <c r="F1148" s="3" t="s">
        <v>20</v>
      </c>
      <c r="G1148" s="3" t="s">
        <v>21</v>
      </c>
      <c r="H1148" s="3" t="s">
        <v>36</v>
      </c>
      <c r="I1148" s="4" t="n">
        <v>367</v>
      </c>
      <c r="J1148" s="4" t="n">
        <v>39</v>
      </c>
      <c r="K1148" s="4" t="n">
        <v>30</v>
      </c>
      <c r="L1148" s="4" t="n">
        <f aca="false">IF(O1148="Delivered",I1148-J1148+K1148,0)</f>
        <v>358</v>
      </c>
      <c r="M1148" s="0" t="n">
        <v>21</v>
      </c>
      <c r="N1148" s="0" t="n">
        <v>4.2</v>
      </c>
      <c r="O1148" s="3" t="s">
        <v>17</v>
      </c>
    </row>
    <row r="1149" customFormat="false" ht="15" hidden="false" customHeight="false" outlineLevel="0" collapsed="false">
      <c r="A1149" s="0" t="s">
        <v>1104</v>
      </c>
      <c r="B1149" s="2" t="n">
        <v>45952</v>
      </c>
      <c r="C1149" s="0" t="str">
        <f aca="false">TEXT(B1149,"mmm")</f>
        <v>Oct</v>
      </c>
      <c r="D1149" s="0" t="str">
        <f aca="false">TEXT(B1149,"ddd")</f>
        <v>Wed</v>
      </c>
      <c r="E1149" s="3" t="s">
        <v>27</v>
      </c>
      <c r="F1149" s="3" t="s">
        <v>78</v>
      </c>
      <c r="G1149" s="3" t="s">
        <v>15</v>
      </c>
      <c r="H1149" s="3" t="s">
        <v>22</v>
      </c>
      <c r="I1149" s="4" t="n">
        <v>406</v>
      </c>
      <c r="J1149" s="4" t="n">
        <v>0</v>
      </c>
      <c r="K1149" s="4" t="n">
        <v>20</v>
      </c>
      <c r="L1149" s="4" t="n">
        <f aca="false">IF(O1149="Delivered",I1149-J1149+K1149,0)</f>
        <v>426</v>
      </c>
      <c r="M1149" s="0" t="n">
        <v>35</v>
      </c>
      <c r="N1149" s="0" t="n">
        <v>4.3</v>
      </c>
      <c r="O1149" s="3" t="s">
        <v>17</v>
      </c>
    </row>
    <row r="1150" customFormat="false" ht="15" hidden="false" customHeight="false" outlineLevel="0" collapsed="false">
      <c r="A1150" s="0" t="s">
        <v>1200</v>
      </c>
      <c r="B1150" s="2" t="n">
        <v>45952</v>
      </c>
      <c r="C1150" s="0" t="str">
        <f aca="false">TEXT(B1150,"mmm")</f>
        <v>Oct</v>
      </c>
      <c r="D1150" s="0" t="str">
        <f aca="false">TEXT(B1150,"ddd")</f>
        <v>Wed</v>
      </c>
      <c r="E1150" s="3" t="s">
        <v>40</v>
      </c>
      <c r="F1150" s="3" t="s">
        <v>25</v>
      </c>
      <c r="G1150" s="3" t="s">
        <v>21</v>
      </c>
      <c r="H1150" s="3" t="s">
        <v>22</v>
      </c>
      <c r="I1150" s="4" t="n">
        <v>358</v>
      </c>
      <c r="J1150" s="4" t="n">
        <v>0</v>
      </c>
      <c r="K1150" s="4" t="n">
        <v>20</v>
      </c>
      <c r="L1150" s="4" t="n">
        <f aca="false">IF(O1150="Delivered",I1150-J1150+K1150,0)</f>
        <v>378</v>
      </c>
      <c r="M1150" s="0" t="n">
        <v>47</v>
      </c>
      <c r="N1150" s="0" t="n">
        <v>4.5</v>
      </c>
      <c r="O1150" s="3" t="s">
        <v>17</v>
      </c>
    </row>
    <row r="1151" customFormat="false" ht="15" hidden="false" customHeight="false" outlineLevel="0" collapsed="false">
      <c r="A1151" s="0" t="s">
        <v>102</v>
      </c>
      <c r="B1151" s="2" t="n">
        <v>45953</v>
      </c>
      <c r="C1151" s="0" t="str">
        <f aca="false">TEXT(B1151,"mmm")</f>
        <v>Oct</v>
      </c>
      <c r="D1151" s="0" t="str">
        <f aca="false">TEXT(B1151,"ddd")</f>
        <v>Thu</v>
      </c>
      <c r="E1151" s="3" t="s">
        <v>30</v>
      </c>
      <c r="F1151" s="3" t="s">
        <v>56</v>
      </c>
      <c r="G1151" s="3" t="s">
        <v>21</v>
      </c>
      <c r="H1151" s="3" t="s">
        <v>22</v>
      </c>
      <c r="I1151" s="4" t="n">
        <v>388</v>
      </c>
      <c r="J1151" s="4" t="n">
        <v>0</v>
      </c>
      <c r="K1151" s="4" t="n">
        <v>20</v>
      </c>
      <c r="L1151" s="4" t="n">
        <f aca="false">IF(O1151="Delivered",I1151-J1151+K1151,0)</f>
        <v>408</v>
      </c>
      <c r="M1151" s="0" t="n">
        <v>25</v>
      </c>
      <c r="N1151" s="0" t="n">
        <v>5</v>
      </c>
      <c r="O1151" s="3" t="s">
        <v>17</v>
      </c>
    </row>
    <row r="1152" customFormat="false" ht="15" hidden="false" customHeight="false" outlineLevel="0" collapsed="false">
      <c r="A1152" s="0" t="s">
        <v>377</v>
      </c>
      <c r="B1152" s="2" t="n">
        <v>45953</v>
      </c>
      <c r="C1152" s="0" t="str">
        <f aca="false">TEXT(B1152,"mmm")</f>
        <v>Oct</v>
      </c>
      <c r="D1152" s="0" t="str">
        <f aca="false">TEXT(B1152,"ddd")</f>
        <v>Thu</v>
      </c>
      <c r="E1152" s="3" t="s">
        <v>27</v>
      </c>
      <c r="F1152" s="3" t="s">
        <v>56</v>
      </c>
      <c r="G1152" s="3" t="s">
        <v>21</v>
      </c>
      <c r="H1152" s="3" t="s">
        <v>22</v>
      </c>
      <c r="I1152" s="4" t="n">
        <v>423</v>
      </c>
      <c r="J1152" s="4" t="n">
        <v>0</v>
      </c>
      <c r="K1152" s="4" t="n">
        <v>30</v>
      </c>
      <c r="L1152" s="4" t="n">
        <f aca="false">IF(O1152="Delivered",I1152-J1152+K1152,0)</f>
        <v>453</v>
      </c>
      <c r="M1152" s="0" t="n">
        <v>36</v>
      </c>
      <c r="N1152" s="0" t="n">
        <v>3.9</v>
      </c>
      <c r="O1152" s="3" t="s">
        <v>17</v>
      </c>
    </row>
    <row r="1153" customFormat="false" ht="15" hidden="false" customHeight="false" outlineLevel="0" collapsed="false">
      <c r="A1153" s="0" t="s">
        <v>472</v>
      </c>
      <c r="B1153" s="2" t="n">
        <v>45953</v>
      </c>
      <c r="C1153" s="0" t="str">
        <f aca="false">TEXT(B1153,"mmm")</f>
        <v>Oct</v>
      </c>
      <c r="D1153" s="0" t="str">
        <f aca="false">TEXT(B1153,"ddd")</f>
        <v>Thu</v>
      </c>
      <c r="E1153" s="3" t="s">
        <v>27</v>
      </c>
      <c r="F1153" s="3" t="s">
        <v>49</v>
      </c>
      <c r="G1153" s="3" t="s">
        <v>21</v>
      </c>
      <c r="H1153" s="3" t="s">
        <v>34</v>
      </c>
      <c r="I1153" s="4" t="n">
        <v>547</v>
      </c>
      <c r="J1153" s="4" t="n">
        <v>0</v>
      </c>
      <c r="K1153" s="4" t="n">
        <v>0</v>
      </c>
      <c r="L1153" s="4" t="n">
        <f aca="false">IF(O1153="Delivered",I1153-J1153+K1153,0)</f>
        <v>0</v>
      </c>
      <c r="O1153" s="3" t="s">
        <v>68</v>
      </c>
    </row>
    <row r="1154" customFormat="false" ht="15" hidden="false" customHeight="false" outlineLevel="0" collapsed="false">
      <c r="A1154" s="0" t="s">
        <v>496</v>
      </c>
      <c r="B1154" s="2" t="n">
        <v>45953</v>
      </c>
      <c r="C1154" s="0" t="str">
        <f aca="false">TEXT(B1154,"mmm")</f>
        <v>Oct</v>
      </c>
      <c r="D1154" s="0" t="str">
        <f aca="false">TEXT(B1154,"ddd")</f>
        <v>Thu</v>
      </c>
      <c r="E1154" s="3" t="s">
        <v>45</v>
      </c>
      <c r="F1154" s="3" t="s">
        <v>56</v>
      </c>
      <c r="G1154" s="3" t="s">
        <v>15</v>
      </c>
      <c r="H1154" s="3" t="s">
        <v>22</v>
      </c>
      <c r="I1154" s="4" t="n">
        <v>373</v>
      </c>
      <c r="J1154" s="4" t="n">
        <v>69</v>
      </c>
      <c r="K1154" s="4" t="n">
        <v>30</v>
      </c>
      <c r="L1154" s="4" t="n">
        <f aca="false">IF(O1154="Delivered",I1154-J1154+K1154,0)</f>
        <v>334</v>
      </c>
      <c r="M1154" s="0" t="n">
        <v>22</v>
      </c>
      <c r="N1154" s="0" t="n">
        <v>5</v>
      </c>
      <c r="O1154" s="3" t="s">
        <v>17</v>
      </c>
    </row>
    <row r="1155" customFormat="false" ht="15" hidden="false" customHeight="false" outlineLevel="0" collapsed="false">
      <c r="A1155" s="0" t="s">
        <v>880</v>
      </c>
      <c r="B1155" s="2" t="n">
        <v>45953</v>
      </c>
      <c r="C1155" s="0" t="str">
        <f aca="false">TEXT(B1155,"mmm")</f>
        <v>Oct</v>
      </c>
      <c r="D1155" s="0" t="str">
        <f aca="false">TEXT(B1155,"ddd")</f>
        <v>Thu</v>
      </c>
      <c r="E1155" s="3" t="s">
        <v>24</v>
      </c>
      <c r="F1155" s="3" t="s">
        <v>25</v>
      </c>
      <c r="G1155" s="3" t="s">
        <v>15</v>
      </c>
      <c r="H1155" s="3" t="s">
        <v>16</v>
      </c>
      <c r="I1155" s="4" t="n">
        <v>402</v>
      </c>
      <c r="J1155" s="4" t="n">
        <v>0</v>
      </c>
      <c r="K1155" s="4" t="n">
        <v>45</v>
      </c>
      <c r="L1155" s="4" t="n">
        <f aca="false">IF(O1155="Delivered",I1155-J1155+K1155,0)</f>
        <v>447</v>
      </c>
      <c r="M1155" s="0" t="n">
        <v>35</v>
      </c>
      <c r="N1155" s="0" t="n">
        <v>4.6</v>
      </c>
      <c r="O1155" s="3" t="s">
        <v>17</v>
      </c>
    </row>
    <row r="1156" customFormat="false" ht="15" hidden="false" customHeight="false" outlineLevel="0" collapsed="false">
      <c r="A1156" s="0" t="s">
        <v>1609</v>
      </c>
      <c r="B1156" s="2" t="n">
        <v>45953</v>
      </c>
      <c r="C1156" s="0" t="str">
        <f aca="false">TEXT(B1156,"mmm")</f>
        <v>Oct</v>
      </c>
      <c r="D1156" s="0" t="str">
        <f aca="false">TEXT(B1156,"ddd")</f>
        <v>Thu</v>
      </c>
      <c r="E1156" s="3" t="s">
        <v>24</v>
      </c>
      <c r="F1156" s="3" t="s">
        <v>25</v>
      </c>
      <c r="G1156" s="3" t="s">
        <v>21</v>
      </c>
      <c r="H1156" s="3" t="s">
        <v>34</v>
      </c>
      <c r="I1156" s="4" t="n">
        <v>641</v>
      </c>
      <c r="J1156" s="4" t="n">
        <v>0</v>
      </c>
      <c r="K1156" s="4" t="n">
        <v>0</v>
      </c>
      <c r="L1156" s="4" t="n">
        <f aca="false">IF(O1156="Delivered",I1156-J1156+K1156,0)</f>
        <v>641</v>
      </c>
      <c r="M1156" s="0" t="n">
        <v>38</v>
      </c>
      <c r="N1156" s="0" t="n">
        <v>4.4</v>
      </c>
      <c r="O1156" s="3" t="s">
        <v>17</v>
      </c>
    </row>
    <row r="1157" customFormat="false" ht="15" hidden="false" customHeight="false" outlineLevel="0" collapsed="false">
      <c r="A1157" s="0" t="s">
        <v>131</v>
      </c>
      <c r="B1157" s="2" t="n">
        <v>45954</v>
      </c>
      <c r="C1157" s="0" t="str">
        <f aca="false">TEXT(B1157,"mmm")</f>
        <v>Oct</v>
      </c>
      <c r="D1157" s="0" t="str">
        <f aca="false">TEXT(B1157,"ddd")</f>
        <v>Fri</v>
      </c>
      <c r="E1157" s="3" t="s">
        <v>45</v>
      </c>
      <c r="F1157" s="3" t="s">
        <v>25</v>
      </c>
      <c r="G1157" s="3" t="s">
        <v>15</v>
      </c>
      <c r="H1157" s="3" t="s">
        <v>36</v>
      </c>
      <c r="I1157" s="4" t="n">
        <v>587</v>
      </c>
      <c r="J1157" s="4" t="n">
        <v>143</v>
      </c>
      <c r="K1157" s="4" t="n">
        <v>0</v>
      </c>
      <c r="L1157" s="4" t="n">
        <f aca="false">IF(O1157="Delivered",I1157-J1157+K1157,0)</f>
        <v>444</v>
      </c>
      <c r="M1157" s="0" t="n">
        <v>34</v>
      </c>
      <c r="N1157" s="0" t="n">
        <v>4.1</v>
      </c>
      <c r="O1157" s="3" t="s">
        <v>17</v>
      </c>
    </row>
    <row r="1158" customFormat="false" ht="15" hidden="false" customHeight="false" outlineLevel="0" collapsed="false">
      <c r="A1158" s="0" t="s">
        <v>197</v>
      </c>
      <c r="B1158" s="2" t="n">
        <v>45954</v>
      </c>
      <c r="C1158" s="0" t="str">
        <f aca="false">TEXT(B1158,"mmm")</f>
        <v>Oct</v>
      </c>
      <c r="D1158" s="0" t="str">
        <f aca="false">TEXT(B1158,"ddd")</f>
        <v>Fri</v>
      </c>
      <c r="E1158" s="3" t="s">
        <v>24</v>
      </c>
      <c r="F1158" s="3" t="s">
        <v>28</v>
      </c>
      <c r="G1158" s="3" t="s">
        <v>15</v>
      </c>
      <c r="H1158" s="3" t="s">
        <v>22</v>
      </c>
      <c r="I1158" s="4" t="n">
        <v>417</v>
      </c>
      <c r="J1158" s="4" t="n">
        <v>52</v>
      </c>
      <c r="K1158" s="4" t="n">
        <v>45</v>
      </c>
      <c r="L1158" s="4" t="n">
        <f aca="false">IF(O1158="Delivered",I1158-J1158+K1158,0)</f>
        <v>410</v>
      </c>
      <c r="M1158" s="0" t="n">
        <v>27</v>
      </c>
      <c r="N1158" s="0" t="n">
        <v>3.7</v>
      </c>
      <c r="O1158" s="3" t="s">
        <v>17</v>
      </c>
    </row>
    <row r="1159" customFormat="false" ht="15" hidden="false" customHeight="false" outlineLevel="0" collapsed="false">
      <c r="A1159" s="0" t="s">
        <v>310</v>
      </c>
      <c r="B1159" s="2" t="n">
        <v>45954</v>
      </c>
      <c r="C1159" s="0" t="str">
        <f aca="false">TEXT(B1159,"mmm")</f>
        <v>Oct</v>
      </c>
      <c r="D1159" s="0" t="str">
        <f aca="false">TEXT(B1159,"ddd")</f>
        <v>Fri</v>
      </c>
      <c r="E1159" s="3" t="s">
        <v>24</v>
      </c>
      <c r="F1159" s="3" t="s">
        <v>25</v>
      </c>
      <c r="G1159" s="3" t="s">
        <v>15</v>
      </c>
      <c r="H1159" s="3" t="s">
        <v>34</v>
      </c>
      <c r="I1159" s="4" t="n">
        <v>402</v>
      </c>
      <c r="J1159" s="4" t="n">
        <v>0</v>
      </c>
      <c r="K1159" s="4" t="n">
        <v>20</v>
      </c>
      <c r="L1159" s="4" t="n">
        <f aca="false">IF(O1159="Delivered",I1159-J1159+K1159,0)</f>
        <v>422</v>
      </c>
      <c r="M1159" s="0" t="n">
        <v>36</v>
      </c>
      <c r="N1159" s="0" t="n">
        <v>4.4</v>
      </c>
      <c r="O1159" s="3" t="s">
        <v>17</v>
      </c>
    </row>
    <row r="1160" customFormat="false" ht="15" hidden="false" customHeight="false" outlineLevel="0" collapsed="false">
      <c r="A1160" s="0" t="s">
        <v>430</v>
      </c>
      <c r="B1160" s="2" t="n">
        <v>45954</v>
      </c>
      <c r="C1160" s="0" t="str">
        <f aca="false">TEXT(B1160,"mmm")</f>
        <v>Oct</v>
      </c>
      <c r="D1160" s="0" t="str">
        <f aca="false">TEXT(B1160,"ddd")</f>
        <v>Fri</v>
      </c>
      <c r="E1160" s="3" t="s">
        <v>40</v>
      </c>
      <c r="F1160" s="3" t="s">
        <v>56</v>
      </c>
      <c r="G1160" s="3" t="s">
        <v>21</v>
      </c>
      <c r="H1160" s="3" t="s">
        <v>22</v>
      </c>
      <c r="I1160" s="4" t="n">
        <v>382</v>
      </c>
      <c r="J1160" s="4" t="n">
        <v>0</v>
      </c>
      <c r="K1160" s="4" t="n">
        <v>40</v>
      </c>
      <c r="L1160" s="4" t="n">
        <f aca="false">IF(O1160="Delivered",I1160-J1160+K1160,0)</f>
        <v>422</v>
      </c>
      <c r="M1160" s="0" t="n">
        <v>35</v>
      </c>
      <c r="N1160" s="0" t="n">
        <v>5</v>
      </c>
      <c r="O1160" s="3" t="s">
        <v>17</v>
      </c>
    </row>
    <row r="1161" customFormat="false" ht="15" hidden="false" customHeight="false" outlineLevel="0" collapsed="false">
      <c r="A1161" s="0" t="s">
        <v>557</v>
      </c>
      <c r="B1161" s="2" t="n">
        <v>45954</v>
      </c>
      <c r="C1161" s="0" t="str">
        <f aca="false">TEXT(B1161,"mmm")</f>
        <v>Oct</v>
      </c>
      <c r="D1161" s="0" t="str">
        <f aca="false">TEXT(B1161,"ddd")</f>
        <v>Fri</v>
      </c>
      <c r="E1161" s="3" t="s">
        <v>45</v>
      </c>
      <c r="F1161" s="3" t="s">
        <v>31</v>
      </c>
      <c r="G1161" s="3" t="s">
        <v>21</v>
      </c>
      <c r="H1161" s="3" t="s">
        <v>16</v>
      </c>
      <c r="I1161" s="4" t="n">
        <v>464</v>
      </c>
      <c r="J1161" s="4" t="n">
        <v>79</v>
      </c>
      <c r="K1161" s="4" t="n">
        <v>20</v>
      </c>
      <c r="L1161" s="4" t="n">
        <f aca="false">IF(O1161="Delivered",I1161-J1161+K1161,0)</f>
        <v>405</v>
      </c>
      <c r="M1161" s="0" t="n">
        <v>23</v>
      </c>
      <c r="N1161" s="0" t="n">
        <v>4.2</v>
      </c>
      <c r="O1161" s="3" t="s">
        <v>17</v>
      </c>
    </row>
    <row r="1162" customFormat="false" ht="15" hidden="false" customHeight="false" outlineLevel="0" collapsed="false">
      <c r="A1162" s="0" t="s">
        <v>727</v>
      </c>
      <c r="B1162" s="2" t="n">
        <v>45954</v>
      </c>
      <c r="C1162" s="0" t="str">
        <f aca="false">TEXT(B1162,"mmm")</f>
        <v>Oct</v>
      </c>
      <c r="D1162" s="0" t="str">
        <f aca="false">TEXT(B1162,"ddd")</f>
        <v>Fri</v>
      </c>
      <c r="E1162" s="3" t="s">
        <v>13</v>
      </c>
      <c r="F1162" s="3" t="s">
        <v>31</v>
      </c>
      <c r="G1162" s="3" t="s">
        <v>21</v>
      </c>
      <c r="H1162" s="3" t="s">
        <v>22</v>
      </c>
      <c r="I1162" s="4" t="n">
        <v>651</v>
      </c>
      <c r="J1162" s="4" t="n">
        <v>0</v>
      </c>
      <c r="K1162" s="4" t="n">
        <v>0</v>
      </c>
      <c r="L1162" s="4" t="n">
        <f aca="false">IF(O1162="Delivered",I1162-J1162+K1162,0)</f>
        <v>651</v>
      </c>
      <c r="M1162" s="0" t="n">
        <v>31</v>
      </c>
      <c r="N1162" s="0" t="n">
        <v>4.2</v>
      </c>
      <c r="O1162" s="3" t="s">
        <v>17</v>
      </c>
    </row>
    <row r="1163" customFormat="false" ht="15" hidden="false" customHeight="false" outlineLevel="0" collapsed="false">
      <c r="A1163" s="0" t="s">
        <v>836</v>
      </c>
      <c r="B1163" s="2" t="n">
        <v>45954</v>
      </c>
      <c r="C1163" s="0" t="str">
        <f aca="false">TEXT(B1163,"mmm")</f>
        <v>Oct</v>
      </c>
      <c r="D1163" s="0" t="str">
        <f aca="false">TEXT(B1163,"ddd")</f>
        <v>Fri</v>
      </c>
      <c r="E1163" s="3" t="s">
        <v>27</v>
      </c>
      <c r="F1163" s="3" t="s">
        <v>28</v>
      </c>
      <c r="G1163" s="3" t="s">
        <v>21</v>
      </c>
      <c r="H1163" s="3" t="s">
        <v>16</v>
      </c>
      <c r="I1163" s="4" t="n">
        <v>318</v>
      </c>
      <c r="J1163" s="4" t="n">
        <v>38</v>
      </c>
      <c r="K1163" s="4" t="n">
        <v>40</v>
      </c>
      <c r="L1163" s="4" t="n">
        <f aca="false">IF(O1163="Delivered",I1163-J1163+K1163,0)</f>
        <v>320</v>
      </c>
      <c r="M1163" s="0" t="n">
        <v>18</v>
      </c>
      <c r="N1163" s="0" t="n">
        <v>4.7</v>
      </c>
      <c r="O1163" s="3" t="s">
        <v>17</v>
      </c>
    </row>
    <row r="1164" customFormat="false" ht="15" hidden="false" customHeight="false" outlineLevel="0" collapsed="false">
      <c r="A1164" s="0" t="s">
        <v>1002</v>
      </c>
      <c r="B1164" s="2" t="n">
        <v>45954</v>
      </c>
      <c r="C1164" s="0" t="str">
        <f aca="false">TEXT(B1164,"mmm")</f>
        <v>Oct</v>
      </c>
      <c r="D1164" s="0" t="str">
        <f aca="false">TEXT(B1164,"ddd")</f>
        <v>Fri</v>
      </c>
      <c r="E1164" s="3" t="s">
        <v>27</v>
      </c>
      <c r="F1164" s="3" t="s">
        <v>28</v>
      </c>
      <c r="G1164" s="3" t="s">
        <v>15</v>
      </c>
      <c r="H1164" s="3" t="s">
        <v>22</v>
      </c>
      <c r="I1164" s="4" t="n">
        <v>493</v>
      </c>
      <c r="J1164" s="4" t="n">
        <v>0</v>
      </c>
      <c r="K1164" s="4" t="n">
        <v>20</v>
      </c>
      <c r="L1164" s="4" t="n">
        <f aca="false">IF(O1164="Delivered",I1164-J1164+K1164,0)</f>
        <v>513</v>
      </c>
      <c r="M1164" s="0" t="n">
        <v>45</v>
      </c>
      <c r="N1164" s="0" t="n">
        <v>4.8</v>
      </c>
      <c r="O1164" s="3" t="s">
        <v>17</v>
      </c>
    </row>
    <row r="1165" customFormat="false" ht="15" hidden="false" customHeight="false" outlineLevel="0" collapsed="false">
      <c r="A1165" s="0" t="s">
        <v>1680</v>
      </c>
      <c r="B1165" s="2" t="n">
        <v>45954</v>
      </c>
      <c r="C1165" s="0" t="str">
        <f aca="false">TEXT(B1165,"mmm")</f>
        <v>Oct</v>
      </c>
      <c r="D1165" s="0" t="str">
        <f aca="false">TEXT(B1165,"ddd")</f>
        <v>Fri</v>
      </c>
      <c r="E1165" s="3" t="s">
        <v>27</v>
      </c>
      <c r="F1165" s="3" t="s">
        <v>31</v>
      </c>
      <c r="G1165" s="3" t="s">
        <v>21</v>
      </c>
      <c r="H1165" s="3" t="s">
        <v>22</v>
      </c>
      <c r="I1165" s="4" t="n">
        <v>535</v>
      </c>
      <c r="J1165" s="4" t="n">
        <v>0</v>
      </c>
      <c r="K1165" s="4" t="n">
        <v>0</v>
      </c>
      <c r="L1165" s="4" t="n">
        <f aca="false">IF(O1165="Delivered",I1165-J1165+K1165,0)</f>
        <v>535</v>
      </c>
      <c r="M1165" s="0" t="n">
        <v>53</v>
      </c>
      <c r="N1165" s="0" t="n">
        <v>4.5</v>
      </c>
      <c r="O1165" s="3" t="s">
        <v>17</v>
      </c>
    </row>
    <row r="1166" customFormat="false" ht="15" hidden="false" customHeight="false" outlineLevel="0" collapsed="false">
      <c r="A1166" s="0" t="s">
        <v>35</v>
      </c>
      <c r="B1166" s="2" t="n">
        <v>45955</v>
      </c>
      <c r="C1166" s="0" t="str">
        <f aca="false">TEXT(B1166,"mmm")</f>
        <v>Oct</v>
      </c>
      <c r="D1166" s="0" t="str">
        <f aca="false">TEXT(B1166,"ddd")</f>
        <v>Sat</v>
      </c>
      <c r="E1166" s="3" t="s">
        <v>27</v>
      </c>
      <c r="F1166" s="3" t="s">
        <v>31</v>
      </c>
      <c r="G1166" s="3" t="s">
        <v>15</v>
      </c>
      <c r="H1166" s="3" t="s">
        <v>36</v>
      </c>
      <c r="I1166" s="4" t="n">
        <v>546</v>
      </c>
      <c r="J1166" s="4" t="n">
        <v>84</v>
      </c>
      <c r="K1166" s="4" t="n">
        <v>0</v>
      </c>
      <c r="L1166" s="4" t="n">
        <f aca="false">IF(O1166="Delivered",I1166-J1166+K1166,0)</f>
        <v>462</v>
      </c>
      <c r="M1166" s="0" t="n">
        <v>47</v>
      </c>
      <c r="N1166" s="0" t="n">
        <v>4.6</v>
      </c>
      <c r="O1166" s="3" t="s">
        <v>17</v>
      </c>
    </row>
    <row r="1167" customFormat="false" ht="15" hidden="false" customHeight="false" outlineLevel="0" collapsed="false">
      <c r="A1167" s="0" t="s">
        <v>98</v>
      </c>
      <c r="B1167" s="2" t="n">
        <v>45955</v>
      </c>
      <c r="C1167" s="0" t="str">
        <f aca="false">TEXT(B1167,"mmm")</f>
        <v>Oct</v>
      </c>
      <c r="D1167" s="0" t="str">
        <f aca="false">TEXT(B1167,"ddd")</f>
        <v>Sat</v>
      </c>
      <c r="E1167" s="3" t="s">
        <v>24</v>
      </c>
      <c r="F1167" s="3" t="s">
        <v>20</v>
      </c>
      <c r="G1167" s="3" t="s">
        <v>15</v>
      </c>
      <c r="H1167" s="3" t="s">
        <v>36</v>
      </c>
      <c r="I1167" s="4" t="n">
        <v>491</v>
      </c>
      <c r="J1167" s="4" t="n">
        <v>0</v>
      </c>
      <c r="K1167" s="4" t="n">
        <v>45</v>
      </c>
      <c r="L1167" s="4" t="n">
        <f aca="false">IF(O1167="Delivered",I1167-J1167+K1167,0)</f>
        <v>536</v>
      </c>
      <c r="M1167" s="0" t="n">
        <v>42</v>
      </c>
      <c r="N1167" s="0" t="n">
        <v>3.8</v>
      </c>
      <c r="O1167" s="3" t="s">
        <v>17</v>
      </c>
    </row>
    <row r="1168" customFormat="false" ht="15" hidden="false" customHeight="false" outlineLevel="0" collapsed="false">
      <c r="A1168" s="0" t="s">
        <v>603</v>
      </c>
      <c r="B1168" s="2" t="n">
        <v>45955</v>
      </c>
      <c r="C1168" s="0" t="str">
        <f aca="false">TEXT(B1168,"mmm")</f>
        <v>Oct</v>
      </c>
      <c r="D1168" s="0" t="str">
        <f aca="false">TEXT(B1168,"ddd")</f>
        <v>Sat</v>
      </c>
      <c r="E1168" s="3" t="s">
        <v>27</v>
      </c>
      <c r="F1168" s="3" t="s">
        <v>31</v>
      </c>
      <c r="G1168" s="3" t="s">
        <v>21</v>
      </c>
      <c r="H1168" s="3" t="s">
        <v>36</v>
      </c>
      <c r="I1168" s="4" t="n">
        <v>596</v>
      </c>
      <c r="J1168" s="4" t="n">
        <v>0</v>
      </c>
      <c r="K1168" s="4" t="n">
        <v>0</v>
      </c>
      <c r="L1168" s="4" t="n">
        <f aca="false">IF(O1168="Delivered",I1168-J1168+K1168,0)</f>
        <v>0</v>
      </c>
      <c r="O1168" s="3" t="s">
        <v>68</v>
      </c>
    </row>
    <row r="1169" customFormat="false" ht="15" hidden="false" customHeight="false" outlineLevel="0" collapsed="false">
      <c r="A1169" s="0" t="s">
        <v>843</v>
      </c>
      <c r="B1169" s="2" t="n">
        <v>45955</v>
      </c>
      <c r="C1169" s="0" t="str">
        <f aca="false">TEXT(B1169,"mmm")</f>
        <v>Oct</v>
      </c>
      <c r="D1169" s="0" t="str">
        <f aca="false">TEXT(B1169,"ddd")</f>
        <v>Sat</v>
      </c>
      <c r="E1169" s="3" t="s">
        <v>51</v>
      </c>
      <c r="F1169" s="3" t="s">
        <v>14</v>
      </c>
      <c r="G1169" s="3" t="s">
        <v>21</v>
      </c>
      <c r="H1169" s="3" t="s">
        <v>34</v>
      </c>
      <c r="I1169" s="4" t="n">
        <v>472</v>
      </c>
      <c r="J1169" s="4" t="n">
        <v>65</v>
      </c>
      <c r="K1169" s="4" t="n">
        <v>30</v>
      </c>
      <c r="L1169" s="4" t="n">
        <f aca="false">IF(O1169="Delivered",I1169-J1169+K1169,0)</f>
        <v>437</v>
      </c>
      <c r="M1169" s="0" t="n">
        <v>44</v>
      </c>
      <c r="O1169" s="3" t="s">
        <v>17</v>
      </c>
    </row>
    <row r="1170" customFormat="false" ht="15" hidden="false" customHeight="false" outlineLevel="0" collapsed="false">
      <c r="A1170" s="0" t="s">
        <v>1299</v>
      </c>
      <c r="B1170" s="2" t="n">
        <v>45955</v>
      </c>
      <c r="C1170" s="0" t="str">
        <f aca="false">TEXT(B1170,"mmm")</f>
        <v>Oct</v>
      </c>
      <c r="D1170" s="0" t="str">
        <f aca="false">TEXT(B1170,"ddd")</f>
        <v>Sat</v>
      </c>
      <c r="E1170" s="3" t="s">
        <v>13</v>
      </c>
      <c r="F1170" s="3" t="s">
        <v>56</v>
      </c>
      <c r="G1170" s="3" t="s">
        <v>21</v>
      </c>
      <c r="H1170" s="3" t="s">
        <v>36</v>
      </c>
      <c r="I1170" s="4" t="n">
        <v>240</v>
      </c>
      <c r="J1170" s="4" t="n">
        <v>43</v>
      </c>
      <c r="K1170" s="4" t="n">
        <v>20</v>
      </c>
      <c r="L1170" s="4" t="n">
        <f aca="false">IF(O1170="Delivered",I1170-J1170+K1170,0)</f>
        <v>217</v>
      </c>
      <c r="M1170" s="0" t="n">
        <v>38</v>
      </c>
      <c r="N1170" s="0" t="n">
        <v>4.4</v>
      </c>
      <c r="O1170" s="3" t="s">
        <v>17</v>
      </c>
    </row>
    <row r="1171" customFormat="false" ht="15" hidden="false" customHeight="false" outlineLevel="0" collapsed="false">
      <c r="A1171" s="0" t="s">
        <v>1493</v>
      </c>
      <c r="B1171" s="2" t="n">
        <v>45955</v>
      </c>
      <c r="C1171" s="0" t="str">
        <f aca="false">TEXT(B1171,"mmm")</f>
        <v>Oct</v>
      </c>
      <c r="D1171" s="0" t="str">
        <f aca="false">TEXT(B1171,"ddd")</f>
        <v>Sat</v>
      </c>
      <c r="E1171" s="3" t="s">
        <v>51</v>
      </c>
      <c r="F1171" s="3" t="s">
        <v>31</v>
      </c>
      <c r="G1171" s="3" t="s">
        <v>15</v>
      </c>
      <c r="H1171" s="3" t="s">
        <v>54</v>
      </c>
      <c r="I1171" s="4" t="n">
        <v>453</v>
      </c>
      <c r="J1171" s="4" t="n">
        <v>62</v>
      </c>
      <c r="K1171" s="4" t="n">
        <v>20</v>
      </c>
      <c r="L1171" s="4" t="n">
        <f aca="false">IF(O1171="Delivered",I1171-J1171+K1171,0)</f>
        <v>411</v>
      </c>
      <c r="M1171" s="0" t="n">
        <v>24</v>
      </c>
      <c r="N1171" s="0" t="n">
        <v>4.6</v>
      </c>
      <c r="O1171" s="3" t="s">
        <v>17</v>
      </c>
    </row>
    <row r="1172" customFormat="false" ht="15" hidden="false" customHeight="false" outlineLevel="0" collapsed="false">
      <c r="A1172" s="0" t="s">
        <v>835</v>
      </c>
      <c r="B1172" s="2" t="n">
        <v>45956</v>
      </c>
      <c r="C1172" s="0" t="str">
        <f aca="false">TEXT(B1172,"mmm")</f>
        <v>Oct</v>
      </c>
      <c r="D1172" s="0" t="str">
        <f aca="false">TEXT(B1172,"ddd")</f>
        <v>Sun</v>
      </c>
      <c r="E1172" s="3" t="s">
        <v>13</v>
      </c>
      <c r="F1172" s="3" t="s">
        <v>25</v>
      </c>
      <c r="G1172" s="3" t="s">
        <v>15</v>
      </c>
      <c r="H1172" s="3" t="s">
        <v>22</v>
      </c>
      <c r="I1172" s="4" t="n">
        <v>635</v>
      </c>
      <c r="J1172" s="4" t="n">
        <v>136</v>
      </c>
      <c r="K1172" s="4" t="n">
        <v>0</v>
      </c>
      <c r="L1172" s="4" t="n">
        <f aca="false">IF(O1172="Delivered",I1172-J1172+K1172,0)</f>
        <v>499</v>
      </c>
      <c r="M1172" s="0" t="n">
        <v>35</v>
      </c>
      <c r="N1172" s="0" t="n">
        <v>4.6</v>
      </c>
      <c r="O1172" s="3" t="s">
        <v>17</v>
      </c>
    </row>
    <row r="1173" customFormat="false" ht="15" hidden="false" customHeight="false" outlineLevel="0" collapsed="false">
      <c r="A1173" s="0" t="s">
        <v>1274</v>
      </c>
      <c r="B1173" s="2" t="n">
        <v>45956</v>
      </c>
      <c r="C1173" s="0" t="str">
        <f aca="false">TEXT(B1173,"mmm")</f>
        <v>Oct</v>
      </c>
      <c r="D1173" s="0" t="str">
        <f aca="false">TEXT(B1173,"ddd")</f>
        <v>Sun</v>
      </c>
      <c r="E1173" s="3" t="s">
        <v>45</v>
      </c>
      <c r="F1173" s="3" t="s">
        <v>14</v>
      </c>
      <c r="G1173" s="3" t="s">
        <v>21</v>
      </c>
      <c r="H1173" s="3" t="s">
        <v>36</v>
      </c>
      <c r="I1173" s="4" t="n">
        <v>386</v>
      </c>
      <c r="J1173" s="4" t="n">
        <v>51</v>
      </c>
      <c r="K1173" s="4" t="n">
        <v>20</v>
      </c>
      <c r="L1173" s="4" t="n">
        <f aca="false">IF(O1173="Delivered",I1173-J1173+K1173,0)</f>
        <v>355</v>
      </c>
      <c r="M1173" s="0" t="n">
        <v>18</v>
      </c>
      <c r="N1173" s="0" t="n">
        <v>4.5</v>
      </c>
      <c r="O1173" s="3" t="s">
        <v>17</v>
      </c>
    </row>
    <row r="1174" customFormat="false" ht="15" hidden="false" customHeight="false" outlineLevel="0" collapsed="false">
      <c r="A1174" s="0" t="s">
        <v>748</v>
      </c>
      <c r="B1174" s="2" t="n">
        <v>45957</v>
      </c>
      <c r="C1174" s="0" t="str">
        <f aca="false">TEXT(B1174,"mmm")</f>
        <v>Oct</v>
      </c>
      <c r="D1174" s="0" t="str">
        <f aca="false">TEXT(B1174,"ddd")</f>
        <v>Mon</v>
      </c>
      <c r="E1174" s="3" t="s">
        <v>24</v>
      </c>
      <c r="F1174" s="3" t="s">
        <v>14</v>
      </c>
      <c r="G1174" s="3" t="s">
        <v>21</v>
      </c>
      <c r="H1174" s="3" t="s">
        <v>34</v>
      </c>
      <c r="I1174" s="4" t="n">
        <v>287</v>
      </c>
      <c r="J1174" s="4" t="n">
        <v>0</v>
      </c>
      <c r="K1174" s="4" t="n">
        <v>40</v>
      </c>
      <c r="L1174" s="4" t="n">
        <f aca="false">IF(O1174="Delivered",I1174-J1174+K1174,0)</f>
        <v>327</v>
      </c>
      <c r="M1174" s="0" t="n">
        <v>31</v>
      </c>
      <c r="N1174" s="0" t="n">
        <v>5</v>
      </c>
      <c r="O1174" s="3" t="s">
        <v>17</v>
      </c>
    </row>
    <row r="1175" customFormat="false" ht="15" hidden="false" customHeight="false" outlineLevel="0" collapsed="false">
      <c r="A1175" s="0" t="s">
        <v>1139</v>
      </c>
      <c r="B1175" s="2" t="n">
        <v>45957</v>
      </c>
      <c r="C1175" s="0" t="str">
        <f aca="false">TEXT(B1175,"mmm")</f>
        <v>Oct</v>
      </c>
      <c r="D1175" s="0" t="str">
        <f aca="false">TEXT(B1175,"ddd")</f>
        <v>Mon</v>
      </c>
      <c r="E1175" s="3" t="s">
        <v>27</v>
      </c>
      <c r="F1175" s="3" t="s">
        <v>78</v>
      </c>
      <c r="G1175" s="3" t="s">
        <v>21</v>
      </c>
      <c r="H1175" s="3" t="s">
        <v>22</v>
      </c>
      <c r="I1175" s="4" t="n">
        <v>441</v>
      </c>
      <c r="J1175" s="4" t="n">
        <v>0</v>
      </c>
      <c r="K1175" s="4" t="n">
        <v>30</v>
      </c>
      <c r="L1175" s="4" t="n">
        <f aca="false">IF(O1175="Delivered",I1175-J1175+K1175,0)</f>
        <v>471</v>
      </c>
      <c r="M1175" s="0" t="n">
        <v>35</v>
      </c>
      <c r="N1175" s="0" t="n">
        <v>4.3</v>
      </c>
      <c r="O1175" s="3" t="s">
        <v>17</v>
      </c>
    </row>
    <row r="1176" customFormat="false" ht="15" hidden="false" customHeight="false" outlineLevel="0" collapsed="false">
      <c r="A1176" s="0" t="s">
        <v>1142</v>
      </c>
      <c r="B1176" s="2" t="n">
        <v>45957</v>
      </c>
      <c r="C1176" s="0" t="str">
        <f aca="false">TEXT(B1176,"mmm")</f>
        <v>Oct</v>
      </c>
      <c r="D1176" s="0" t="str">
        <f aca="false">TEXT(B1176,"ddd")</f>
        <v>Mon</v>
      </c>
      <c r="E1176" s="3" t="s">
        <v>40</v>
      </c>
      <c r="F1176" s="3" t="s">
        <v>31</v>
      </c>
      <c r="G1176" s="3" t="s">
        <v>15</v>
      </c>
      <c r="H1176" s="3" t="s">
        <v>54</v>
      </c>
      <c r="I1176" s="4" t="n">
        <v>304</v>
      </c>
      <c r="J1176" s="4" t="n">
        <v>54</v>
      </c>
      <c r="K1176" s="4" t="n">
        <v>20</v>
      </c>
      <c r="L1176" s="4" t="n">
        <f aca="false">IF(O1176="Delivered",I1176-J1176+K1176,0)</f>
        <v>270</v>
      </c>
      <c r="M1176" s="0" t="n">
        <v>31</v>
      </c>
      <c r="N1176" s="0" t="n">
        <v>5</v>
      </c>
      <c r="O1176" s="3" t="s">
        <v>17</v>
      </c>
    </row>
    <row r="1177" customFormat="false" ht="15" hidden="false" customHeight="false" outlineLevel="0" collapsed="false">
      <c r="A1177" s="0" t="s">
        <v>1524</v>
      </c>
      <c r="B1177" s="2" t="n">
        <v>45957</v>
      </c>
      <c r="C1177" s="0" t="str">
        <f aca="false">TEXT(B1177,"mmm")</f>
        <v>Oct</v>
      </c>
      <c r="D1177" s="0" t="str">
        <f aca="false">TEXT(B1177,"ddd")</f>
        <v>Mon</v>
      </c>
      <c r="E1177" s="3" t="s">
        <v>24</v>
      </c>
      <c r="F1177" s="3" t="s">
        <v>31</v>
      </c>
      <c r="G1177" s="3" t="s">
        <v>21</v>
      </c>
      <c r="H1177" s="3" t="s">
        <v>22</v>
      </c>
      <c r="I1177" s="4" t="n">
        <v>475</v>
      </c>
      <c r="J1177" s="4" t="n">
        <v>0</v>
      </c>
      <c r="K1177" s="4" t="n">
        <v>20</v>
      </c>
      <c r="L1177" s="4" t="n">
        <f aca="false">IF(O1177="Delivered",I1177-J1177+K1177,0)</f>
        <v>495</v>
      </c>
      <c r="M1177" s="0" t="n">
        <v>42</v>
      </c>
      <c r="N1177" s="0" t="n">
        <v>4.3</v>
      </c>
      <c r="O1177" s="3" t="s">
        <v>17</v>
      </c>
    </row>
    <row r="1178" customFormat="false" ht="15" hidden="false" customHeight="false" outlineLevel="0" collapsed="false">
      <c r="A1178" s="0" t="s">
        <v>314</v>
      </c>
      <c r="B1178" s="2" t="n">
        <v>45958</v>
      </c>
      <c r="C1178" s="0" t="str">
        <f aca="false">TEXT(B1178,"mmm")</f>
        <v>Oct</v>
      </c>
      <c r="D1178" s="0" t="str">
        <f aca="false">TEXT(B1178,"ddd")</f>
        <v>Tue</v>
      </c>
      <c r="E1178" s="3" t="s">
        <v>24</v>
      </c>
      <c r="F1178" s="3" t="s">
        <v>20</v>
      </c>
      <c r="G1178" s="3" t="s">
        <v>15</v>
      </c>
      <c r="H1178" s="3" t="s">
        <v>22</v>
      </c>
      <c r="I1178" s="4" t="n">
        <v>414</v>
      </c>
      <c r="J1178" s="4" t="n">
        <v>43</v>
      </c>
      <c r="K1178" s="4" t="n">
        <v>45</v>
      </c>
      <c r="L1178" s="4" t="n">
        <f aca="false">IF(O1178="Delivered",I1178-J1178+K1178,0)</f>
        <v>416</v>
      </c>
      <c r="M1178" s="0" t="n">
        <v>27</v>
      </c>
      <c r="N1178" s="0" t="n">
        <v>4.8</v>
      </c>
      <c r="O1178" s="3" t="s">
        <v>17</v>
      </c>
    </row>
    <row r="1179" customFormat="false" ht="15" hidden="false" customHeight="false" outlineLevel="0" collapsed="false">
      <c r="A1179" s="0" t="s">
        <v>431</v>
      </c>
      <c r="B1179" s="2" t="n">
        <v>45958</v>
      </c>
      <c r="C1179" s="0" t="str">
        <f aca="false">TEXT(B1179,"mmm")</f>
        <v>Oct</v>
      </c>
      <c r="D1179" s="0" t="str">
        <f aca="false">TEXT(B1179,"ddd")</f>
        <v>Tue</v>
      </c>
      <c r="E1179" s="3" t="s">
        <v>13</v>
      </c>
      <c r="F1179" s="3" t="s">
        <v>28</v>
      </c>
      <c r="G1179" s="3" t="s">
        <v>15</v>
      </c>
      <c r="H1179" s="3" t="s">
        <v>34</v>
      </c>
      <c r="I1179" s="4" t="n">
        <v>421</v>
      </c>
      <c r="J1179" s="4" t="n">
        <v>0</v>
      </c>
      <c r="K1179" s="4" t="n">
        <v>20</v>
      </c>
      <c r="L1179" s="4" t="n">
        <f aca="false">IF(O1179="Delivered",I1179-J1179+K1179,0)</f>
        <v>441</v>
      </c>
      <c r="M1179" s="0" t="n">
        <v>16</v>
      </c>
      <c r="N1179" s="0" t="n">
        <v>4.8</v>
      </c>
      <c r="O1179" s="3" t="s">
        <v>17</v>
      </c>
    </row>
    <row r="1180" customFormat="false" ht="15" hidden="false" customHeight="false" outlineLevel="0" collapsed="false">
      <c r="A1180" s="0" t="s">
        <v>980</v>
      </c>
      <c r="B1180" s="2" t="n">
        <v>45958</v>
      </c>
      <c r="C1180" s="0" t="str">
        <f aca="false">TEXT(B1180,"mmm")</f>
        <v>Oct</v>
      </c>
      <c r="D1180" s="0" t="str">
        <f aca="false">TEXT(B1180,"ddd")</f>
        <v>Tue</v>
      </c>
      <c r="E1180" s="3" t="s">
        <v>40</v>
      </c>
      <c r="F1180" s="3" t="s">
        <v>20</v>
      </c>
      <c r="G1180" s="3" t="s">
        <v>15</v>
      </c>
      <c r="H1180" s="3" t="s">
        <v>54</v>
      </c>
      <c r="I1180" s="4" t="n">
        <v>469</v>
      </c>
      <c r="J1180" s="4" t="n">
        <v>0</v>
      </c>
      <c r="K1180" s="4" t="n">
        <v>45</v>
      </c>
      <c r="L1180" s="4" t="n">
        <f aca="false">IF(O1180="Delivered",I1180-J1180+K1180,0)</f>
        <v>514</v>
      </c>
      <c r="M1180" s="0" t="n">
        <v>41</v>
      </c>
      <c r="N1180" s="0" t="n">
        <v>5</v>
      </c>
      <c r="O1180" s="3" t="s">
        <v>17</v>
      </c>
    </row>
    <row r="1181" customFormat="false" ht="15" hidden="false" customHeight="false" outlineLevel="0" collapsed="false">
      <c r="A1181" s="0" t="s">
        <v>1258</v>
      </c>
      <c r="B1181" s="2" t="n">
        <v>45958</v>
      </c>
      <c r="C1181" s="0" t="str">
        <f aca="false">TEXT(B1181,"mmm")</f>
        <v>Oct</v>
      </c>
      <c r="D1181" s="0" t="str">
        <f aca="false">TEXT(B1181,"ddd")</f>
        <v>Tue</v>
      </c>
      <c r="E1181" s="3" t="s">
        <v>27</v>
      </c>
      <c r="F1181" s="3" t="s">
        <v>20</v>
      </c>
      <c r="G1181" s="3" t="s">
        <v>21</v>
      </c>
      <c r="H1181" s="3" t="s">
        <v>34</v>
      </c>
      <c r="I1181" s="4" t="n">
        <v>823</v>
      </c>
      <c r="J1181" s="4" t="n">
        <v>0</v>
      </c>
      <c r="K1181" s="4" t="n">
        <v>0</v>
      </c>
      <c r="L1181" s="4" t="n">
        <f aca="false">IF(O1181="Delivered",I1181-J1181+K1181,0)</f>
        <v>823</v>
      </c>
      <c r="M1181" s="0" t="n">
        <v>37</v>
      </c>
      <c r="N1181" s="0" t="n">
        <v>4.6</v>
      </c>
      <c r="O1181" s="3" t="s">
        <v>17</v>
      </c>
    </row>
    <row r="1182" customFormat="false" ht="15" hidden="false" customHeight="false" outlineLevel="0" collapsed="false">
      <c r="A1182" s="0" t="s">
        <v>1595</v>
      </c>
      <c r="B1182" s="2" t="n">
        <v>45958</v>
      </c>
      <c r="C1182" s="0" t="str">
        <f aca="false">TEXT(B1182,"mmm")</f>
        <v>Oct</v>
      </c>
      <c r="D1182" s="0" t="str">
        <f aca="false">TEXT(B1182,"ddd")</f>
        <v>Tue</v>
      </c>
      <c r="E1182" s="3" t="s">
        <v>40</v>
      </c>
      <c r="F1182" s="3" t="s">
        <v>28</v>
      </c>
      <c r="G1182" s="3" t="s">
        <v>21</v>
      </c>
      <c r="H1182" s="3" t="s">
        <v>36</v>
      </c>
      <c r="I1182" s="4" t="n">
        <v>573</v>
      </c>
      <c r="J1182" s="4" t="n">
        <v>0</v>
      </c>
      <c r="K1182" s="4" t="n">
        <v>0</v>
      </c>
      <c r="L1182" s="4" t="n">
        <f aca="false">IF(O1182="Delivered",I1182-J1182+K1182,0)</f>
        <v>573</v>
      </c>
      <c r="M1182" s="0" t="n">
        <v>32</v>
      </c>
      <c r="N1182" s="0" t="n">
        <v>4.7</v>
      </c>
      <c r="O1182" s="3" t="s">
        <v>17</v>
      </c>
    </row>
    <row r="1183" customFormat="false" ht="15" hidden="false" customHeight="false" outlineLevel="0" collapsed="false">
      <c r="A1183" s="0" t="s">
        <v>614</v>
      </c>
      <c r="B1183" s="2" t="n">
        <v>45959</v>
      </c>
      <c r="C1183" s="0" t="str">
        <f aca="false">TEXT(B1183,"mmm")</f>
        <v>Oct</v>
      </c>
      <c r="D1183" s="0" t="str">
        <f aca="false">TEXT(B1183,"ddd")</f>
        <v>Wed</v>
      </c>
      <c r="E1183" s="3" t="s">
        <v>45</v>
      </c>
      <c r="F1183" s="3" t="s">
        <v>20</v>
      </c>
      <c r="G1183" s="3" t="s">
        <v>21</v>
      </c>
      <c r="H1183" s="3" t="s">
        <v>22</v>
      </c>
      <c r="I1183" s="4" t="n">
        <v>660</v>
      </c>
      <c r="J1183" s="4" t="n">
        <v>0</v>
      </c>
      <c r="K1183" s="4" t="n">
        <v>0</v>
      </c>
      <c r="L1183" s="4" t="n">
        <f aca="false">IF(O1183="Delivered",I1183-J1183+K1183,0)</f>
        <v>660</v>
      </c>
      <c r="M1183" s="0" t="n">
        <v>30</v>
      </c>
      <c r="N1183" s="0" t="n">
        <v>4.9</v>
      </c>
      <c r="O1183" s="3" t="s">
        <v>17</v>
      </c>
    </row>
    <row r="1184" customFormat="false" ht="15" hidden="false" customHeight="false" outlineLevel="0" collapsed="false">
      <c r="A1184" s="0" t="s">
        <v>922</v>
      </c>
      <c r="B1184" s="2" t="n">
        <v>45959</v>
      </c>
      <c r="C1184" s="0" t="str">
        <f aca="false">TEXT(B1184,"mmm")</f>
        <v>Oct</v>
      </c>
      <c r="D1184" s="0" t="str">
        <f aca="false">TEXT(B1184,"ddd")</f>
        <v>Wed</v>
      </c>
      <c r="E1184" s="3" t="s">
        <v>40</v>
      </c>
      <c r="F1184" s="3" t="s">
        <v>25</v>
      </c>
      <c r="G1184" s="3" t="s">
        <v>15</v>
      </c>
      <c r="H1184" s="3" t="s">
        <v>36</v>
      </c>
      <c r="I1184" s="4" t="n">
        <v>487</v>
      </c>
      <c r="J1184" s="4" t="n">
        <v>101</v>
      </c>
      <c r="K1184" s="4" t="n">
        <v>45</v>
      </c>
      <c r="L1184" s="4" t="n">
        <f aca="false">IF(O1184="Delivered",I1184-J1184+K1184,0)</f>
        <v>431</v>
      </c>
      <c r="M1184" s="0" t="n">
        <v>33</v>
      </c>
      <c r="N1184" s="0" t="n">
        <v>4.5</v>
      </c>
      <c r="O1184" s="3" t="s">
        <v>17</v>
      </c>
    </row>
    <row r="1185" customFormat="false" ht="15" hidden="false" customHeight="false" outlineLevel="0" collapsed="false">
      <c r="A1185" s="0" t="s">
        <v>1007</v>
      </c>
      <c r="B1185" s="2" t="n">
        <v>45959</v>
      </c>
      <c r="C1185" s="0" t="str">
        <f aca="false">TEXT(B1185,"mmm")</f>
        <v>Oct</v>
      </c>
      <c r="D1185" s="0" t="str">
        <f aca="false">TEXT(B1185,"ddd")</f>
        <v>Wed</v>
      </c>
      <c r="E1185" s="3" t="s">
        <v>27</v>
      </c>
      <c r="F1185" s="3" t="s">
        <v>25</v>
      </c>
      <c r="G1185" s="3" t="s">
        <v>21</v>
      </c>
      <c r="H1185" s="3" t="s">
        <v>22</v>
      </c>
      <c r="I1185" s="4" t="n">
        <v>346</v>
      </c>
      <c r="J1185" s="4" t="n">
        <v>0</v>
      </c>
      <c r="K1185" s="4" t="n">
        <v>20</v>
      </c>
      <c r="L1185" s="4" t="n">
        <f aca="false">IF(O1185="Delivered",I1185-J1185+K1185,0)</f>
        <v>366</v>
      </c>
      <c r="M1185" s="0" t="n">
        <v>37</v>
      </c>
      <c r="N1185" s="0" t="n">
        <v>4.6</v>
      </c>
      <c r="O1185" s="3" t="s">
        <v>17</v>
      </c>
    </row>
    <row r="1186" customFormat="false" ht="15" hidden="false" customHeight="false" outlineLevel="0" collapsed="false">
      <c r="A1186" s="0" t="s">
        <v>376</v>
      </c>
      <c r="B1186" s="2" t="n">
        <v>45960</v>
      </c>
      <c r="C1186" s="0" t="str">
        <f aca="false">TEXT(B1186,"mmm")</f>
        <v>Oct</v>
      </c>
      <c r="D1186" s="0" t="str">
        <f aca="false">TEXT(B1186,"ddd")</f>
        <v>Thu</v>
      </c>
      <c r="E1186" s="3" t="s">
        <v>24</v>
      </c>
      <c r="F1186" s="3" t="s">
        <v>56</v>
      </c>
      <c r="G1186" s="3" t="s">
        <v>21</v>
      </c>
      <c r="H1186" s="3" t="s">
        <v>34</v>
      </c>
      <c r="I1186" s="4" t="n">
        <v>420</v>
      </c>
      <c r="J1186" s="4" t="n">
        <v>0</v>
      </c>
      <c r="K1186" s="4" t="n">
        <v>45</v>
      </c>
      <c r="L1186" s="4" t="n">
        <f aca="false">IF(O1186="Delivered",I1186-J1186+K1186,0)</f>
        <v>465</v>
      </c>
      <c r="M1186" s="0" t="n">
        <v>31</v>
      </c>
      <c r="N1186" s="0" t="n">
        <v>4</v>
      </c>
      <c r="O1186" s="3" t="s">
        <v>17</v>
      </c>
    </row>
    <row r="1187" customFormat="false" ht="15" hidden="false" customHeight="false" outlineLevel="0" collapsed="false">
      <c r="A1187" s="0" t="s">
        <v>428</v>
      </c>
      <c r="B1187" s="2" t="n">
        <v>45960</v>
      </c>
      <c r="C1187" s="0" t="str">
        <f aca="false">TEXT(B1187,"mmm")</f>
        <v>Oct</v>
      </c>
      <c r="D1187" s="0" t="str">
        <f aca="false">TEXT(B1187,"ddd")</f>
        <v>Thu</v>
      </c>
      <c r="E1187" s="3" t="s">
        <v>40</v>
      </c>
      <c r="F1187" s="3" t="s">
        <v>31</v>
      </c>
      <c r="G1187" s="3" t="s">
        <v>15</v>
      </c>
      <c r="H1187" s="3" t="s">
        <v>54</v>
      </c>
      <c r="I1187" s="4" t="n">
        <v>408</v>
      </c>
      <c r="J1187" s="4" t="n">
        <v>96</v>
      </c>
      <c r="K1187" s="4" t="n">
        <v>20</v>
      </c>
      <c r="L1187" s="4" t="n">
        <f aca="false">IF(O1187="Delivered",I1187-J1187+K1187,0)</f>
        <v>332</v>
      </c>
      <c r="M1187" s="0" t="n">
        <v>38</v>
      </c>
      <c r="N1187" s="0" t="n">
        <v>4.8</v>
      </c>
      <c r="O1187" s="3" t="s">
        <v>17</v>
      </c>
    </row>
    <row r="1188" customFormat="false" ht="15" hidden="false" customHeight="false" outlineLevel="0" collapsed="false">
      <c r="A1188" s="0" t="s">
        <v>520</v>
      </c>
      <c r="B1188" s="2" t="n">
        <v>45960</v>
      </c>
      <c r="C1188" s="0" t="str">
        <f aca="false">TEXT(B1188,"mmm")</f>
        <v>Oct</v>
      </c>
      <c r="D1188" s="0" t="str">
        <f aca="false">TEXT(B1188,"ddd")</f>
        <v>Thu</v>
      </c>
      <c r="E1188" s="3" t="s">
        <v>40</v>
      </c>
      <c r="F1188" s="3" t="s">
        <v>56</v>
      </c>
      <c r="G1188" s="3" t="s">
        <v>15</v>
      </c>
      <c r="H1188" s="3" t="s">
        <v>22</v>
      </c>
      <c r="I1188" s="4" t="n">
        <v>383</v>
      </c>
      <c r="J1188" s="4" t="n">
        <v>0</v>
      </c>
      <c r="K1188" s="4" t="n">
        <v>45</v>
      </c>
      <c r="L1188" s="4" t="n">
        <f aca="false">IF(O1188="Delivered",I1188-J1188+K1188,0)</f>
        <v>428</v>
      </c>
      <c r="M1188" s="0" t="n">
        <v>37</v>
      </c>
      <c r="N1188" s="0" t="n">
        <v>4.1</v>
      </c>
      <c r="O1188" s="3" t="s">
        <v>17</v>
      </c>
    </row>
    <row r="1189" customFormat="false" ht="15" hidden="false" customHeight="false" outlineLevel="0" collapsed="false">
      <c r="A1189" s="0" t="s">
        <v>524</v>
      </c>
      <c r="B1189" s="2" t="n">
        <v>45960</v>
      </c>
      <c r="C1189" s="0" t="str">
        <f aca="false">TEXT(B1189,"mmm")</f>
        <v>Oct</v>
      </c>
      <c r="D1189" s="0" t="str">
        <f aca="false">TEXT(B1189,"ddd")</f>
        <v>Thu</v>
      </c>
      <c r="E1189" s="3" t="s">
        <v>27</v>
      </c>
      <c r="F1189" s="3" t="s">
        <v>14</v>
      </c>
      <c r="G1189" s="3" t="s">
        <v>15</v>
      </c>
      <c r="H1189" s="3" t="s">
        <v>22</v>
      </c>
      <c r="I1189" s="4" t="n">
        <v>288</v>
      </c>
      <c r="J1189" s="4" t="n">
        <v>0</v>
      </c>
      <c r="K1189" s="4" t="n">
        <v>30</v>
      </c>
      <c r="L1189" s="4" t="n">
        <f aca="false">IF(O1189="Delivered",I1189-J1189+K1189,0)</f>
        <v>318</v>
      </c>
      <c r="M1189" s="0" t="n">
        <v>43</v>
      </c>
      <c r="N1189" s="0" t="n">
        <v>4.4</v>
      </c>
      <c r="O1189" s="3" t="s">
        <v>17</v>
      </c>
    </row>
    <row r="1190" customFormat="false" ht="15" hidden="false" customHeight="false" outlineLevel="0" collapsed="false">
      <c r="A1190" s="0" t="s">
        <v>751</v>
      </c>
      <c r="B1190" s="2" t="n">
        <v>45960</v>
      </c>
      <c r="C1190" s="0" t="str">
        <f aca="false">TEXT(B1190,"mmm")</f>
        <v>Oct</v>
      </c>
      <c r="D1190" s="0" t="str">
        <f aca="false">TEXT(B1190,"ddd")</f>
        <v>Thu</v>
      </c>
      <c r="E1190" s="3" t="s">
        <v>40</v>
      </c>
      <c r="F1190" s="3" t="s">
        <v>31</v>
      </c>
      <c r="G1190" s="3" t="s">
        <v>21</v>
      </c>
      <c r="H1190" s="3" t="s">
        <v>36</v>
      </c>
      <c r="I1190" s="4" t="n">
        <v>606</v>
      </c>
      <c r="J1190" s="4" t="n">
        <v>117</v>
      </c>
      <c r="K1190" s="4" t="n">
        <v>0</v>
      </c>
      <c r="L1190" s="4" t="n">
        <f aca="false">IF(O1190="Delivered",I1190-J1190+K1190,0)</f>
        <v>489</v>
      </c>
      <c r="M1190" s="0" t="n">
        <v>44</v>
      </c>
      <c r="N1190" s="0" t="n">
        <v>4.5</v>
      </c>
      <c r="O1190" s="3" t="s">
        <v>17</v>
      </c>
    </row>
    <row r="1191" customFormat="false" ht="15" hidden="false" customHeight="false" outlineLevel="0" collapsed="false">
      <c r="A1191" s="0" t="s">
        <v>764</v>
      </c>
      <c r="B1191" s="2" t="n">
        <v>45960</v>
      </c>
      <c r="C1191" s="0" t="str">
        <f aca="false">TEXT(B1191,"mmm")</f>
        <v>Oct</v>
      </c>
      <c r="D1191" s="0" t="str">
        <f aca="false">TEXT(B1191,"ddd")</f>
        <v>Thu</v>
      </c>
      <c r="E1191" s="3" t="s">
        <v>27</v>
      </c>
      <c r="F1191" s="3" t="s">
        <v>31</v>
      </c>
      <c r="G1191" s="3" t="s">
        <v>21</v>
      </c>
      <c r="H1191" s="3" t="s">
        <v>36</v>
      </c>
      <c r="I1191" s="4" t="n">
        <v>581</v>
      </c>
      <c r="J1191" s="4" t="n">
        <v>0</v>
      </c>
      <c r="K1191" s="4" t="n">
        <v>0</v>
      </c>
      <c r="L1191" s="4" t="n">
        <f aca="false">IF(O1191="Delivered",I1191-J1191+K1191,0)</f>
        <v>0</v>
      </c>
      <c r="O1191" s="3" t="s">
        <v>68</v>
      </c>
    </row>
    <row r="1192" customFormat="false" ht="15" hidden="false" customHeight="false" outlineLevel="0" collapsed="false">
      <c r="A1192" s="0" t="s">
        <v>1306</v>
      </c>
      <c r="B1192" s="2" t="n">
        <v>45960</v>
      </c>
      <c r="C1192" s="0" t="str">
        <f aca="false">TEXT(B1192,"mmm")</f>
        <v>Oct</v>
      </c>
      <c r="D1192" s="0" t="str">
        <f aca="false">TEXT(B1192,"ddd")</f>
        <v>Thu</v>
      </c>
      <c r="E1192" s="3" t="s">
        <v>30</v>
      </c>
      <c r="F1192" s="3" t="s">
        <v>28</v>
      </c>
      <c r="G1192" s="3" t="s">
        <v>15</v>
      </c>
      <c r="H1192" s="3" t="s">
        <v>36</v>
      </c>
      <c r="I1192" s="4" t="n">
        <v>461</v>
      </c>
      <c r="J1192" s="4" t="n">
        <v>0</v>
      </c>
      <c r="K1192" s="4" t="n">
        <v>45</v>
      </c>
      <c r="L1192" s="4" t="n">
        <f aca="false">IF(O1192="Delivered",I1192-J1192+K1192,0)</f>
        <v>506</v>
      </c>
      <c r="M1192" s="0" t="n">
        <v>26</v>
      </c>
      <c r="N1192" s="0" t="n">
        <v>5</v>
      </c>
      <c r="O1192" s="3" t="s">
        <v>17</v>
      </c>
    </row>
    <row r="1193" customFormat="false" ht="15" hidden="false" customHeight="false" outlineLevel="0" collapsed="false">
      <c r="A1193" s="0" t="s">
        <v>1632</v>
      </c>
      <c r="B1193" s="2" t="n">
        <v>45960</v>
      </c>
      <c r="C1193" s="0" t="str">
        <f aca="false">TEXT(B1193,"mmm")</f>
        <v>Oct</v>
      </c>
      <c r="D1193" s="0" t="str">
        <f aca="false">TEXT(B1193,"ddd")</f>
        <v>Thu</v>
      </c>
      <c r="E1193" s="3" t="s">
        <v>40</v>
      </c>
      <c r="F1193" s="3" t="s">
        <v>14</v>
      </c>
      <c r="G1193" s="3" t="s">
        <v>15</v>
      </c>
      <c r="H1193" s="3" t="s">
        <v>22</v>
      </c>
      <c r="I1193" s="4" t="n">
        <v>195</v>
      </c>
      <c r="J1193" s="4" t="n">
        <v>0</v>
      </c>
      <c r="K1193" s="4" t="n">
        <v>30</v>
      </c>
      <c r="L1193" s="4" t="n">
        <f aca="false">IF(O1193="Delivered",I1193-J1193+K1193,0)</f>
        <v>0</v>
      </c>
      <c r="O1193" s="3" t="s">
        <v>68</v>
      </c>
    </row>
    <row r="1194" customFormat="false" ht="15" hidden="false" customHeight="false" outlineLevel="0" collapsed="false">
      <c r="A1194" s="0" t="s">
        <v>89</v>
      </c>
      <c r="B1194" s="2" t="n">
        <v>45961</v>
      </c>
      <c r="C1194" s="0" t="str">
        <f aca="false">TEXT(B1194,"mmm")</f>
        <v>Oct</v>
      </c>
      <c r="D1194" s="0" t="str">
        <f aca="false">TEXT(B1194,"ddd")</f>
        <v>Fri</v>
      </c>
      <c r="E1194" s="3" t="s">
        <v>24</v>
      </c>
      <c r="F1194" s="3" t="s">
        <v>78</v>
      </c>
      <c r="G1194" s="3" t="s">
        <v>15</v>
      </c>
      <c r="H1194" s="3" t="s">
        <v>22</v>
      </c>
      <c r="I1194" s="4" t="n">
        <v>466</v>
      </c>
      <c r="J1194" s="4" t="n">
        <v>0</v>
      </c>
      <c r="K1194" s="4" t="n">
        <v>40</v>
      </c>
      <c r="L1194" s="4" t="n">
        <f aca="false">IF(O1194="Delivered",I1194-J1194+K1194,0)</f>
        <v>506</v>
      </c>
      <c r="M1194" s="0" t="n">
        <v>32</v>
      </c>
      <c r="N1194" s="0" t="n">
        <v>4.4</v>
      </c>
      <c r="O1194" s="3" t="s">
        <v>17</v>
      </c>
    </row>
    <row r="1195" customFormat="false" ht="15" hidden="false" customHeight="false" outlineLevel="0" collapsed="false">
      <c r="A1195" s="0" t="s">
        <v>283</v>
      </c>
      <c r="B1195" s="2" t="n">
        <v>45961</v>
      </c>
      <c r="C1195" s="0" t="str">
        <f aca="false">TEXT(B1195,"mmm")</f>
        <v>Oct</v>
      </c>
      <c r="D1195" s="0" t="str">
        <f aca="false">TEXT(B1195,"ddd")</f>
        <v>Fri</v>
      </c>
      <c r="E1195" s="3" t="s">
        <v>45</v>
      </c>
      <c r="F1195" s="3" t="s">
        <v>20</v>
      </c>
      <c r="G1195" s="3" t="s">
        <v>21</v>
      </c>
      <c r="H1195" s="3" t="s">
        <v>34</v>
      </c>
      <c r="I1195" s="4" t="n">
        <v>657</v>
      </c>
      <c r="J1195" s="4" t="n">
        <v>0</v>
      </c>
      <c r="K1195" s="4" t="n">
        <v>0</v>
      </c>
      <c r="L1195" s="4" t="n">
        <f aca="false">IF(O1195="Delivered",I1195-J1195+K1195,0)</f>
        <v>657</v>
      </c>
      <c r="M1195" s="0" t="n">
        <v>28</v>
      </c>
      <c r="N1195" s="0" t="n">
        <v>4.6</v>
      </c>
      <c r="O1195" s="3" t="s">
        <v>17</v>
      </c>
    </row>
    <row r="1196" customFormat="false" ht="15" hidden="false" customHeight="false" outlineLevel="0" collapsed="false">
      <c r="A1196" s="0" t="s">
        <v>308</v>
      </c>
      <c r="B1196" s="2" t="n">
        <v>45961</v>
      </c>
      <c r="C1196" s="0" t="str">
        <f aca="false">TEXT(B1196,"mmm")</f>
        <v>Oct</v>
      </c>
      <c r="D1196" s="0" t="str">
        <f aca="false">TEXT(B1196,"ddd")</f>
        <v>Fri</v>
      </c>
      <c r="E1196" s="3" t="s">
        <v>13</v>
      </c>
      <c r="F1196" s="3" t="s">
        <v>31</v>
      </c>
      <c r="G1196" s="3" t="s">
        <v>21</v>
      </c>
      <c r="H1196" s="3" t="s">
        <v>22</v>
      </c>
      <c r="I1196" s="4" t="n">
        <v>486</v>
      </c>
      <c r="J1196" s="4" t="n">
        <v>0</v>
      </c>
      <c r="K1196" s="4" t="n">
        <v>40</v>
      </c>
      <c r="L1196" s="4" t="n">
        <f aca="false">IF(O1196="Delivered",I1196-J1196+K1196,0)</f>
        <v>526</v>
      </c>
      <c r="M1196" s="0" t="n">
        <v>28</v>
      </c>
      <c r="N1196" s="0" t="n">
        <v>4.4</v>
      </c>
      <c r="O1196" s="3" t="s">
        <v>17</v>
      </c>
    </row>
    <row r="1197" customFormat="false" ht="15" hidden="false" customHeight="false" outlineLevel="0" collapsed="false">
      <c r="A1197" s="0" t="s">
        <v>408</v>
      </c>
      <c r="B1197" s="2" t="n">
        <v>45961</v>
      </c>
      <c r="C1197" s="0" t="str">
        <f aca="false">TEXT(B1197,"mmm")</f>
        <v>Oct</v>
      </c>
      <c r="D1197" s="0" t="str">
        <f aca="false">TEXT(B1197,"ddd")</f>
        <v>Fri</v>
      </c>
      <c r="E1197" s="3" t="s">
        <v>27</v>
      </c>
      <c r="F1197" s="3" t="s">
        <v>56</v>
      </c>
      <c r="G1197" s="3" t="s">
        <v>15</v>
      </c>
      <c r="H1197" s="3" t="s">
        <v>36</v>
      </c>
      <c r="I1197" s="4" t="n">
        <v>403</v>
      </c>
      <c r="J1197" s="4" t="n">
        <v>60</v>
      </c>
      <c r="K1197" s="4" t="n">
        <v>45</v>
      </c>
      <c r="L1197" s="4" t="n">
        <f aca="false">IF(O1197="Delivered",I1197-J1197+K1197,0)</f>
        <v>388</v>
      </c>
      <c r="M1197" s="0" t="n">
        <v>37</v>
      </c>
      <c r="N1197" s="0" t="n">
        <v>4.1</v>
      </c>
      <c r="O1197" s="3" t="s">
        <v>17</v>
      </c>
    </row>
    <row r="1198" customFormat="false" ht="15" hidden="false" customHeight="false" outlineLevel="0" collapsed="false">
      <c r="A1198" s="0" t="s">
        <v>1434</v>
      </c>
      <c r="B1198" s="2" t="n">
        <v>45961</v>
      </c>
      <c r="C1198" s="0" t="str">
        <f aca="false">TEXT(B1198,"mmm")</f>
        <v>Oct</v>
      </c>
      <c r="D1198" s="0" t="str">
        <f aca="false">TEXT(B1198,"ddd")</f>
        <v>Fri</v>
      </c>
      <c r="E1198" s="3" t="s">
        <v>51</v>
      </c>
      <c r="F1198" s="3" t="s">
        <v>56</v>
      </c>
      <c r="G1198" s="3" t="s">
        <v>21</v>
      </c>
      <c r="H1198" s="3" t="s">
        <v>22</v>
      </c>
      <c r="I1198" s="4" t="n">
        <v>506</v>
      </c>
      <c r="J1198" s="4" t="n">
        <v>0</v>
      </c>
      <c r="K1198" s="4" t="n">
        <v>0</v>
      </c>
      <c r="L1198" s="4" t="n">
        <f aca="false">IF(O1198="Delivered",I1198-J1198+K1198,0)</f>
        <v>506</v>
      </c>
      <c r="M1198" s="0" t="n">
        <v>30</v>
      </c>
      <c r="N1198" s="0" t="n">
        <v>5</v>
      </c>
      <c r="O1198" s="3" t="s">
        <v>17</v>
      </c>
    </row>
    <row r="1199" customFormat="false" ht="15" hidden="false" customHeight="false" outlineLevel="0" collapsed="false">
      <c r="A1199" s="0" t="s">
        <v>230</v>
      </c>
      <c r="B1199" s="2" t="n">
        <v>45962</v>
      </c>
      <c r="C1199" s="0" t="str">
        <f aca="false">TEXT(B1199,"mmm")</f>
        <v>Nov</v>
      </c>
      <c r="D1199" s="0" t="str">
        <f aca="false">TEXT(B1199,"ddd")</f>
        <v>Sat</v>
      </c>
      <c r="E1199" s="3" t="s">
        <v>24</v>
      </c>
      <c r="F1199" s="3" t="s">
        <v>31</v>
      </c>
      <c r="G1199" s="3" t="s">
        <v>15</v>
      </c>
      <c r="H1199" s="3" t="s">
        <v>16</v>
      </c>
      <c r="I1199" s="4" t="n">
        <v>498</v>
      </c>
      <c r="J1199" s="4" t="n">
        <v>88</v>
      </c>
      <c r="K1199" s="4" t="n">
        <v>20</v>
      </c>
      <c r="L1199" s="4" t="n">
        <f aca="false">IF(O1199="Delivered",I1199-J1199+K1199,0)</f>
        <v>430</v>
      </c>
      <c r="M1199" s="0" t="n">
        <v>36</v>
      </c>
      <c r="N1199" s="0" t="n">
        <v>4.4</v>
      </c>
      <c r="O1199" s="3" t="s">
        <v>17</v>
      </c>
    </row>
    <row r="1200" customFormat="false" ht="15" hidden="false" customHeight="false" outlineLevel="0" collapsed="false">
      <c r="A1200" s="0" t="s">
        <v>790</v>
      </c>
      <c r="B1200" s="2" t="n">
        <v>45962</v>
      </c>
      <c r="C1200" s="0" t="str">
        <f aca="false">TEXT(B1200,"mmm")</f>
        <v>Nov</v>
      </c>
      <c r="D1200" s="0" t="str">
        <f aca="false">TEXT(B1200,"ddd")</f>
        <v>Sat</v>
      </c>
      <c r="E1200" s="3" t="s">
        <v>45</v>
      </c>
      <c r="F1200" s="3" t="s">
        <v>25</v>
      </c>
      <c r="G1200" s="3" t="s">
        <v>21</v>
      </c>
      <c r="H1200" s="3" t="s">
        <v>36</v>
      </c>
      <c r="I1200" s="4" t="n">
        <v>388</v>
      </c>
      <c r="J1200" s="4" t="n">
        <v>0</v>
      </c>
      <c r="K1200" s="4" t="n">
        <v>45</v>
      </c>
      <c r="L1200" s="4" t="n">
        <f aca="false">IF(O1200="Delivered",I1200-J1200+K1200,0)</f>
        <v>433</v>
      </c>
      <c r="M1200" s="0" t="n">
        <v>36</v>
      </c>
      <c r="N1200" s="0" t="n">
        <v>4.2</v>
      </c>
      <c r="O1200" s="3" t="s">
        <v>17</v>
      </c>
    </row>
    <row r="1201" customFormat="false" ht="15" hidden="false" customHeight="false" outlineLevel="0" collapsed="false">
      <c r="A1201" s="0" t="s">
        <v>1548</v>
      </c>
      <c r="B1201" s="2" t="n">
        <v>45962</v>
      </c>
      <c r="C1201" s="0" t="str">
        <f aca="false">TEXT(B1201,"mmm")</f>
        <v>Nov</v>
      </c>
      <c r="D1201" s="0" t="str">
        <f aca="false">TEXT(B1201,"ddd")</f>
        <v>Sat</v>
      </c>
      <c r="E1201" s="3" t="s">
        <v>24</v>
      </c>
      <c r="F1201" s="3" t="s">
        <v>31</v>
      </c>
      <c r="G1201" s="3" t="s">
        <v>15</v>
      </c>
      <c r="H1201" s="3" t="s">
        <v>36</v>
      </c>
      <c r="I1201" s="4" t="n">
        <v>587</v>
      </c>
      <c r="J1201" s="4" t="n">
        <v>110</v>
      </c>
      <c r="K1201" s="4" t="n">
        <v>0</v>
      </c>
      <c r="L1201" s="4" t="n">
        <f aca="false">IF(O1201="Delivered",I1201-J1201+K1201,0)</f>
        <v>477</v>
      </c>
      <c r="M1201" s="0" t="n">
        <v>37</v>
      </c>
      <c r="N1201" s="0" t="n">
        <v>4</v>
      </c>
      <c r="O1201" s="3" t="s">
        <v>17</v>
      </c>
    </row>
    <row r="1202" customFormat="false" ht="15" hidden="false" customHeight="false" outlineLevel="0" collapsed="false">
      <c r="A1202" s="0" t="s">
        <v>920</v>
      </c>
      <c r="B1202" s="2" t="n">
        <v>45963</v>
      </c>
      <c r="C1202" s="0" t="str">
        <f aca="false">TEXT(B1202,"mmm")</f>
        <v>Nov</v>
      </c>
      <c r="D1202" s="0" t="str">
        <f aca="false">TEXT(B1202,"ddd")</f>
        <v>Sun</v>
      </c>
      <c r="E1202" s="3" t="s">
        <v>45</v>
      </c>
      <c r="F1202" s="3" t="s">
        <v>78</v>
      </c>
      <c r="G1202" s="3" t="s">
        <v>21</v>
      </c>
      <c r="H1202" s="3" t="s">
        <v>16</v>
      </c>
      <c r="I1202" s="4" t="n">
        <v>342</v>
      </c>
      <c r="J1202" s="4" t="n">
        <v>0</v>
      </c>
      <c r="K1202" s="4" t="n">
        <v>40</v>
      </c>
      <c r="L1202" s="4" t="n">
        <f aca="false">IF(O1202="Delivered",I1202-J1202+K1202,0)</f>
        <v>382</v>
      </c>
      <c r="M1202" s="0" t="n">
        <v>23</v>
      </c>
      <c r="N1202" s="0" t="n">
        <v>4.6</v>
      </c>
      <c r="O1202" s="3" t="s">
        <v>17</v>
      </c>
    </row>
    <row r="1203" customFormat="false" ht="15" hidden="false" customHeight="false" outlineLevel="0" collapsed="false">
      <c r="A1203" s="0" t="s">
        <v>1514</v>
      </c>
      <c r="B1203" s="2" t="n">
        <v>45963</v>
      </c>
      <c r="C1203" s="0" t="str">
        <f aca="false">TEXT(B1203,"mmm")</f>
        <v>Nov</v>
      </c>
      <c r="D1203" s="0" t="str">
        <f aca="false">TEXT(B1203,"ddd")</f>
        <v>Sun</v>
      </c>
      <c r="E1203" s="3" t="s">
        <v>27</v>
      </c>
      <c r="F1203" s="3" t="s">
        <v>31</v>
      </c>
      <c r="G1203" s="3" t="s">
        <v>15</v>
      </c>
      <c r="H1203" s="3" t="s">
        <v>22</v>
      </c>
      <c r="I1203" s="4" t="n">
        <v>413</v>
      </c>
      <c r="J1203" s="4" t="n">
        <v>95</v>
      </c>
      <c r="K1203" s="4" t="n">
        <v>30</v>
      </c>
      <c r="L1203" s="4" t="n">
        <f aca="false">IF(O1203="Delivered",I1203-J1203+K1203,0)</f>
        <v>348</v>
      </c>
      <c r="M1203" s="0" t="n">
        <v>35</v>
      </c>
      <c r="N1203" s="0" t="n">
        <v>3.9</v>
      </c>
      <c r="O1203" s="3" t="s">
        <v>17</v>
      </c>
    </row>
    <row r="1204" customFormat="false" ht="15" hidden="false" customHeight="false" outlineLevel="0" collapsed="false">
      <c r="A1204" s="0" t="s">
        <v>134</v>
      </c>
      <c r="B1204" s="2" t="n">
        <v>45964</v>
      </c>
      <c r="C1204" s="0" t="str">
        <f aca="false">TEXT(B1204,"mmm")</f>
        <v>Nov</v>
      </c>
      <c r="D1204" s="0" t="str">
        <f aca="false">TEXT(B1204,"ddd")</f>
        <v>Mon</v>
      </c>
      <c r="E1204" s="3" t="s">
        <v>27</v>
      </c>
      <c r="F1204" s="3" t="s">
        <v>20</v>
      </c>
      <c r="G1204" s="3" t="s">
        <v>21</v>
      </c>
      <c r="H1204" s="3" t="s">
        <v>34</v>
      </c>
      <c r="I1204" s="4" t="n">
        <v>538</v>
      </c>
      <c r="J1204" s="4" t="n">
        <v>0</v>
      </c>
      <c r="K1204" s="4" t="n">
        <v>0</v>
      </c>
      <c r="L1204" s="4" t="n">
        <f aca="false">IF(O1204="Delivered",I1204-J1204+K1204,0)</f>
        <v>538</v>
      </c>
      <c r="M1204" s="0" t="n">
        <v>38</v>
      </c>
      <c r="O1204" s="3" t="s">
        <v>17</v>
      </c>
    </row>
    <row r="1205" customFormat="false" ht="15" hidden="false" customHeight="false" outlineLevel="0" collapsed="false">
      <c r="A1205" s="0" t="s">
        <v>841</v>
      </c>
      <c r="B1205" s="2" t="n">
        <v>45964</v>
      </c>
      <c r="C1205" s="0" t="str">
        <f aca="false">TEXT(B1205,"mmm")</f>
        <v>Nov</v>
      </c>
      <c r="D1205" s="0" t="str">
        <f aca="false">TEXT(B1205,"ddd")</f>
        <v>Mon</v>
      </c>
      <c r="E1205" s="3" t="s">
        <v>45</v>
      </c>
      <c r="F1205" s="3" t="s">
        <v>78</v>
      </c>
      <c r="G1205" s="3" t="s">
        <v>21</v>
      </c>
      <c r="H1205" s="3" t="s">
        <v>22</v>
      </c>
      <c r="I1205" s="4" t="n">
        <v>342</v>
      </c>
      <c r="J1205" s="4" t="n">
        <v>73</v>
      </c>
      <c r="K1205" s="4" t="n">
        <v>30</v>
      </c>
      <c r="L1205" s="4" t="n">
        <f aca="false">IF(O1205="Delivered",I1205-J1205+K1205,0)</f>
        <v>299</v>
      </c>
      <c r="M1205" s="0" t="n">
        <v>34</v>
      </c>
      <c r="N1205" s="0" t="n">
        <v>5</v>
      </c>
      <c r="O1205" s="3" t="s">
        <v>17</v>
      </c>
    </row>
    <row r="1206" customFormat="false" ht="15" hidden="false" customHeight="false" outlineLevel="0" collapsed="false">
      <c r="A1206" s="0" t="s">
        <v>1253</v>
      </c>
      <c r="B1206" s="2" t="n">
        <v>45964</v>
      </c>
      <c r="C1206" s="0" t="str">
        <f aca="false">TEXT(B1206,"mmm")</f>
        <v>Nov</v>
      </c>
      <c r="D1206" s="0" t="str">
        <f aca="false">TEXT(B1206,"ddd")</f>
        <v>Mon</v>
      </c>
      <c r="E1206" s="3" t="s">
        <v>27</v>
      </c>
      <c r="F1206" s="3" t="s">
        <v>20</v>
      </c>
      <c r="G1206" s="3" t="s">
        <v>21</v>
      </c>
      <c r="H1206" s="3" t="s">
        <v>22</v>
      </c>
      <c r="I1206" s="4" t="n">
        <v>537</v>
      </c>
      <c r="J1206" s="4" t="n">
        <v>66</v>
      </c>
      <c r="K1206" s="4" t="n">
        <v>0</v>
      </c>
      <c r="L1206" s="4" t="n">
        <f aca="false">IF(O1206="Delivered",I1206-J1206+K1206,0)</f>
        <v>471</v>
      </c>
      <c r="M1206" s="0" t="n">
        <v>44</v>
      </c>
      <c r="N1206" s="0" t="n">
        <v>3.3</v>
      </c>
      <c r="O1206" s="3" t="s">
        <v>17</v>
      </c>
    </row>
    <row r="1207" customFormat="false" ht="15" hidden="false" customHeight="false" outlineLevel="0" collapsed="false">
      <c r="A1207" s="0" t="s">
        <v>330</v>
      </c>
      <c r="B1207" s="2" t="n">
        <v>45965</v>
      </c>
      <c r="C1207" s="0" t="str">
        <f aca="false">TEXT(B1207,"mmm")</f>
        <v>Nov</v>
      </c>
      <c r="D1207" s="0" t="str">
        <f aca="false">TEXT(B1207,"ddd")</f>
        <v>Tue</v>
      </c>
      <c r="E1207" s="3" t="s">
        <v>40</v>
      </c>
      <c r="F1207" s="3" t="s">
        <v>31</v>
      </c>
      <c r="G1207" s="3" t="s">
        <v>21</v>
      </c>
      <c r="H1207" s="3" t="s">
        <v>34</v>
      </c>
      <c r="I1207" s="4" t="n">
        <v>393</v>
      </c>
      <c r="J1207" s="4" t="n">
        <v>0</v>
      </c>
      <c r="K1207" s="4" t="n">
        <v>40</v>
      </c>
      <c r="L1207" s="4" t="n">
        <f aca="false">IF(O1207="Delivered",I1207-J1207+K1207,0)</f>
        <v>433</v>
      </c>
      <c r="M1207" s="0" t="n">
        <v>40</v>
      </c>
      <c r="N1207" s="0" t="n">
        <v>3.7</v>
      </c>
      <c r="O1207" s="3" t="s">
        <v>17</v>
      </c>
    </row>
    <row r="1208" customFormat="false" ht="15" hidden="false" customHeight="false" outlineLevel="0" collapsed="false">
      <c r="A1208" s="0" t="s">
        <v>1131</v>
      </c>
      <c r="B1208" s="2" t="n">
        <v>45965</v>
      </c>
      <c r="C1208" s="0" t="str">
        <f aca="false">TEXT(B1208,"mmm")</f>
        <v>Nov</v>
      </c>
      <c r="D1208" s="0" t="str">
        <f aca="false">TEXT(B1208,"ddd")</f>
        <v>Tue</v>
      </c>
      <c r="E1208" s="3" t="s">
        <v>24</v>
      </c>
      <c r="F1208" s="3" t="s">
        <v>56</v>
      </c>
      <c r="G1208" s="3" t="s">
        <v>15</v>
      </c>
      <c r="H1208" s="3" t="s">
        <v>54</v>
      </c>
      <c r="I1208" s="4" t="n">
        <v>396</v>
      </c>
      <c r="J1208" s="4" t="n">
        <v>95</v>
      </c>
      <c r="K1208" s="4" t="n">
        <v>20</v>
      </c>
      <c r="L1208" s="4" t="n">
        <f aca="false">IF(O1208="Delivered",I1208-J1208+K1208,0)</f>
        <v>321</v>
      </c>
      <c r="M1208" s="0" t="n">
        <v>42</v>
      </c>
      <c r="N1208" s="0" t="n">
        <v>4.4</v>
      </c>
      <c r="O1208" s="3" t="s">
        <v>17</v>
      </c>
    </row>
    <row r="1209" customFormat="false" ht="15" hidden="false" customHeight="false" outlineLevel="0" collapsed="false">
      <c r="A1209" s="0" t="s">
        <v>1328</v>
      </c>
      <c r="B1209" s="2" t="n">
        <v>45965</v>
      </c>
      <c r="C1209" s="0" t="str">
        <f aca="false">TEXT(B1209,"mmm")</f>
        <v>Nov</v>
      </c>
      <c r="D1209" s="0" t="str">
        <f aca="false">TEXT(B1209,"ddd")</f>
        <v>Tue</v>
      </c>
      <c r="E1209" s="3" t="s">
        <v>27</v>
      </c>
      <c r="F1209" s="3" t="s">
        <v>20</v>
      </c>
      <c r="G1209" s="3" t="s">
        <v>21</v>
      </c>
      <c r="H1209" s="3" t="s">
        <v>16</v>
      </c>
      <c r="I1209" s="4" t="n">
        <v>759</v>
      </c>
      <c r="J1209" s="4" t="n">
        <v>0</v>
      </c>
      <c r="K1209" s="4" t="n">
        <v>0</v>
      </c>
      <c r="L1209" s="4" t="n">
        <f aca="false">IF(O1209="Delivered",I1209-J1209+K1209,0)</f>
        <v>0</v>
      </c>
      <c r="O1209" s="3" t="s">
        <v>68</v>
      </c>
    </row>
    <row r="1210" customFormat="false" ht="15" hidden="false" customHeight="false" outlineLevel="0" collapsed="false">
      <c r="A1210" s="0" t="s">
        <v>1301</v>
      </c>
      <c r="B1210" s="2" t="n">
        <v>45966</v>
      </c>
      <c r="C1210" s="0" t="str">
        <f aca="false">TEXT(B1210,"mmm")</f>
        <v>Nov</v>
      </c>
      <c r="D1210" s="0" t="str">
        <f aca="false">TEXT(B1210,"ddd")</f>
        <v>Wed</v>
      </c>
      <c r="E1210" s="3" t="s">
        <v>45</v>
      </c>
      <c r="F1210" s="3" t="s">
        <v>56</v>
      </c>
      <c r="G1210" s="3" t="s">
        <v>21</v>
      </c>
      <c r="H1210" s="3" t="s">
        <v>22</v>
      </c>
      <c r="I1210" s="4" t="n">
        <v>377</v>
      </c>
      <c r="J1210" s="4" t="n">
        <v>0</v>
      </c>
      <c r="K1210" s="4" t="n">
        <v>20</v>
      </c>
      <c r="L1210" s="4" t="n">
        <f aca="false">IF(O1210="Delivered",I1210-J1210+K1210,0)</f>
        <v>397</v>
      </c>
      <c r="M1210" s="0" t="n">
        <v>27</v>
      </c>
      <c r="N1210" s="0" t="n">
        <v>3.8</v>
      </c>
      <c r="O1210" s="3" t="s">
        <v>17</v>
      </c>
    </row>
    <row r="1211" customFormat="false" ht="15" hidden="false" customHeight="false" outlineLevel="0" collapsed="false">
      <c r="A1211" s="0" t="s">
        <v>1426</v>
      </c>
      <c r="B1211" s="2" t="n">
        <v>45966</v>
      </c>
      <c r="C1211" s="0" t="str">
        <f aca="false">TEXT(B1211,"mmm")</f>
        <v>Nov</v>
      </c>
      <c r="D1211" s="0" t="str">
        <f aca="false">TEXT(B1211,"ddd")</f>
        <v>Wed</v>
      </c>
      <c r="E1211" s="3" t="s">
        <v>13</v>
      </c>
      <c r="F1211" s="3" t="s">
        <v>56</v>
      </c>
      <c r="G1211" s="3" t="s">
        <v>21</v>
      </c>
      <c r="H1211" s="3" t="s">
        <v>54</v>
      </c>
      <c r="I1211" s="4" t="n">
        <v>450</v>
      </c>
      <c r="J1211" s="4" t="n">
        <v>0</v>
      </c>
      <c r="K1211" s="4" t="n">
        <v>45</v>
      </c>
      <c r="L1211" s="4" t="n">
        <f aca="false">IF(O1211="Delivered",I1211-J1211+K1211,0)</f>
        <v>495</v>
      </c>
      <c r="M1211" s="0" t="n">
        <v>34</v>
      </c>
      <c r="N1211" s="0" t="n">
        <v>4.2</v>
      </c>
      <c r="O1211" s="3" t="s">
        <v>17</v>
      </c>
    </row>
    <row r="1212" customFormat="false" ht="15" hidden="false" customHeight="false" outlineLevel="0" collapsed="false">
      <c r="A1212" s="0" t="s">
        <v>43</v>
      </c>
      <c r="B1212" s="2" t="n">
        <v>45967</v>
      </c>
      <c r="C1212" s="0" t="str">
        <f aca="false">TEXT(B1212,"mmm")</f>
        <v>Nov</v>
      </c>
      <c r="D1212" s="0" t="str">
        <f aca="false">TEXT(B1212,"ddd")</f>
        <v>Thu</v>
      </c>
      <c r="E1212" s="3" t="s">
        <v>13</v>
      </c>
      <c r="F1212" s="3" t="s">
        <v>28</v>
      </c>
      <c r="G1212" s="3" t="s">
        <v>15</v>
      </c>
      <c r="H1212" s="3" t="s">
        <v>34</v>
      </c>
      <c r="I1212" s="4" t="n">
        <v>268</v>
      </c>
      <c r="J1212" s="4" t="n">
        <v>38</v>
      </c>
      <c r="K1212" s="4" t="n">
        <v>20</v>
      </c>
      <c r="L1212" s="4" t="n">
        <f aca="false">IF(O1212="Delivered",I1212-J1212+K1212,0)</f>
        <v>250</v>
      </c>
      <c r="M1212" s="0" t="n">
        <v>33</v>
      </c>
      <c r="N1212" s="0" t="n">
        <v>4.5</v>
      </c>
      <c r="O1212" s="3" t="s">
        <v>17</v>
      </c>
    </row>
    <row r="1213" customFormat="false" ht="15" hidden="false" customHeight="false" outlineLevel="0" collapsed="false">
      <c r="A1213" s="0" t="s">
        <v>335</v>
      </c>
      <c r="B1213" s="2" t="n">
        <v>45967</v>
      </c>
      <c r="C1213" s="0" t="str">
        <f aca="false">TEXT(B1213,"mmm")</f>
        <v>Nov</v>
      </c>
      <c r="D1213" s="0" t="str">
        <f aca="false">TEXT(B1213,"ddd")</f>
        <v>Thu</v>
      </c>
      <c r="E1213" s="3" t="s">
        <v>40</v>
      </c>
      <c r="F1213" s="3" t="s">
        <v>28</v>
      </c>
      <c r="G1213" s="3" t="s">
        <v>21</v>
      </c>
      <c r="H1213" s="3" t="s">
        <v>22</v>
      </c>
      <c r="I1213" s="4" t="n">
        <v>400</v>
      </c>
      <c r="J1213" s="4" t="n">
        <v>0</v>
      </c>
      <c r="K1213" s="4" t="n">
        <v>20</v>
      </c>
      <c r="L1213" s="4" t="n">
        <f aca="false">IF(O1213="Delivered",I1213-J1213+K1213,0)</f>
        <v>420</v>
      </c>
      <c r="M1213" s="0" t="n">
        <v>41</v>
      </c>
      <c r="N1213" s="0" t="n">
        <v>3.7</v>
      </c>
      <c r="O1213" s="3" t="s">
        <v>17</v>
      </c>
    </row>
    <row r="1214" customFormat="false" ht="15" hidden="false" customHeight="false" outlineLevel="0" collapsed="false">
      <c r="A1214" s="0" t="s">
        <v>753</v>
      </c>
      <c r="B1214" s="2" t="n">
        <v>45967</v>
      </c>
      <c r="C1214" s="0" t="str">
        <f aca="false">TEXT(B1214,"mmm")</f>
        <v>Nov</v>
      </c>
      <c r="D1214" s="0" t="str">
        <f aca="false">TEXT(B1214,"ddd")</f>
        <v>Thu</v>
      </c>
      <c r="E1214" s="3" t="s">
        <v>13</v>
      </c>
      <c r="F1214" s="3" t="s">
        <v>78</v>
      </c>
      <c r="G1214" s="3" t="s">
        <v>15</v>
      </c>
      <c r="H1214" s="3" t="s">
        <v>22</v>
      </c>
      <c r="I1214" s="4" t="n">
        <v>379</v>
      </c>
      <c r="J1214" s="4" t="n">
        <v>0</v>
      </c>
      <c r="K1214" s="4" t="n">
        <v>20</v>
      </c>
      <c r="L1214" s="4" t="n">
        <f aca="false">IF(O1214="Delivered",I1214-J1214+K1214,0)</f>
        <v>399</v>
      </c>
      <c r="M1214" s="0" t="n">
        <v>31</v>
      </c>
      <c r="N1214" s="0" t="n">
        <v>5</v>
      </c>
      <c r="O1214" s="3" t="s">
        <v>17</v>
      </c>
    </row>
    <row r="1215" customFormat="false" ht="15" hidden="false" customHeight="false" outlineLevel="0" collapsed="false">
      <c r="A1215" s="0" t="s">
        <v>1322</v>
      </c>
      <c r="B1215" s="2" t="n">
        <v>45967</v>
      </c>
      <c r="C1215" s="0" t="str">
        <f aca="false">TEXT(B1215,"mmm")</f>
        <v>Nov</v>
      </c>
      <c r="D1215" s="0" t="str">
        <f aca="false">TEXT(B1215,"ddd")</f>
        <v>Thu</v>
      </c>
      <c r="E1215" s="3" t="s">
        <v>24</v>
      </c>
      <c r="F1215" s="3" t="s">
        <v>14</v>
      </c>
      <c r="G1215" s="3" t="s">
        <v>21</v>
      </c>
      <c r="H1215" s="3" t="s">
        <v>34</v>
      </c>
      <c r="I1215" s="4" t="n">
        <v>342</v>
      </c>
      <c r="J1215" s="4" t="n">
        <v>0</v>
      </c>
      <c r="K1215" s="4" t="n">
        <v>45</v>
      </c>
      <c r="L1215" s="4" t="n">
        <f aca="false">IF(O1215="Delivered",I1215-J1215+K1215,0)</f>
        <v>387</v>
      </c>
      <c r="M1215" s="0" t="n">
        <v>35</v>
      </c>
      <c r="O1215" s="3" t="s">
        <v>17</v>
      </c>
    </row>
    <row r="1216" customFormat="false" ht="15" hidden="false" customHeight="false" outlineLevel="0" collapsed="false">
      <c r="A1216" s="0" t="s">
        <v>1326</v>
      </c>
      <c r="B1216" s="2" t="n">
        <v>45967</v>
      </c>
      <c r="C1216" s="0" t="str">
        <f aca="false">TEXT(B1216,"mmm")</f>
        <v>Nov</v>
      </c>
      <c r="D1216" s="0" t="str">
        <f aca="false">TEXT(B1216,"ddd")</f>
        <v>Thu</v>
      </c>
      <c r="E1216" s="3" t="s">
        <v>45</v>
      </c>
      <c r="F1216" s="3" t="s">
        <v>31</v>
      </c>
      <c r="G1216" s="3" t="s">
        <v>15</v>
      </c>
      <c r="H1216" s="3" t="s">
        <v>36</v>
      </c>
      <c r="I1216" s="4" t="n">
        <v>555</v>
      </c>
      <c r="J1216" s="4" t="n">
        <v>131</v>
      </c>
      <c r="K1216" s="4" t="n">
        <v>0</v>
      </c>
      <c r="L1216" s="4" t="n">
        <f aca="false">IF(O1216="Delivered",I1216-J1216+K1216,0)</f>
        <v>424</v>
      </c>
      <c r="M1216" s="0" t="n">
        <v>22</v>
      </c>
      <c r="N1216" s="0" t="n">
        <v>4.7</v>
      </c>
      <c r="O1216" s="3" t="s">
        <v>17</v>
      </c>
    </row>
    <row r="1217" customFormat="false" ht="15" hidden="false" customHeight="false" outlineLevel="0" collapsed="false">
      <c r="A1217" s="0" t="s">
        <v>1347</v>
      </c>
      <c r="B1217" s="2" t="n">
        <v>45967</v>
      </c>
      <c r="C1217" s="0" t="str">
        <f aca="false">TEXT(B1217,"mmm")</f>
        <v>Nov</v>
      </c>
      <c r="D1217" s="0" t="str">
        <f aca="false">TEXT(B1217,"ddd")</f>
        <v>Thu</v>
      </c>
      <c r="E1217" s="3" t="s">
        <v>13</v>
      </c>
      <c r="F1217" s="3" t="s">
        <v>14</v>
      </c>
      <c r="G1217" s="3" t="s">
        <v>15</v>
      </c>
      <c r="H1217" s="3" t="s">
        <v>22</v>
      </c>
      <c r="I1217" s="4" t="n">
        <v>234</v>
      </c>
      <c r="J1217" s="4" t="n">
        <v>41</v>
      </c>
      <c r="K1217" s="4" t="n">
        <v>20</v>
      </c>
      <c r="L1217" s="4" t="n">
        <f aca="false">IF(O1217="Delivered",I1217-J1217+K1217,0)</f>
        <v>213</v>
      </c>
      <c r="M1217" s="0" t="n">
        <v>23</v>
      </c>
      <c r="N1217" s="0" t="n">
        <v>4.4</v>
      </c>
      <c r="O1217" s="3" t="s">
        <v>17</v>
      </c>
    </row>
    <row r="1218" customFormat="false" ht="15" hidden="false" customHeight="false" outlineLevel="0" collapsed="false">
      <c r="A1218" s="0" t="s">
        <v>1678</v>
      </c>
      <c r="B1218" s="2" t="n">
        <v>45967</v>
      </c>
      <c r="C1218" s="0" t="str">
        <f aca="false">TEXT(B1218,"mmm")</f>
        <v>Nov</v>
      </c>
      <c r="D1218" s="0" t="str">
        <f aca="false">TEXT(B1218,"ddd")</f>
        <v>Thu</v>
      </c>
      <c r="E1218" s="3" t="s">
        <v>30</v>
      </c>
      <c r="F1218" s="3" t="s">
        <v>14</v>
      </c>
      <c r="G1218" s="3" t="s">
        <v>21</v>
      </c>
      <c r="H1218" s="3" t="s">
        <v>54</v>
      </c>
      <c r="I1218" s="4" t="n">
        <v>209</v>
      </c>
      <c r="J1218" s="4" t="n">
        <v>26</v>
      </c>
      <c r="K1218" s="4" t="n">
        <v>30</v>
      </c>
      <c r="L1218" s="4" t="n">
        <f aca="false">IF(O1218="Delivered",I1218-J1218+K1218,0)</f>
        <v>213</v>
      </c>
      <c r="M1218" s="0" t="n">
        <v>24</v>
      </c>
      <c r="N1218" s="0" t="n">
        <v>4.8</v>
      </c>
      <c r="O1218" s="3" t="s">
        <v>17</v>
      </c>
    </row>
    <row r="1219" customFormat="false" ht="15" hidden="false" customHeight="false" outlineLevel="0" collapsed="false">
      <c r="A1219" s="0" t="s">
        <v>52</v>
      </c>
      <c r="B1219" s="2" t="n">
        <v>45968</v>
      </c>
      <c r="C1219" s="0" t="str">
        <f aca="false">TEXT(B1219,"mmm")</f>
        <v>Nov</v>
      </c>
      <c r="D1219" s="0" t="str">
        <f aca="false">TEXT(B1219,"ddd")</f>
        <v>Fri</v>
      </c>
      <c r="E1219" s="3" t="s">
        <v>40</v>
      </c>
      <c r="F1219" s="3" t="s">
        <v>25</v>
      </c>
      <c r="G1219" s="3" t="s">
        <v>21</v>
      </c>
      <c r="H1219" s="3" t="s">
        <v>36</v>
      </c>
      <c r="I1219" s="4" t="n">
        <v>566</v>
      </c>
      <c r="J1219" s="4" t="n">
        <v>0</v>
      </c>
      <c r="K1219" s="4" t="n">
        <v>0</v>
      </c>
      <c r="L1219" s="4" t="n">
        <f aca="false">IF(O1219="Delivered",I1219-J1219+K1219,0)</f>
        <v>566</v>
      </c>
      <c r="M1219" s="0" t="n">
        <v>42</v>
      </c>
      <c r="N1219" s="0" t="n">
        <v>4.4</v>
      </c>
      <c r="O1219" s="3" t="s">
        <v>17</v>
      </c>
    </row>
    <row r="1220" customFormat="false" ht="15" hidden="false" customHeight="false" outlineLevel="0" collapsed="false">
      <c r="A1220" s="0" t="s">
        <v>212</v>
      </c>
      <c r="B1220" s="2" t="n">
        <v>45968</v>
      </c>
      <c r="C1220" s="0" t="str">
        <f aca="false">TEXT(B1220,"mmm")</f>
        <v>Nov</v>
      </c>
      <c r="D1220" s="0" t="str">
        <f aca="false">TEXT(B1220,"ddd")</f>
        <v>Fri</v>
      </c>
      <c r="E1220" s="3" t="s">
        <v>24</v>
      </c>
      <c r="F1220" s="3" t="s">
        <v>31</v>
      </c>
      <c r="G1220" s="3" t="s">
        <v>21</v>
      </c>
      <c r="H1220" s="3" t="s">
        <v>36</v>
      </c>
      <c r="I1220" s="4" t="n">
        <v>538</v>
      </c>
      <c r="J1220" s="4" t="n">
        <v>117</v>
      </c>
      <c r="K1220" s="4" t="n">
        <v>0</v>
      </c>
      <c r="L1220" s="4" t="n">
        <f aca="false">IF(O1220="Delivered",I1220-J1220+K1220,0)</f>
        <v>421</v>
      </c>
      <c r="M1220" s="0" t="n">
        <v>37</v>
      </c>
      <c r="N1220" s="0" t="n">
        <v>4</v>
      </c>
      <c r="O1220" s="3" t="s">
        <v>17</v>
      </c>
    </row>
    <row r="1221" customFormat="false" ht="15" hidden="false" customHeight="false" outlineLevel="0" collapsed="false">
      <c r="A1221" s="0" t="s">
        <v>489</v>
      </c>
      <c r="B1221" s="2" t="n">
        <v>45968</v>
      </c>
      <c r="C1221" s="0" t="str">
        <f aca="false">TEXT(B1221,"mmm")</f>
        <v>Nov</v>
      </c>
      <c r="D1221" s="0" t="str">
        <f aca="false">TEXT(B1221,"ddd")</f>
        <v>Fri</v>
      </c>
      <c r="E1221" s="3" t="s">
        <v>13</v>
      </c>
      <c r="F1221" s="3" t="s">
        <v>31</v>
      </c>
      <c r="G1221" s="3" t="s">
        <v>15</v>
      </c>
      <c r="H1221" s="3" t="s">
        <v>36</v>
      </c>
      <c r="I1221" s="4" t="n">
        <v>308</v>
      </c>
      <c r="J1221" s="4" t="n">
        <v>58</v>
      </c>
      <c r="K1221" s="4" t="n">
        <v>20</v>
      </c>
      <c r="L1221" s="4" t="n">
        <f aca="false">IF(O1221="Delivered",I1221-J1221+K1221,0)</f>
        <v>270</v>
      </c>
      <c r="M1221" s="0" t="n">
        <v>29</v>
      </c>
      <c r="N1221" s="0" t="n">
        <v>4.3</v>
      </c>
      <c r="O1221" s="3" t="s">
        <v>17</v>
      </c>
    </row>
    <row r="1222" customFormat="false" ht="15" hidden="false" customHeight="false" outlineLevel="0" collapsed="false">
      <c r="A1222" s="0" t="s">
        <v>628</v>
      </c>
      <c r="B1222" s="2" t="n">
        <v>45968</v>
      </c>
      <c r="C1222" s="0" t="str">
        <f aca="false">TEXT(B1222,"mmm")</f>
        <v>Nov</v>
      </c>
      <c r="D1222" s="0" t="str">
        <f aca="false">TEXT(B1222,"ddd")</f>
        <v>Fri</v>
      </c>
      <c r="E1222" s="3" t="s">
        <v>24</v>
      </c>
      <c r="F1222" s="3" t="s">
        <v>28</v>
      </c>
      <c r="G1222" s="3" t="s">
        <v>21</v>
      </c>
      <c r="H1222" s="3" t="s">
        <v>22</v>
      </c>
      <c r="I1222" s="4" t="n">
        <v>459</v>
      </c>
      <c r="J1222" s="4" t="n">
        <v>61</v>
      </c>
      <c r="K1222" s="4" t="n">
        <v>30</v>
      </c>
      <c r="L1222" s="4" t="n">
        <f aca="false">IF(O1222="Delivered",I1222-J1222+K1222,0)</f>
        <v>428</v>
      </c>
      <c r="M1222" s="0" t="n">
        <v>29</v>
      </c>
      <c r="N1222" s="0" t="n">
        <v>4.6</v>
      </c>
      <c r="O1222" s="3" t="s">
        <v>17</v>
      </c>
    </row>
    <row r="1223" customFormat="false" ht="15" hidden="false" customHeight="false" outlineLevel="0" collapsed="false">
      <c r="A1223" s="0" t="s">
        <v>1376</v>
      </c>
      <c r="B1223" s="2" t="n">
        <v>45968</v>
      </c>
      <c r="C1223" s="0" t="str">
        <f aca="false">TEXT(B1223,"mmm")</f>
        <v>Nov</v>
      </c>
      <c r="D1223" s="0" t="str">
        <f aca="false">TEXT(B1223,"ddd")</f>
        <v>Fri</v>
      </c>
      <c r="E1223" s="3" t="s">
        <v>24</v>
      </c>
      <c r="F1223" s="3" t="s">
        <v>25</v>
      </c>
      <c r="G1223" s="3" t="s">
        <v>21</v>
      </c>
      <c r="H1223" s="3" t="s">
        <v>36</v>
      </c>
      <c r="I1223" s="4" t="n">
        <v>482</v>
      </c>
      <c r="J1223" s="4" t="n">
        <v>74</v>
      </c>
      <c r="K1223" s="4" t="n">
        <v>40</v>
      </c>
      <c r="L1223" s="4" t="n">
        <f aca="false">IF(O1223="Delivered",I1223-J1223+K1223,0)</f>
        <v>448</v>
      </c>
      <c r="M1223" s="0" t="n">
        <v>32</v>
      </c>
      <c r="N1223" s="0" t="n">
        <v>4</v>
      </c>
      <c r="O1223" s="3" t="s">
        <v>17</v>
      </c>
    </row>
    <row r="1224" customFormat="false" ht="15" hidden="false" customHeight="false" outlineLevel="0" collapsed="false">
      <c r="A1224" s="0" t="s">
        <v>1473</v>
      </c>
      <c r="B1224" s="2" t="n">
        <v>45968</v>
      </c>
      <c r="C1224" s="0" t="str">
        <f aca="false">TEXT(B1224,"mmm")</f>
        <v>Nov</v>
      </c>
      <c r="D1224" s="0" t="str">
        <f aca="false">TEXT(B1224,"ddd")</f>
        <v>Fri</v>
      </c>
      <c r="E1224" s="3" t="s">
        <v>40</v>
      </c>
      <c r="F1224" s="3" t="s">
        <v>31</v>
      </c>
      <c r="G1224" s="3" t="s">
        <v>21</v>
      </c>
      <c r="H1224" s="3" t="s">
        <v>16</v>
      </c>
      <c r="I1224" s="4" t="n">
        <v>358</v>
      </c>
      <c r="J1224" s="4" t="n">
        <v>0</v>
      </c>
      <c r="K1224" s="4" t="n">
        <v>20</v>
      </c>
      <c r="L1224" s="4" t="n">
        <f aca="false">IF(O1224="Delivered",I1224-J1224+K1224,0)</f>
        <v>0</v>
      </c>
      <c r="O1224" s="3" t="s">
        <v>68</v>
      </c>
    </row>
    <row r="1225" customFormat="false" ht="15" hidden="false" customHeight="false" outlineLevel="0" collapsed="false">
      <c r="A1225" s="0" t="s">
        <v>229</v>
      </c>
      <c r="B1225" s="2" t="n">
        <v>45969</v>
      </c>
      <c r="C1225" s="0" t="str">
        <f aca="false">TEXT(B1225,"mmm")</f>
        <v>Nov</v>
      </c>
      <c r="D1225" s="0" t="str">
        <f aca="false">TEXT(B1225,"ddd")</f>
        <v>Sat</v>
      </c>
      <c r="E1225" s="3" t="s">
        <v>45</v>
      </c>
      <c r="F1225" s="3" t="s">
        <v>31</v>
      </c>
      <c r="G1225" s="3" t="s">
        <v>21</v>
      </c>
      <c r="H1225" s="3" t="s">
        <v>34</v>
      </c>
      <c r="I1225" s="4" t="n">
        <v>590</v>
      </c>
      <c r="J1225" s="4" t="n">
        <v>0</v>
      </c>
      <c r="K1225" s="4" t="n">
        <v>0</v>
      </c>
      <c r="L1225" s="4" t="n">
        <f aca="false">IF(O1225="Delivered",I1225-J1225+K1225,0)</f>
        <v>590</v>
      </c>
      <c r="M1225" s="0" t="n">
        <v>38</v>
      </c>
      <c r="N1225" s="0" t="n">
        <v>3.7</v>
      </c>
      <c r="O1225" s="3" t="s">
        <v>17</v>
      </c>
    </row>
    <row r="1226" customFormat="false" ht="15" hidden="false" customHeight="false" outlineLevel="0" collapsed="false">
      <c r="A1226" s="0" t="s">
        <v>260</v>
      </c>
      <c r="B1226" s="2" t="n">
        <v>45969</v>
      </c>
      <c r="C1226" s="0" t="str">
        <f aca="false">TEXT(B1226,"mmm")</f>
        <v>Nov</v>
      </c>
      <c r="D1226" s="0" t="str">
        <f aca="false">TEXT(B1226,"ddd")</f>
        <v>Sat</v>
      </c>
      <c r="E1226" s="3" t="s">
        <v>13</v>
      </c>
      <c r="F1226" s="3" t="s">
        <v>28</v>
      </c>
      <c r="G1226" s="3" t="s">
        <v>21</v>
      </c>
      <c r="H1226" s="3" t="s">
        <v>16</v>
      </c>
      <c r="I1226" s="4" t="n">
        <v>444</v>
      </c>
      <c r="J1226" s="4" t="n">
        <v>0</v>
      </c>
      <c r="K1226" s="4" t="n">
        <v>30</v>
      </c>
      <c r="L1226" s="4" t="n">
        <f aca="false">IF(O1226="Delivered",I1226-J1226+K1226,0)</f>
        <v>0</v>
      </c>
      <c r="O1226" s="3" t="s">
        <v>68</v>
      </c>
    </row>
    <row r="1227" customFormat="false" ht="15" hidden="false" customHeight="false" outlineLevel="0" collapsed="false">
      <c r="A1227" s="0" t="s">
        <v>313</v>
      </c>
      <c r="B1227" s="2" t="n">
        <v>45969</v>
      </c>
      <c r="C1227" s="0" t="str">
        <f aca="false">TEXT(B1227,"mmm")</f>
        <v>Nov</v>
      </c>
      <c r="D1227" s="0" t="str">
        <f aca="false">TEXT(B1227,"ddd")</f>
        <v>Sat</v>
      </c>
      <c r="E1227" s="3" t="s">
        <v>24</v>
      </c>
      <c r="F1227" s="3" t="s">
        <v>49</v>
      </c>
      <c r="G1227" s="3" t="s">
        <v>15</v>
      </c>
      <c r="H1227" s="3" t="s">
        <v>34</v>
      </c>
      <c r="I1227" s="4" t="n">
        <v>642</v>
      </c>
      <c r="J1227" s="4" t="n">
        <v>74</v>
      </c>
      <c r="K1227" s="4" t="n">
        <v>0</v>
      </c>
      <c r="L1227" s="4" t="n">
        <f aca="false">IF(O1227="Delivered",I1227-J1227+K1227,0)</f>
        <v>568</v>
      </c>
      <c r="M1227" s="0" t="n">
        <v>36</v>
      </c>
      <c r="N1227" s="0" t="n">
        <v>4.4</v>
      </c>
      <c r="O1227" s="3" t="s">
        <v>17</v>
      </c>
    </row>
    <row r="1228" customFormat="false" ht="15" hidden="false" customHeight="false" outlineLevel="0" collapsed="false">
      <c r="A1228" s="0" t="s">
        <v>1366</v>
      </c>
      <c r="B1228" s="2" t="n">
        <v>45969</v>
      </c>
      <c r="C1228" s="0" t="str">
        <f aca="false">TEXT(B1228,"mmm")</f>
        <v>Nov</v>
      </c>
      <c r="D1228" s="0" t="str">
        <f aca="false">TEXT(B1228,"ddd")</f>
        <v>Sat</v>
      </c>
      <c r="E1228" s="3" t="s">
        <v>24</v>
      </c>
      <c r="F1228" s="3" t="s">
        <v>31</v>
      </c>
      <c r="G1228" s="3" t="s">
        <v>15</v>
      </c>
      <c r="H1228" s="3" t="s">
        <v>22</v>
      </c>
      <c r="I1228" s="4" t="n">
        <v>514</v>
      </c>
      <c r="J1228" s="4" t="n">
        <v>105</v>
      </c>
      <c r="K1228" s="4" t="n">
        <v>0</v>
      </c>
      <c r="L1228" s="4" t="n">
        <f aca="false">IF(O1228="Delivered",I1228-J1228+K1228,0)</f>
        <v>0</v>
      </c>
      <c r="O1228" s="3" t="s">
        <v>68</v>
      </c>
    </row>
    <row r="1229" customFormat="false" ht="15" hidden="false" customHeight="false" outlineLevel="0" collapsed="false">
      <c r="A1229" s="0" t="s">
        <v>1590</v>
      </c>
      <c r="B1229" s="2" t="n">
        <v>45969</v>
      </c>
      <c r="C1229" s="0" t="str">
        <f aca="false">TEXT(B1229,"mmm")</f>
        <v>Nov</v>
      </c>
      <c r="D1229" s="0" t="str">
        <f aca="false">TEXT(B1229,"ddd")</f>
        <v>Sat</v>
      </c>
      <c r="E1229" s="3" t="s">
        <v>13</v>
      </c>
      <c r="F1229" s="3" t="s">
        <v>56</v>
      </c>
      <c r="G1229" s="3" t="s">
        <v>21</v>
      </c>
      <c r="H1229" s="3" t="s">
        <v>36</v>
      </c>
      <c r="I1229" s="4" t="n">
        <v>309</v>
      </c>
      <c r="J1229" s="4" t="n">
        <v>75</v>
      </c>
      <c r="K1229" s="4" t="n">
        <v>45</v>
      </c>
      <c r="L1229" s="4" t="n">
        <f aca="false">IF(O1229="Delivered",I1229-J1229+K1229,0)</f>
        <v>279</v>
      </c>
      <c r="M1229" s="0" t="n">
        <v>47</v>
      </c>
      <c r="N1229" s="0" t="n">
        <v>3.5</v>
      </c>
      <c r="O1229" s="3" t="s">
        <v>17</v>
      </c>
    </row>
    <row r="1230" customFormat="false" ht="15" hidden="false" customHeight="false" outlineLevel="0" collapsed="false">
      <c r="A1230" s="0" t="s">
        <v>85</v>
      </c>
      <c r="B1230" s="2" t="n">
        <v>45970</v>
      </c>
      <c r="C1230" s="0" t="str">
        <f aca="false">TEXT(B1230,"mmm")</f>
        <v>Nov</v>
      </c>
      <c r="D1230" s="0" t="str">
        <f aca="false">TEXT(B1230,"ddd")</f>
        <v>Sun</v>
      </c>
      <c r="E1230" s="3" t="s">
        <v>24</v>
      </c>
      <c r="F1230" s="3" t="s">
        <v>49</v>
      </c>
      <c r="G1230" s="3" t="s">
        <v>15</v>
      </c>
      <c r="H1230" s="3" t="s">
        <v>22</v>
      </c>
      <c r="I1230" s="4" t="n">
        <v>356</v>
      </c>
      <c r="J1230" s="4" t="n">
        <v>55</v>
      </c>
      <c r="K1230" s="4" t="n">
        <v>40</v>
      </c>
      <c r="L1230" s="4" t="n">
        <f aca="false">IF(O1230="Delivered",I1230-J1230+K1230,0)</f>
        <v>341</v>
      </c>
      <c r="M1230" s="0" t="n">
        <v>46</v>
      </c>
      <c r="N1230" s="0" t="n">
        <v>3.8</v>
      </c>
      <c r="O1230" s="3" t="s">
        <v>17</v>
      </c>
    </row>
    <row r="1231" customFormat="false" ht="15" hidden="false" customHeight="false" outlineLevel="0" collapsed="false">
      <c r="A1231" s="0" t="s">
        <v>88</v>
      </c>
      <c r="B1231" s="2" t="n">
        <v>45970</v>
      </c>
      <c r="C1231" s="0" t="str">
        <f aca="false">TEXT(B1231,"mmm")</f>
        <v>Nov</v>
      </c>
      <c r="D1231" s="0" t="str">
        <f aca="false">TEXT(B1231,"ddd")</f>
        <v>Sun</v>
      </c>
      <c r="E1231" s="3" t="s">
        <v>27</v>
      </c>
      <c r="F1231" s="3" t="s">
        <v>28</v>
      </c>
      <c r="G1231" s="3" t="s">
        <v>21</v>
      </c>
      <c r="H1231" s="3" t="s">
        <v>16</v>
      </c>
      <c r="I1231" s="4" t="n">
        <v>342</v>
      </c>
      <c r="J1231" s="4" t="n">
        <v>59</v>
      </c>
      <c r="K1231" s="4" t="n">
        <v>20</v>
      </c>
      <c r="L1231" s="4" t="n">
        <f aca="false">IF(O1231="Delivered",I1231-J1231+K1231,0)</f>
        <v>303</v>
      </c>
      <c r="M1231" s="0" t="n">
        <v>51</v>
      </c>
      <c r="N1231" s="0" t="n">
        <v>3.5</v>
      </c>
      <c r="O1231" s="3" t="s">
        <v>17</v>
      </c>
    </row>
    <row r="1232" customFormat="false" ht="15" hidden="false" customHeight="false" outlineLevel="0" collapsed="false">
      <c r="A1232" s="0" t="s">
        <v>368</v>
      </c>
      <c r="B1232" s="2" t="n">
        <v>45970</v>
      </c>
      <c r="C1232" s="0" t="str">
        <f aca="false">TEXT(B1232,"mmm")</f>
        <v>Nov</v>
      </c>
      <c r="D1232" s="0" t="str">
        <f aca="false">TEXT(B1232,"ddd")</f>
        <v>Sun</v>
      </c>
      <c r="E1232" s="3" t="s">
        <v>30</v>
      </c>
      <c r="F1232" s="3" t="s">
        <v>25</v>
      </c>
      <c r="G1232" s="3" t="s">
        <v>21</v>
      </c>
      <c r="H1232" s="3" t="s">
        <v>36</v>
      </c>
      <c r="I1232" s="4" t="n">
        <v>353</v>
      </c>
      <c r="J1232" s="4" t="n">
        <v>80</v>
      </c>
      <c r="K1232" s="4" t="n">
        <v>45</v>
      </c>
      <c r="L1232" s="4" t="n">
        <f aca="false">IF(O1232="Delivered",I1232-J1232+K1232,0)</f>
        <v>318</v>
      </c>
      <c r="M1232" s="0" t="n">
        <v>32</v>
      </c>
      <c r="N1232" s="0" t="n">
        <v>4.3</v>
      </c>
      <c r="O1232" s="3" t="s">
        <v>17</v>
      </c>
    </row>
    <row r="1233" customFormat="false" ht="15" hidden="false" customHeight="false" outlineLevel="0" collapsed="false">
      <c r="A1233" s="0" t="s">
        <v>1279</v>
      </c>
      <c r="B1233" s="2" t="n">
        <v>45970</v>
      </c>
      <c r="C1233" s="0" t="str">
        <f aca="false">TEXT(B1233,"mmm")</f>
        <v>Nov</v>
      </c>
      <c r="D1233" s="0" t="str">
        <f aca="false">TEXT(B1233,"ddd")</f>
        <v>Sun</v>
      </c>
      <c r="E1233" s="3" t="s">
        <v>24</v>
      </c>
      <c r="F1233" s="3" t="s">
        <v>14</v>
      </c>
      <c r="G1233" s="3" t="s">
        <v>21</v>
      </c>
      <c r="H1233" s="3" t="s">
        <v>54</v>
      </c>
      <c r="I1233" s="4" t="n">
        <v>359</v>
      </c>
      <c r="J1233" s="4" t="n">
        <v>0</v>
      </c>
      <c r="K1233" s="4" t="n">
        <v>30</v>
      </c>
      <c r="L1233" s="4" t="n">
        <f aca="false">IF(O1233="Delivered",I1233-J1233+K1233,0)</f>
        <v>389</v>
      </c>
      <c r="M1233" s="0" t="n">
        <v>42</v>
      </c>
      <c r="N1233" s="0" t="n">
        <v>3.6</v>
      </c>
      <c r="O1233" s="3" t="s">
        <v>17</v>
      </c>
    </row>
    <row r="1234" customFormat="false" ht="15" hidden="false" customHeight="false" outlineLevel="0" collapsed="false">
      <c r="A1234" s="0" t="s">
        <v>1300</v>
      </c>
      <c r="B1234" s="2" t="n">
        <v>45970</v>
      </c>
      <c r="C1234" s="0" t="str">
        <f aca="false">TEXT(B1234,"mmm")</f>
        <v>Nov</v>
      </c>
      <c r="D1234" s="0" t="str">
        <f aca="false">TEXT(B1234,"ddd")</f>
        <v>Sun</v>
      </c>
      <c r="E1234" s="3" t="s">
        <v>27</v>
      </c>
      <c r="F1234" s="3" t="s">
        <v>31</v>
      </c>
      <c r="G1234" s="3" t="s">
        <v>21</v>
      </c>
      <c r="H1234" s="3" t="s">
        <v>36</v>
      </c>
      <c r="I1234" s="4" t="n">
        <v>328</v>
      </c>
      <c r="J1234" s="4" t="n">
        <v>0</v>
      </c>
      <c r="K1234" s="4" t="n">
        <v>45</v>
      </c>
      <c r="L1234" s="4" t="n">
        <f aca="false">IF(O1234="Delivered",I1234-J1234+K1234,0)</f>
        <v>0</v>
      </c>
      <c r="O1234" s="3" t="s">
        <v>68</v>
      </c>
    </row>
    <row r="1235" customFormat="false" ht="15" hidden="false" customHeight="false" outlineLevel="0" collapsed="false">
      <c r="A1235" s="0" t="s">
        <v>1571</v>
      </c>
      <c r="B1235" s="2" t="n">
        <v>45970</v>
      </c>
      <c r="C1235" s="0" t="str">
        <f aca="false">TEXT(B1235,"mmm")</f>
        <v>Nov</v>
      </c>
      <c r="D1235" s="0" t="str">
        <f aca="false">TEXT(B1235,"ddd")</f>
        <v>Sun</v>
      </c>
      <c r="E1235" s="3" t="s">
        <v>19</v>
      </c>
      <c r="F1235" s="3" t="s">
        <v>25</v>
      </c>
      <c r="G1235" s="3" t="s">
        <v>15</v>
      </c>
      <c r="H1235" s="3" t="s">
        <v>36</v>
      </c>
      <c r="I1235" s="4" t="n">
        <v>294</v>
      </c>
      <c r="J1235" s="4" t="n">
        <v>48</v>
      </c>
      <c r="K1235" s="4" t="n">
        <v>45</v>
      </c>
      <c r="L1235" s="4" t="n">
        <f aca="false">IF(O1235="Delivered",I1235-J1235+K1235,0)</f>
        <v>291</v>
      </c>
      <c r="M1235" s="0" t="n">
        <v>35</v>
      </c>
      <c r="N1235" s="0" t="n">
        <v>4</v>
      </c>
      <c r="O1235" s="3" t="s">
        <v>17</v>
      </c>
    </row>
    <row r="1236" customFormat="false" ht="15" hidden="false" customHeight="false" outlineLevel="0" collapsed="false">
      <c r="A1236" s="0" t="s">
        <v>501</v>
      </c>
      <c r="B1236" s="2" t="n">
        <v>45971</v>
      </c>
      <c r="C1236" s="0" t="str">
        <f aca="false">TEXT(B1236,"mmm")</f>
        <v>Nov</v>
      </c>
      <c r="D1236" s="0" t="str">
        <f aca="false">TEXT(B1236,"ddd")</f>
        <v>Mon</v>
      </c>
      <c r="E1236" s="3" t="s">
        <v>40</v>
      </c>
      <c r="F1236" s="3" t="s">
        <v>25</v>
      </c>
      <c r="G1236" s="3" t="s">
        <v>15</v>
      </c>
      <c r="H1236" s="3" t="s">
        <v>22</v>
      </c>
      <c r="I1236" s="4" t="n">
        <v>340</v>
      </c>
      <c r="J1236" s="4" t="n">
        <v>0</v>
      </c>
      <c r="K1236" s="4" t="n">
        <v>40</v>
      </c>
      <c r="L1236" s="4" t="n">
        <f aca="false">IF(O1236="Delivered",I1236-J1236+K1236,0)</f>
        <v>380</v>
      </c>
      <c r="M1236" s="0" t="n">
        <v>46</v>
      </c>
      <c r="N1236" s="0" t="n">
        <v>4.9</v>
      </c>
      <c r="O1236" s="3" t="s">
        <v>17</v>
      </c>
    </row>
    <row r="1237" customFormat="false" ht="15" hidden="false" customHeight="false" outlineLevel="0" collapsed="false">
      <c r="A1237" s="0" t="s">
        <v>528</v>
      </c>
      <c r="B1237" s="2" t="n">
        <v>45971</v>
      </c>
      <c r="C1237" s="0" t="str">
        <f aca="false">TEXT(B1237,"mmm")</f>
        <v>Nov</v>
      </c>
      <c r="D1237" s="0" t="str">
        <f aca="false">TEXT(B1237,"ddd")</f>
        <v>Mon</v>
      </c>
      <c r="E1237" s="3" t="s">
        <v>30</v>
      </c>
      <c r="F1237" s="3" t="s">
        <v>25</v>
      </c>
      <c r="G1237" s="3" t="s">
        <v>15</v>
      </c>
      <c r="H1237" s="3" t="s">
        <v>54</v>
      </c>
      <c r="I1237" s="4" t="n">
        <v>412</v>
      </c>
      <c r="J1237" s="4" t="n">
        <v>101</v>
      </c>
      <c r="K1237" s="4" t="n">
        <v>40</v>
      </c>
      <c r="L1237" s="4" t="n">
        <f aca="false">IF(O1237="Delivered",I1237-J1237+K1237,0)</f>
        <v>351</v>
      </c>
      <c r="M1237" s="0" t="n">
        <v>28</v>
      </c>
      <c r="N1237" s="0" t="n">
        <v>5</v>
      </c>
      <c r="O1237" s="3" t="s">
        <v>17</v>
      </c>
    </row>
    <row r="1238" customFormat="false" ht="15" hidden="false" customHeight="false" outlineLevel="0" collapsed="false">
      <c r="A1238" s="0" t="s">
        <v>616</v>
      </c>
      <c r="B1238" s="2" t="n">
        <v>45971</v>
      </c>
      <c r="C1238" s="0" t="str">
        <f aca="false">TEXT(B1238,"mmm")</f>
        <v>Nov</v>
      </c>
      <c r="D1238" s="0" t="str">
        <f aca="false">TEXT(B1238,"ddd")</f>
        <v>Mon</v>
      </c>
      <c r="E1238" s="3" t="s">
        <v>40</v>
      </c>
      <c r="F1238" s="3" t="s">
        <v>14</v>
      </c>
      <c r="G1238" s="3" t="s">
        <v>21</v>
      </c>
      <c r="H1238" s="3" t="s">
        <v>22</v>
      </c>
      <c r="I1238" s="4" t="n">
        <v>191</v>
      </c>
      <c r="J1238" s="4" t="n">
        <v>0</v>
      </c>
      <c r="K1238" s="4" t="n">
        <v>30</v>
      </c>
      <c r="L1238" s="4" t="n">
        <f aca="false">IF(O1238="Delivered",I1238-J1238+K1238,0)</f>
        <v>221</v>
      </c>
      <c r="M1238" s="0" t="n">
        <v>46</v>
      </c>
      <c r="N1238" s="0" t="n">
        <v>4.1</v>
      </c>
      <c r="O1238" s="3" t="s">
        <v>17</v>
      </c>
    </row>
    <row r="1239" customFormat="false" ht="15" hidden="false" customHeight="false" outlineLevel="0" collapsed="false">
      <c r="A1239" s="0" t="s">
        <v>648</v>
      </c>
      <c r="B1239" s="2" t="n">
        <v>45971</v>
      </c>
      <c r="C1239" s="0" t="str">
        <f aca="false">TEXT(B1239,"mmm")</f>
        <v>Nov</v>
      </c>
      <c r="D1239" s="0" t="str">
        <f aca="false">TEXT(B1239,"ddd")</f>
        <v>Mon</v>
      </c>
      <c r="E1239" s="3" t="s">
        <v>30</v>
      </c>
      <c r="F1239" s="3" t="s">
        <v>25</v>
      </c>
      <c r="G1239" s="3" t="s">
        <v>21</v>
      </c>
      <c r="H1239" s="3" t="s">
        <v>36</v>
      </c>
      <c r="I1239" s="4" t="n">
        <v>543</v>
      </c>
      <c r="J1239" s="4" t="n">
        <v>70</v>
      </c>
      <c r="K1239" s="4" t="n">
        <v>0</v>
      </c>
      <c r="L1239" s="4" t="n">
        <f aca="false">IF(O1239="Delivered",I1239-J1239+K1239,0)</f>
        <v>473</v>
      </c>
      <c r="M1239" s="0" t="n">
        <v>25</v>
      </c>
      <c r="N1239" s="0" t="n">
        <v>4.9</v>
      </c>
      <c r="O1239" s="3" t="s">
        <v>17</v>
      </c>
    </row>
    <row r="1240" customFormat="false" ht="15" hidden="false" customHeight="false" outlineLevel="0" collapsed="false">
      <c r="A1240" s="0" t="s">
        <v>960</v>
      </c>
      <c r="B1240" s="2" t="n">
        <v>45971</v>
      </c>
      <c r="C1240" s="0" t="str">
        <f aca="false">TEXT(B1240,"mmm")</f>
        <v>Nov</v>
      </c>
      <c r="D1240" s="0" t="str">
        <f aca="false">TEXT(B1240,"ddd")</f>
        <v>Mon</v>
      </c>
      <c r="E1240" s="3" t="s">
        <v>24</v>
      </c>
      <c r="F1240" s="3" t="s">
        <v>28</v>
      </c>
      <c r="G1240" s="3" t="s">
        <v>15</v>
      </c>
      <c r="H1240" s="3" t="s">
        <v>34</v>
      </c>
      <c r="I1240" s="4" t="n">
        <v>477</v>
      </c>
      <c r="J1240" s="4" t="n">
        <v>0</v>
      </c>
      <c r="K1240" s="4" t="n">
        <v>30</v>
      </c>
      <c r="L1240" s="4" t="n">
        <f aca="false">IF(O1240="Delivered",I1240-J1240+K1240,0)</f>
        <v>507</v>
      </c>
      <c r="M1240" s="0" t="n">
        <v>36</v>
      </c>
      <c r="N1240" s="0" t="n">
        <v>4.9</v>
      </c>
      <c r="O1240" s="3" t="s">
        <v>17</v>
      </c>
    </row>
    <row r="1241" customFormat="false" ht="15" hidden="false" customHeight="false" outlineLevel="0" collapsed="false">
      <c r="A1241" s="0" t="s">
        <v>1526</v>
      </c>
      <c r="B1241" s="2" t="n">
        <v>45971</v>
      </c>
      <c r="C1241" s="0" t="str">
        <f aca="false">TEXT(B1241,"mmm")</f>
        <v>Nov</v>
      </c>
      <c r="D1241" s="0" t="str">
        <f aca="false">TEXT(B1241,"ddd")</f>
        <v>Mon</v>
      </c>
      <c r="E1241" s="3" t="s">
        <v>27</v>
      </c>
      <c r="F1241" s="3" t="s">
        <v>31</v>
      </c>
      <c r="G1241" s="3" t="s">
        <v>21</v>
      </c>
      <c r="H1241" s="3" t="s">
        <v>22</v>
      </c>
      <c r="I1241" s="4" t="n">
        <v>360</v>
      </c>
      <c r="J1241" s="4" t="n">
        <v>85</v>
      </c>
      <c r="K1241" s="4" t="n">
        <v>30</v>
      </c>
      <c r="L1241" s="4" t="n">
        <f aca="false">IF(O1241="Delivered",I1241-J1241+K1241,0)</f>
        <v>305</v>
      </c>
      <c r="M1241" s="0" t="n">
        <v>53</v>
      </c>
      <c r="N1241" s="0" t="n">
        <v>3.8</v>
      </c>
      <c r="O1241" s="3" t="s">
        <v>17</v>
      </c>
    </row>
    <row r="1242" customFormat="false" ht="15" hidden="false" customHeight="false" outlineLevel="0" collapsed="false">
      <c r="A1242" s="0" t="s">
        <v>1567</v>
      </c>
      <c r="B1242" s="2" t="n">
        <v>45971</v>
      </c>
      <c r="C1242" s="0" t="str">
        <f aca="false">TEXT(B1242,"mmm")</f>
        <v>Nov</v>
      </c>
      <c r="D1242" s="0" t="str">
        <f aca="false">TEXT(B1242,"ddd")</f>
        <v>Mon</v>
      </c>
      <c r="E1242" s="3" t="s">
        <v>19</v>
      </c>
      <c r="F1242" s="3" t="s">
        <v>28</v>
      </c>
      <c r="G1242" s="3" t="s">
        <v>21</v>
      </c>
      <c r="H1242" s="3" t="s">
        <v>22</v>
      </c>
      <c r="I1242" s="4" t="n">
        <v>395</v>
      </c>
      <c r="J1242" s="4" t="n">
        <v>70</v>
      </c>
      <c r="K1242" s="4" t="n">
        <v>30</v>
      </c>
      <c r="L1242" s="4" t="n">
        <f aca="false">IF(O1242="Delivered",I1242-J1242+K1242,0)</f>
        <v>355</v>
      </c>
      <c r="M1242" s="0" t="n">
        <v>31</v>
      </c>
      <c r="N1242" s="0" t="n">
        <v>4.2</v>
      </c>
      <c r="O1242" s="3" t="s">
        <v>17</v>
      </c>
    </row>
    <row r="1243" customFormat="false" ht="15" hidden="false" customHeight="false" outlineLevel="0" collapsed="false">
      <c r="A1243" s="0" t="s">
        <v>652</v>
      </c>
      <c r="B1243" s="2" t="n">
        <v>45972</v>
      </c>
      <c r="C1243" s="0" t="str">
        <f aca="false">TEXT(B1243,"mmm")</f>
        <v>Nov</v>
      </c>
      <c r="D1243" s="0" t="str">
        <f aca="false">TEXT(B1243,"ddd")</f>
        <v>Tue</v>
      </c>
      <c r="E1243" s="3" t="s">
        <v>13</v>
      </c>
      <c r="F1243" s="3" t="s">
        <v>14</v>
      </c>
      <c r="G1243" s="3" t="s">
        <v>15</v>
      </c>
      <c r="H1243" s="3" t="s">
        <v>54</v>
      </c>
      <c r="I1243" s="4" t="n">
        <v>353</v>
      </c>
      <c r="J1243" s="4" t="n">
        <v>0</v>
      </c>
      <c r="K1243" s="4" t="n">
        <v>40</v>
      </c>
      <c r="L1243" s="4" t="n">
        <f aca="false">IF(O1243="Delivered",I1243-J1243+K1243,0)</f>
        <v>393</v>
      </c>
      <c r="M1243" s="0" t="n">
        <v>42</v>
      </c>
      <c r="N1243" s="0" t="n">
        <v>4.9</v>
      </c>
      <c r="O1243" s="3" t="s">
        <v>17</v>
      </c>
    </row>
    <row r="1244" customFormat="false" ht="15" hidden="false" customHeight="false" outlineLevel="0" collapsed="false">
      <c r="A1244" s="0" t="s">
        <v>881</v>
      </c>
      <c r="B1244" s="2" t="n">
        <v>45972</v>
      </c>
      <c r="C1244" s="0" t="str">
        <f aca="false">TEXT(B1244,"mmm")</f>
        <v>Nov</v>
      </c>
      <c r="D1244" s="0" t="str">
        <f aca="false">TEXT(B1244,"ddd")</f>
        <v>Tue</v>
      </c>
      <c r="E1244" s="3" t="s">
        <v>24</v>
      </c>
      <c r="F1244" s="3" t="s">
        <v>25</v>
      </c>
      <c r="G1244" s="3" t="s">
        <v>21</v>
      </c>
      <c r="H1244" s="3" t="s">
        <v>36</v>
      </c>
      <c r="I1244" s="4" t="n">
        <v>444</v>
      </c>
      <c r="J1244" s="4" t="n">
        <v>0</v>
      </c>
      <c r="K1244" s="4" t="n">
        <v>45</v>
      </c>
      <c r="L1244" s="4" t="n">
        <f aca="false">IF(O1244="Delivered",I1244-J1244+K1244,0)</f>
        <v>489</v>
      </c>
      <c r="M1244" s="0" t="n">
        <v>28</v>
      </c>
      <c r="N1244" s="0" t="n">
        <v>4.9</v>
      </c>
      <c r="O1244" s="3" t="s">
        <v>17</v>
      </c>
    </row>
    <row r="1245" customFormat="false" ht="15" hidden="false" customHeight="false" outlineLevel="0" collapsed="false">
      <c r="A1245" s="0" t="s">
        <v>1259</v>
      </c>
      <c r="B1245" s="2" t="n">
        <v>45972</v>
      </c>
      <c r="C1245" s="0" t="str">
        <f aca="false">TEXT(B1245,"mmm")</f>
        <v>Nov</v>
      </c>
      <c r="D1245" s="0" t="str">
        <f aca="false">TEXT(B1245,"ddd")</f>
        <v>Tue</v>
      </c>
      <c r="E1245" s="3" t="s">
        <v>13</v>
      </c>
      <c r="F1245" s="3" t="s">
        <v>25</v>
      </c>
      <c r="G1245" s="3" t="s">
        <v>21</v>
      </c>
      <c r="H1245" s="3" t="s">
        <v>22</v>
      </c>
      <c r="I1245" s="4" t="n">
        <v>567</v>
      </c>
      <c r="J1245" s="4" t="n">
        <v>0</v>
      </c>
      <c r="K1245" s="4" t="n">
        <v>0</v>
      </c>
      <c r="L1245" s="4" t="n">
        <f aca="false">IF(O1245="Delivered",I1245-J1245+K1245,0)</f>
        <v>567</v>
      </c>
      <c r="M1245" s="0" t="n">
        <v>24</v>
      </c>
      <c r="N1245" s="0" t="n">
        <v>4.4</v>
      </c>
      <c r="O1245" s="3" t="s">
        <v>17</v>
      </c>
    </row>
    <row r="1246" customFormat="false" ht="15" hidden="false" customHeight="false" outlineLevel="0" collapsed="false">
      <c r="A1246" s="0" t="s">
        <v>372</v>
      </c>
      <c r="B1246" s="2" t="n">
        <v>45973</v>
      </c>
      <c r="C1246" s="0" t="str">
        <f aca="false">TEXT(B1246,"mmm")</f>
        <v>Nov</v>
      </c>
      <c r="D1246" s="0" t="str">
        <f aca="false">TEXT(B1246,"ddd")</f>
        <v>Wed</v>
      </c>
      <c r="E1246" s="3" t="s">
        <v>45</v>
      </c>
      <c r="F1246" s="3" t="s">
        <v>56</v>
      </c>
      <c r="G1246" s="3" t="s">
        <v>15</v>
      </c>
      <c r="H1246" s="3" t="s">
        <v>22</v>
      </c>
      <c r="I1246" s="4" t="n">
        <v>292</v>
      </c>
      <c r="J1246" s="4" t="n">
        <v>45</v>
      </c>
      <c r="K1246" s="4" t="n">
        <v>20</v>
      </c>
      <c r="L1246" s="4" t="n">
        <f aca="false">IF(O1246="Delivered",I1246-J1246+K1246,0)</f>
        <v>0</v>
      </c>
      <c r="O1246" s="3" t="s">
        <v>68</v>
      </c>
    </row>
    <row r="1247" customFormat="false" ht="15" hidden="false" customHeight="false" outlineLevel="0" collapsed="false">
      <c r="A1247" s="0" t="s">
        <v>620</v>
      </c>
      <c r="B1247" s="2" t="n">
        <v>45973</v>
      </c>
      <c r="C1247" s="0" t="str">
        <f aca="false">TEXT(B1247,"mmm")</f>
        <v>Nov</v>
      </c>
      <c r="D1247" s="0" t="str">
        <f aca="false">TEXT(B1247,"ddd")</f>
        <v>Wed</v>
      </c>
      <c r="E1247" s="3" t="s">
        <v>24</v>
      </c>
      <c r="F1247" s="3" t="s">
        <v>28</v>
      </c>
      <c r="G1247" s="3" t="s">
        <v>21</v>
      </c>
      <c r="H1247" s="3" t="s">
        <v>22</v>
      </c>
      <c r="I1247" s="4" t="n">
        <v>425</v>
      </c>
      <c r="J1247" s="4" t="n">
        <v>0</v>
      </c>
      <c r="K1247" s="4" t="n">
        <v>40</v>
      </c>
      <c r="L1247" s="4" t="n">
        <f aca="false">IF(O1247="Delivered",I1247-J1247+K1247,0)</f>
        <v>465</v>
      </c>
      <c r="M1247" s="0" t="n">
        <v>33</v>
      </c>
      <c r="N1247" s="0" t="n">
        <v>4.2</v>
      </c>
      <c r="O1247" s="3" t="s">
        <v>17</v>
      </c>
    </row>
    <row r="1248" customFormat="false" ht="15" hidden="false" customHeight="false" outlineLevel="0" collapsed="false">
      <c r="A1248" s="0" t="s">
        <v>677</v>
      </c>
      <c r="B1248" s="2" t="n">
        <v>45973</v>
      </c>
      <c r="C1248" s="0" t="str">
        <f aca="false">TEXT(B1248,"mmm")</f>
        <v>Nov</v>
      </c>
      <c r="D1248" s="0" t="str">
        <f aca="false">TEXT(B1248,"ddd")</f>
        <v>Wed</v>
      </c>
      <c r="E1248" s="3" t="s">
        <v>27</v>
      </c>
      <c r="F1248" s="3" t="s">
        <v>49</v>
      </c>
      <c r="G1248" s="3" t="s">
        <v>15</v>
      </c>
      <c r="H1248" s="3" t="s">
        <v>22</v>
      </c>
      <c r="I1248" s="4" t="n">
        <v>475</v>
      </c>
      <c r="J1248" s="4" t="n">
        <v>114</v>
      </c>
      <c r="K1248" s="4" t="n">
        <v>30</v>
      </c>
      <c r="L1248" s="4" t="n">
        <f aca="false">IF(O1248="Delivered",I1248-J1248+K1248,0)</f>
        <v>0</v>
      </c>
      <c r="O1248" s="3" t="s">
        <v>68</v>
      </c>
    </row>
    <row r="1249" customFormat="false" ht="15" hidden="false" customHeight="false" outlineLevel="0" collapsed="false">
      <c r="A1249" s="0" t="s">
        <v>1239</v>
      </c>
      <c r="B1249" s="2" t="n">
        <v>45973</v>
      </c>
      <c r="C1249" s="0" t="str">
        <f aca="false">TEXT(B1249,"mmm")</f>
        <v>Nov</v>
      </c>
      <c r="D1249" s="0" t="str">
        <f aca="false">TEXT(B1249,"ddd")</f>
        <v>Wed</v>
      </c>
      <c r="E1249" s="3" t="s">
        <v>40</v>
      </c>
      <c r="F1249" s="3" t="s">
        <v>25</v>
      </c>
      <c r="G1249" s="3" t="s">
        <v>21</v>
      </c>
      <c r="H1249" s="3" t="s">
        <v>22</v>
      </c>
      <c r="I1249" s="4" t="n">
        <v>659</v>
      </c>
      <c r="J1249" s="4" t="n">
        <v>0</v>
      </c>
      <c r="K1249" s="4" t="n">
        <v>0</v>
      </c>
      <c r="L1249" s="4" t="n">
        <f aca="false">IF(O1249="Delivered",I1249-J1249+K1249,0)</f>
        <v>659</v>
      </c>
      <c r="M1249" s="0" t="n">
        <v>40</v>
      </c>
      <c r="N1249" s="0" t="n">
        <v>4.7</v>
      </c>
      <c r="O1249" s="3" t="s">
        <v>17</v>
      </c>
    </row>
    <row r="1250" customFormat="false" ht="15" hidden="false" customHeight="false" outlineLevel="0" collapsed="false">
      <c r="A1250" s="0" t="s">
        <v>1592</v>
      </c>
      <c r="B1250" s="2" t="n">
        <v>45973</v>
      </c>
      <c r="C1250" s="0" t="str">
        <f aca="false">TEXT(B1250,"mmm")</f>
        <v>Nov</v>
      </c>
      <c r="D1250" s="0" t="str">
        <f aca="false">TEXT(B1250,"ddd")</f>
        <v>Wed</v>
      </c>
      <c r="E1250" s="3" t="s">
        <v>27</v>
      </c>
      <c r="F1250" s="3" t="s">
        <v>28</v>
      </c>
      <c r="G1250" s="3" t="s">
        <v>21</v>
      </c>
      <c r="H1250" s="3" t="s">
        <v>22</v>
      </c>
      <c r="I1250" s="4" t="n">
        <v>533</v>
      </c>
      <c r="J1250" s="4" t="n">
        <v>98</v>
      </c>
      <c r="K1250" s="4" t="n">
        <v>0</v>
      </c>
      <c r="L1250" s="4" t="n">
        <f aca="false">IF(O1250="Delivered",I1250-J1250+K1250,0)</f>
        <v>435</v>
      </c>
      <c r="M1250" s="0" t="n">
        <v>43</v>
      </c>
      <c r="N1250" s="0" t="n">
        <v>5</v>
      </c>
      <c r="O1250" s="3" t="s">
        <v>17</v>
      </c>
    </row>
    <row r="1251" customFormat="false" ht="15" hidden="false" customHeight="false" outlineLevel="0" collapsed="false">
      <c r="A1251" s="0" t="s">
        <v>686</v>
      </c>
      <c r="B1251" s="2" t="n">
        <v>45974</v>
      </c>
      <c r="C1251" s="0" t="str">
        <f aca="false">TEXT(B1251,"mmm")</f>
        <v>Nov</v>
      </c>
      <c r="D1251" s="0" t="str">
        <f aca="false">TEXT(B1251,"ddd")</f>
        <v>Thu</v>
      </c>
      <c r="E1251" s="3" t="s">
        <v>27</v>
      </c>
      <c r="F1251" s="3" t="s">
        <v>31</v>
      </c>
      <c r="G1251" s="3" t="s">
        <v>15</v>
      </c>
      <c r="H1251" s="3" t="s">
        <v>16</v>
      </c>
      <c r="I1251" s="4" t="n">
        <v>410</v>
      </c>
      <c r="J1251" s="4" t="n">
        <v>61</v>
      </c>
      <c r="K1251" s="4" t="n">
        <v>40</v>
      </c>
      <c r="L1251" s="4" t="n">
        <f aca="false">IF(O1251="Delivered",I1251-J1251+K1251,0)</f>
        <v>389</v>
      </c>
      <c r="M1251" s="0" t="n">
        <v>41</v>
      </c>
      <c r="N1251" s="0" t="n">
        <v>4.5</v>
      </c>
      <c r="O1251" s="3" t="s">
        <v>17</v>
      </c>
    </row>
    <row r="1252" customFormat="false" ht="15" hidden="false" customHeight="false" outlineLevel="0" collapsed="false">
      <c r="A1252" s="0" t="s">
        <v>1065</v>
      </c>
      <c r="B1252" s="2" t="n">
        <v>45974</v>
      </c>
      <c r="C1252" s="0" t="str">
        <f aca="false">TEXT(B1252,"mmm")</f>
        <v>Nov</v>
      </c>
      <c r="D1252" s="0" t="str">
        <f aca="false">TEXT(B1252,"ddd")</f>
        <v>Thu</v>
      </c>
      <c r="E1252" s="3" t="s">
        <v>40</v>
      </c>
      <c r="F1252" s="3" t="s">
        <v>14</v>
      </c>
      <c r="G1252" s="3" t="s">
        <v>21</v>
      </c>
      <c r="H1252" s="3" t="s">
        <v>36</v>
      </c>
      <c r="I1252" s="4" t="n">
        <v>414</v>
      </c>
      <c r="J1252" s="4" t="n">
        <v>0</v>
      </c>
      <c r="K1252" s="4" t="n">
        <v>40</v>
      </c>
      <c r="L1252" s="4" t="n">
        <f aca="false">IF(O1252="Delivered",I1252-J1252+K1252,0)</f>
        <v>454</v>
      </c>
      <c r="M1252" s="0" t="n">
        <v>41</v>
      </c>
      <c r="N1252" s="0" t="n">
        <v>4.1</v>
      </c>
      <c r="O1252" s="3" t="s">
        <v>17</v>
      </c>
    </row>
    <row r="1253" customFormat="false" ht="15" hidden="false" customHeight="false" outlineLevel="0" collapsed="false">
      <c r="A1253" s="0" t="s">
        <v>1087</v>
      </c>
      <c r="B1253" s="2" t="n">
        <v>45974</v>
      </c>
      <c r="C1253" s="0" t="str">
        <f aca="false">TEXT(B1253,"mmm")</f>
        <v>Nov</v>
      </c>
      <c r="D1253" s="0" t="str">
        <f aca="false">TEXT(B1253,"ddd")</f>
        <v>Thu</v>
      </c>
      <c r="E1253" s="3" t="s">
        <v>40</v>
      </c>
      <c r="F1253" s="3" t="s">
        <v>31</v>
      </c>
      <c r="G1253" s="3" t="s">
        <v>21</v>
      </c>
      <c r="H1253" s="3" t="s">
        <v>16</v>
      </c>
      <c r="I1253" s="4" t="n">
        <v>530</v>
      </c>
      <c r="J1253" s="4" t="n">
        <v>0</v>
      </c>
      <c r="K1253" s="4" t="n">
        <v>0</v>
      </c>
      <c r="L1253" s="4" t="n">
        <f aca="false">IF(O1253="Delivered",I1253-J1253+K1253,0)</f>
        <v>530</v>
      </c>
      <c r="M1253" s="0" t="n">
        <v>42</v>
      </c>
      <c r="N1253" s="0" t="n">
        <v>4.7</v>
      </c>
      <c r="O1253" s="3" t="s">
        <v>17</v>
      </c>
    </row>
    <row r="1254" customFormat="false" ht="15" hidden="false" customHeight="false" outlineLevel="0" collapsed="false">
      <c r="A1254" s="0" t="s">
        <v>1169</v>
      </c>
      <c r="B1254" s="2" t="n">
        <v>45974</v>
      </c>
      <c r="C1254" s="0" t="str">
        <f aca="false">TEXT(B1254,"mmm")</f>
        <v>Nov</v>
      </c>
      <c r="D1254" s="0" t="str">
        <f aca="false">TEXT(B1254,"ddd")</f>
        <v>Thu</v>
      </c>
      <c r="E1254" s="3" t="s">
        <v>24</v>
      </c>
      <c r="F1254" s="3" t="s">
        <v>56</v>
      </c>
      <c r="G1254" s="3" t="s">
        <v>15</v>
      </c>
      <c r="H1254" s="3" t="s">
        <v>22</v>
      </c>
      <c r="I1254" s="4" t="n">
        <v>421</v>
      </c>
      <c r="J1254" s="4" t="n">
        <v>53</v>
      </c>
      <c r="K1254" s="4" t="n">
        <v>20</v>
      </c>
      <c r="L1254" s="4" t="n">
        <f aca="false">IF(O1254="Delivered",I1254-J1254+K1254,0)</f>
        <v>388</v>
      </c>
      <c r="M1254" s="0" t="n">
        <v>39</v>
      </c>
      <c r="N1254" s="0" t="n">
        <v>2.9</v>
      </c>
      <c r="O1254" s="3" t="s">
        <v>17</v>
      </c>
    </row>
    <row r="1255" customFormat="false" ht="15" hidden="false" customHeight="false" outlineLevel="0" collapsed="false">
      <c r="A1255" s="0" t="s">
        <v>406</v>
      </c>
      <c r="B1255" s="2" t="n">
        <v>45975</v>
      </c>
      <c r="C1255" s="0" t="str">
        <f aca="false">TEXT(B1255,"mmm")</f>
        <v>Nov</v>
      </c>
      <c r="D1255" s="0" t="str">
        <f aca="false">TEXT(B1255,"ddd")</f>
        <v>Fri</v>
      </c>
      <c r="E1255" s="3" t="s">
        <v>13</v>
      </c>
      <c r="F1255" s="3" t="s">
        <v>20</v>
      </c>
      <c r="G1255" s="3" t="s">
        <v>21</v>
      </c>
      <c r="H1255" s="3" t="s">
        <v>34</v>
      </c>
      <c r="I1255" s="4" t="n">
        <v>813</v>
      </c>
      <c r="J1255" s="4" t="n">
        <v>180</v>
      </c>
      <c r="K1255" s="4" t="n">
        <v>0</v>
      </c>
      <c r="L1255" s="4" t="n">
        <f aca="false">IF(O1255="Delivered",I1255-J1255+K1255,0)</f>
        <v>633</v>
      </c>
      <c r="M1255" s="0" t="n">
        <v>32</v>
      </c>
      <c r="N1255" s="0" t="n">
        <v>4.9</v>
      </c>
      <c r="O1255" s="3" t="s">
        <v>17</v>
      </c>
    </row>
    <row r="1256" customFormat="false" ht="15" hidden="false" customHeight="false" outlineLevel="0" collapsed="false">
      <c r="A1256" s="0" t="s">
        <v>522</v>
      </c>
      <c r="B1256" s="2" t="n">
        <v>45975</v>
      </c>
      <c r="C1256" s="0" t="str">
        <f aca="false">TEXT(B1256,"mmm")</f>
        <v>Nov</v>
      </c>
      <c r="D1256" s="0" t="str">
        <f aca="false">TEXT(B1256,"ddd")</f>
        <v>Fri</v>
      </c>
      <c r="E1256" s="3" t="s">
        <v>13</v>
      </c>
      <c r="F1256" s="3" t="s">
        <v>14</v>
      </c>
      <c r="G1256" s="3" t="s">
        <v>21</v>
      </c>
      <c r="H1256" s="3" t="s">
        <v>22</v>
      </c>
      <c r="I1256" s="4" t="n">
        <v>224</v>
      </c>
      <c r="J1256" s="4" t="n">
        <v>0</v>
      </c>
      <c r="K1256" s="4" t="n">
        <v>45</v>
      </c>
      <c r="L1256" s="4" t="n">
        <f aca="false">IF(O1256="Delivered",I1256-J1256+K1256,0)</f>
        <v>269</v>
      </c>
      <c r="M1256" s="0" t="n">
        <v>40</v>
      </c>
      <c r="N1256" s="0" t="n">
        <v>3.8</v>
      </c>
      <c r="O1256" s="3" t="s">
        <v>17</v>
      </c>
    </row>
    <row r="1257" customFormat="false" ht="15" hidden="false" customHeight="false" outlineLevel="0" collapsed="false">
      <c r="A1257" s="0" t="s">
        <v>696</v>
      </c>
      <c r="B1257" s="2" t="n">
        <v>45975</v>
      </c>
      <c r="C1257" s="0" t="str">
        <f aca="false">TEXT(B1257,"mmm")</f>
        <v>Nov</v>
      </c>
      <c r="D1257" s="0" t="str">
        <f aca="false">TEXT(B1257,"ddd")</f>
        <v>Fri</v>
      </c>
      <c r="E1257" s="3" t="s">
        <v>24</v>
      </c>
      <c r="F1257" s="3" t="s">
        <v>28</v>
      </c>
      <c r="G1257" s="3" t="s">
        <v>15</v>
      </c>
      <c r="H1257" s="3" t="s">
        <v>54</v>
      </c>
      <c r="I1257" s="4" t="n">
        <v>496</v>
      </c>
      <c r="J1257" s="4" t="n">
        <v>68</v>
      </c>
      <c r="K1257" s="4" t="n">
        <v>40</v>
      </c>
      <c r="L1257" s="4" t="n">
        <f aca="false">IF(O1257="Delivered",I1257-J1257+K1257,0)</f>
        <v>468</v>
      </c>
      <c r="M1257" s="0" t="n">
        <v>36</v>
      </c>
      <c r="N1257" s="0" t="n">
        <v>3.6</v>
      </c>
      <c r="O1257" s="3" t="s">
        <v>17</v>
      </c>
    </row>
    <row r="1258" customFormat="false" ht="15" hidden="false" customHeight="false" outlineLevel="0" collapsed="false">
      <c r="A1258" s="0" t="s">
        <v>907</v>
      </c>
      <c r="B1258" s="2" t="n">
        <v>45975</v>
      </c>
      <c r="C1258" s="0" t="str">
        <f aca="false">TEXT(B1258,"mmm")</f>
        <v>Nov</v>
      </c>
      <c r="D1258" s="0" t="str">
        <f aca="false">TEXT(B1258,"ddd")</f>
        <v>Fri</v>
      </c>
      <c r="E1258" s="3" t="s">
        <v>45</v>
      </c>
      <c r="F1258" s="3" t="s">
        <v>14</v>
      </c>
      <c r="G1258" s="3" t="s">
        <v>21</v>
      </c>
      <c r="H1258" s="3" t="s">
        <v>54</v>
      </c>
      <c r="I1258" s="4" t="n">
        <v>266</v>
      </c>
      <c r="J1258" s="4" t="n">
        <v>0</v>
      </c>
      <c r="K1258" s="4" t="n">
        <v>20</v>
      </c>
      <c r="L1258" s="4" t="n">
        <f aca="false">IF(O1258="Delivered",I1258-J1258+K1258,0)</f>
        <v>286</v>
      </c>
      <c r="M1258" s="0" t="n">
        <v>25</v>
      </c>
      <c r="N1258" s="0" t="n">
        <v>4.9</v>
      </c>
      <c r="O1258" s="3" t="s">
        <v>17</v>
      </c>
    </row>
    <row r="1259" customFormat="false" ht="15" hidden="false" customHeight="false" outlineLevel="0" collapsed="false">
      <c r="A1259" s="0" t="s">
        <v>122</v>
      </c>
      <c r="B1259" s="2" t="n">
        <v>45976</v>
      </c>
      <c r="C1259" s="0" t="str">
        <f aca="false">TEXT(B1259,"mmm")</f>
        <v>Nov</v>
      </c>
      <c r="D1259" s="0" t="str">
        <f aca="false">TEXT(B1259,"ddd")</f>
        <v>Sat</v>
      </c>
      <c r="E1259" s="3" t="s">
        <v>27</v>
      </c>
      <c r="F1259" s="3" t="s">
        <v>14</v>
      </c>
      <c r="G1259" s="3" t="s">
        <v>15</v>
      </c>
      <c r="H1259" s="3" t="s">
        <v>22</v>
      </c>
      <c r="I1259" s="4" t="n">
        <v>315</v>
      </c>
      <c r="J1259" s="4" t="n">
        <v>56</v>
      </c>
      <c r="K1259" s="4" t="n">
        <v>30</v>
      </c>
      <c r="L1259" s="4" t="n">
        <f aca="false">IF(O1259="Delivered",I1259-J1259+K1259,0)</f>
        <v>289</v>
      </c>
      <c r="M1259" s="0" t="n">
        <v>37</v>
      </c>
      <c r="O1259" s="3" t="s">
        <v>17</v>
      </c>
    </row>
    <row r="1260" customFormat="false" ht="15" hidden="false" customHeight="false" outlineLevel="0" collapsed="false">
      <c r="A1260" s="0" t="s">
        <v>353</v>
      </c>
      <c r="B1260" s="2" t="n">
        <v>45976</v>
      </c>
      <c r="C1260" s="0" t="str">
        <f aca="false">TEXT(B1260,"mmm")</f>
        <v>Nov</v>
      </c>
      <c r="D1260" s="0" t="str">
        <f aca="false">TEXT(B1260,"ddd")</f>
        <v>Sat</v>
      </c>
      <c r="E1260" s="3" t="s">
        <v>27</v>
      </c>
      <c r="F1260" s="3" t="s">
        <v>31</v>
      </c>
      <c r="G1260" s="3" t="s">
        <v>21</v>
      </c>
      <c r="H1260" s="3" t="s">
        <v>22</v>
      </c>
      <c r="I1260" s="4" t="n">
        <v>549</v>
      </c>
      <c r="J1260" s="4" t="n">
        <v>0</v>
      </c>
      <c r="K1260" s="4" t="n">
        <v>0</v>
      </c>
      <c r="L1260" s="4" t="n">
        <f aca="false">IF(O1260="Delivered",I1260-J1260+K1260,0)</f>
        <v>549</v>
      </c>
      <c r="M1260" s="0" t="n">
        <v>35</v>
      </c>
      <c r="N1260" s="0" t="n">
        <v>3.9</v>
      </c>
      <c r="O1260" s="3" t="s">
        <v>17</v>
      </c>
    </row>
    <row r="1261" customFormat="false" ht="15" hidden="false" customHeight="false" outlineLevel="0" collapsed="false">
      <c r="A1261" s="0" t="s">
        <v>481</v>
      </c>
      <c r="B1261" s="2" t="n">
        <v>45976</v>
      </c>
      <c r="C1261" s="0" t="str">
        <f aca="false">TEXT(B1261,"mmm")</f>
        <v>Nov</v>
      </c>
      <c r="D1261" s="0" t="str">
        <f aca="false">TEXT(B1261,"ddd")</f>
        <v>Sat</v>
      </c>
      <c r="E1261" s="3" t="s">
        <v>27</v>
      </c>
      <c r="F1261" s="3" t="s">
        <v>25</v>
      </c>
      <c r="G1261" s="3" t="s">
        <v>21</v>
      </c>
      <c r="H1261" s="3" t="s">
        <v>22</v>
      </c>
      <c r="I1261" s="4" t="n">
        <v>342</v>
      </c>
      <c r="J1261" s="4" t="n">
        <v>84</v>
      </c>
      <c r="K1261" s="4" t="n">
        <v>40</v>
      </c>
      <c r="L1261" s="4" t="n">
        <f aca="false">IF(O1261="Delivered",I1261-J1261+K1261,0)</f>
        <v>298</v>
      </c>
      <c r="M1261" s="0" t="n">
        <v>55</v>
      </c>
      <c r="N1261" s="0" t="n">
        <v>3.1</v>
      </c>
      <c r="O1261" s="3" t="s">
        <v>17</v>
      </c>
    </row>
    <row r="1262" customFormat="false" ht="15" hidden="false" customHeight="false" outlineLevel="0" collapsed="false">
      <c r="A1262" s="0" t="s">
        <v>535</v>
      </c>
      <c r="B1262" s="2" t="n">
        <v>45976</v>
      </c>
      <c r="C1262" s="0" t="str">
        <f aca="false">TEXT(B1262,"mmm")</f>
        <v>Nov</v>
      </c>
      <c r="D1262" s="0" t="str">
        <f aca="false">TEXT(B1262,"ddd")</f>
        <v>Sat</v>
      </c>
      <c r="E1262" s="3" t="s">
        <v>24</v>
      </c>
      <c r="F1262" s="3" t="s">
        <v>25</v>
      </c>
      <c r="G1262" s="3" t="s">
        <v>21</v>
      </c>
      <c r="H1262" s="3" t="s">
        <v>16</v>
      </c>
      <c r="I1262" s="4" t="n">
        <v>418</v>
      </c>
      <c r="J1262" s="4" t="n">
        <v>0</v>
      </c>
      <c r="K1262" s="4" t="n">
        <v>40</v>
      </c>
      <c r="L1262" s="4" t="n">
        <f aca="false">IF(O1262="Delivered",I1262-J1262+K1262,0)</f>
        <v>458</v>
      </c>
      <c r="M1262" s="0" t="n">
        <v>32</v>
      </c>
      <c r="N1262" s="0" t="n">
        <v>4</v>
      </c>
      <c r="O1262" s="3" t="s">
        <v>17</v>
      </c>
    </row>
    <row r="1263" customFormat="false" ht="15" hidden="false" customHeight="false" outlineLevel="0" collapsed="false">
      <c r="A1263" s="0" t="s">
        <v>691</v>
      </c>
      <c r="B1263" s="2" t="n">
        <v>45976</v>
      </c>
      <c r="C1263" s="0" t="str">
        <f aca="false">TEXT(B1263,"mmm")</f>
        <v>Nov</v>
      </c>
      <c r="D1263" s="0" t="str">
        <f aca="false">TEXT(B1263,"ddd")</f>
        <v>Sat</v>
      </c>
      <c r="E1263" s="3" t="s">
        <v>24</v>
      </c>
      <c r="F1263" s="3" t="s">
        <v>25</v>
      </c>
      <c r="G1263" s="3" t="s">
        <v>21</v>
      </c>
      <c r="H1263" s="3" t="s">
        <v>16</v>
      </c>
      <c r="I1263" s="4" t="n">
        <v>563</v>
      </c>
      <c r="J1263" s="4" t="n">
        <v>115</v>
      </c>
      <c r="K1263" s="4" t="n">
        <v>0</v>
      </c>
      <c r="L1263" s="4" t="n">
        <f aca="false">IF(O1263="Delivered",I1263-J1263+K1263,0)</f>
        <v>448</v>
      </c>
      <c r="M1263" s="0" t="n">
        <v>44</v>
      </c>
      <c r="N1263" s="0" t="n">
        <v>4.1</v>
      </c>
      <c r="O1263" s="3" t="s">
        <v>17</v>
      </c>
    </row>
    <row r="1264" customFormat="false" ht="15" hidden="false" customHeight="false" outlineLevel="0" collapsed="false">
      <c r="A1264" s="0" t="s">
        <v>777</v>
      </c>
      <c r="B1264" s="2" t="n">
        <v>45976</v>
      </c>
      <c r="C1264" s="0" t="str">
        <f aca="false">TEXT(B1264,"mmm")</f>
        <v>Nov</v>
      </c>
      <c r="D1264" s="0" t="str">
        <f aca="false">TEXT(B1264,"ddd")</f>
        <v>Sat</v>
      </c>
      <c r="E1264" s="3" t="s">
        <v>27</v>
      </c>
      <c r="F1264" s="3" t="s">
        <v>25</v>
      </c>
      <c r="G1264" s="3" t="s">
        <v>15</v>
      </c>
      <c r="H1264" s="3" t="s">
        <v>16</v>
      </c>
      <c r="I1264" s="4" t="n">
        <v>356</v>
      </c>
      <c r="J1264" s="4" t="n">
        <v>50</v>
      </c>
      <c r="K1264" s="4" t="n">
        <v>40</v>
      </c>
      <c r="L1264" s="4" t="n">
        <f aca="false">IF(O1264="Delivered",I1264-J1264+K1264,0)</f>
        <v>346</v>
      </c>
      <c r="M1264" s="0" t="n">
        <v>57</v>
      </c>
      <c r="N1264" s="0" t="n">
        <v>4.2</v>
      </c>
      <c r="O1264" s="3" t="s">
        <v>17</v>
      </c>
    </row>
    <row r="1265" customFormat="false" ht="15" hidden="false" customHeight="false" outlineLevel="0" collapsed="false">
      <c r="A1265" s="0" t="s">
        <v>779</v>
      </c>
      <c r="B1265" s="2" t="n">
        <v>45976</v>
      </c>
      <c r="C1265" s="0" t="str">
        <f aca="false">TEXT(B1265,"mmm")</f>
        <v>Nov</v>
      </c>
      <c r="D1265" s="0" t="str">
        <f aca="false">TEXT(B1265,"ddd")</f>
        <v>Sat</v>
      </c>
      <c r="E1265" s="3" t="s">
        <v>40</v>
      </c>
      <c r="F1265" s="3" t="s">
        <v>31</v>
      </c>
      <c r="G1265" s="3" t="s">
        <v>15</v>
      </c>
      <c r="H1265" s="3" t="s">
        <v>34</v>
      </c>
      <c r="I1265" s="4" t="n">
        <v>618</v>
      </c>
      <c r="J1265" s="4" t="n">
        <v>0</v>
      </c>
      <c r="K1265" s="4" t="n">
        <v>0</v>
      </c>
      <c r="L1265" s="4" t="n">
        <f aca="false">IF(O1265="Delivered",I1265-J1265+K1265,0)</f>
        <v>0</v>
      </c>
      <c r="O1265" s="3" t="s">
        <v>68</v>
      </c>
    </row>
    <row r="1266" customFormat="false" ht="15" hidden="false" customHeight="false" outlineLevel="0" collapsed="false">
      <c r="A1266" s="0" t="s">
        <v>909</v>
      </c>
      <c r="B1266" s="2" t="n">
        <v>45976</v>
      </c>
      <c r="C1266" s="0" t="str">
        <f aca="false">TEXT(B1266,"mmm")</f>
        <v>Nov</v>
      </c>
      <c r="D1266" s="0" t="str">
        <f aca="false">TEXT(B1266,"ddd")</f>
        <v>Sat</v>
      </c>
      <c r="E1266" s="3" t="s">
        <v>40</v>
      </c>
      <c r="F1266" s="3" t="s">
        <v>56</v>
      </c>
      <c r="G1266" s="3" t="s">
        <v>21</v>
      </c>
      <c r="H1266" s="3" t="s">
        <v>22</v>
      </c>
      <c r="I1266" s="4" t="n">
        <v>538</v>
      </c>
      <c r="J1266" s="4" t="n">
        <v>0</v>
      </c>
      <c r="K1266" s="4" t="n">
        <v>0</v>
      </c>
      <c r="L1266" s="4" t="n">
        <f aca="false">IF(O1266="Delivered",I1266-J1266+K1266,0)</f>
        <v>538</v>
      </c>
      <c r="M1266" s="0" t="n">
        <v>38</v>
      </c>
      <c r="N1266" s="0" t="n">
        <v>4.2</v>
      </c>
      <c r="O1266" s="3" t="s">
        <v>17</v>
      </c>
    </row>
    <row r="1267" customFormat="false" ht="15" hidden="false" customHeight="false" outlineLevel="0" collapsed="false">
      <c r="A1267" s="0" t="s">
        <v>1072</v>
      </c>
      <c r="B1267" s="2" t="n">
        <v>45976</v>
      </c>
      <c r="C1267" s="0" t="str">
        <f aca="false">TEXT(B1267,"mmm")</f>
        <v>Nov</v>
      </c>
      <c r="D1267" s="0" t="str">
        <f aca="false">TEXT(B1267,"ddd")</f>
        <v>Sat</v>
      </c>
      <c r="E1267" s="3" t="s">
        <v>13</v>
      </c>
      <c r="F1267" s="3" t="s">
        <v>14</v>
      </c>
      <c r="G1267" s="3" t="s">
        <v>21</v>
      </c>
      <c r="H1267" s="3" t="s">
        <v>54</v>
      </c>
      <c r="I1267" s="4" t="n">
        <v>387</v>
      </c>
      <c r="J1267" s="4" t="n">
        <v>0</v>
      </c>
      <c r="K1267" s="4" t="n">
        <v>30</v>
      </c>
      <c r="L1267" s="4" t="n">
        <f aca="false">IF(O1267="Delivered",I1267-J1267+K1267,0)</f>
        <v>0</v>
      </c>
      <c r="O1267" s="3" t="s">
        <v>68</v>
      </c>
    </row>
    <row r="1268" customFormat="false" ht="15" hidden="false" customHeight="false" outlineLevel="0" collapsed="false">
      <c r="A1268" s="0" t="s">
        <v>1094</v>
      </c>
      <c r="B1268" s="2" t="n">
        <v>45976</v>
      </c>
      <c r="C1268" s="0" t="str">
        <f aca="false">TEXT(B1268,"mmm")</f>
        <v>Nov</v>
      </c>
      <c r="D1268" s="0" t="str">
        <f aca="false">TEXT(B1268,"ddd")</f>
        <v>Sat</v>
      </c>
      <c r="E1268" s="3" t="s">
        <v>27</v>
      </c>
      <c r="F1268" s="3" t="s">
        <v>31</v>
      </c>
      <c r="G1268" s="3" t="s">
        <v>21</v>
      </c>
      <c r="H1268" s="3" t="s">
        <v>36</v>
      </c>
      <c r="I1268" s="4" t="n">
        <v>569</v>
      </c>
      <c r="J1268" s="4" t="n">
        <v>0</v>
      </c>
      <c r="K1268" s="4" t="n">
        <v>0</v>
      </c>
      <c r="L1268" s="4" t="n">
        <f aca="false">IF(O1268="Delivered",I1268-J1268+K1268,0)</f>
        <v>0</v>
      </c>
      <c r="O1268" s="3" t="s">
        <v>68</v>
      </c>
    </row>
    <row r="1269" customFormat="false" ht="15" hidden="false" customHeight="false" outlineLevel="0" collapsed="false">
      <c r="A1269" s="0" t="s">
        <v>1424</v>
      </c>
      <c r="B1269" s="2" t="n">
        <v>45976</v>
      </c>
      <c r="C1269" s="0" t="str">
        <f aca="false">TEXT(B1269,"mmm")</f>
        <v>Nov</v>
      </c>
      <c r="D1269" s="0" t="str">
        <f aca="false">TEXT(B1269,"ddd")</f>
        <v>Sat</v>
      </c>
      <c r="E1269" s="3" t="s">
        <v>30</v>
      </c>
      <c r="F1269" s="3" t="s">
        <v>31</v>
      </c>
      <c r="G1269" s="3" t="s">
        <v>21</v>
      </c>
      <c r="H1269" s="3" t="s">
        <v>1690</v>
      </c>
      <c r="I1269" s="4" t="n">
        <v>626</v>
      </c>
      <c r="J1269" s="4" t="n">
        <v>67</v>
      </c>
      <c r="K1269" s="4" t="n">
        <v>0</v>
      </c>
      <c r="L1269" s="4" t="n">
        <f aca="false">IF(O1269="Delivered",I1269-J1269+K1269,0)</f>
        <v>559</v>
      </c>
      <c r="M1269" s="0" t="n">
        <v>31</v>
      </c>
      <c r="N1269" s="0" t="n">
        <v>4.9</v>
      </c>
      <c r="O1269" s="3" t="s">
        <v>17</v>
      </c>
    </row>
    <row r="1270" customFormat="false" ht="15" hidden="false" customHeight="false" outlineLevel="0" collapsed="false">
      <c r="A1270" s="0" t="s">
        <v>1489</v>
      </c>
      <c r="B1270" s="2" t="n">
        <v>45976</v>
      </c>
      <c r="C1270" s="0" t="str">
        <f aca="false">TEXT(B1270,"mmm")</f>
        <v>Nov</v>
      </c>
      <c r="D1270" s="0" t="str">
        <f aca="false">TEXT(B1270,"ddd")</f>
        <v>Sat</v>
      </c>
      <c r="E1270" s="3" t="s">
        <v>51</v>
      </c>
      <c r="F1270" s="3" t="s">
        <v>56</v>
      </c>
      <c r="G1270" s="3" t="s">
        <v>21</v>
      </c>
      <c r="H1270" s="3" t="s">
        <v>1690</v>
      </c>
      <c r="I1270" s="4" t="n">
        <v>372</v>
      </c>
      <c r="J1270" s="4" t="n">
        <v>0</v>
      </c>
      <c r="K1270" s="4" t="n">
        <v>20</v>
      </c>
      <c r="L1270" s="4" t="n">
        <f aca="false">IF(O1270="Delivered",I1270-J1270+K1270,0)</f>
        <v>392</v>
      </c>
      <c r="M1270" s="0" t="n">
        <v>52</v>
      </c>
      <c r="N1270" s="0" t="n">
        <v>3.9</v>
      </c>
      <c r="O1270" s="3" t="s">
        <v>17</v>
      </c>
    </row>
    <row r="1271" customFormat="false" ht="15" hidden="false" customHeight="false" outlineLevel="0" collapsed="false">
      <c r="A1271" s="0" t="s">
        <v>170</v>
      </c>
      <c r="B1271" s="2" t="n">
        <v>45977</v>
      </c>
      <c r="C1271" s="0" t="str">
        <f aca="false">TEXT(B1271,"mmm")</f>
        <v>Nov</v>
      </c>
      <c r="D1271" s="0" t="str">
        <f aca="false">TEXT(B1271,"ddd")</f>
        <v>Sun</v>
      </c>
      <c r="E1271" s="3" t="s">
        <v>24</v>
      </c>
      <c r="F1271" s="3" t="s">
        <v>20</v>
      </c>
      <c r="G1271" s="3" t="s">
        <v>15</v>
      </c>
      <c r="H1271" s="3" t="s">
        <v>36</v>
      </c>
      <c r="I1271" s="4" t="n">
        <v>641</v>
      </c>
      <c r="J1271" s="4" t="n">
        <v>153</v>
      </c>
      <c r="K1271" s="4" t="n">
        <v>0</v>
      </c>
      <c r="L1271" s="4" t="n">
        <f aca="false">IF(O1271="Delivered",I1271-J1271+K1271,0)</f>
        <v>488</v>
      </c>
      <c r="M1271" s="0" t="n">
        <v>35</v>
      </c>
      <c r="N1271" s="0" t="n">
        <v>3.7</v>
      </c>
      <c r="O1271" s="3" t="s">
        <v>17</v>
      </c>
    </row>
    <row r="1272" customFormat="false" ht="15" hidden="false" customHeight="false" outlineLevel="0" collapsed="false">
      <c r="A1272" s="0" t="s">
        <v>629</v>
      </c>
      <c r="B1272" s="2" t="n">
        <v>45977</v>
      </c>
      <c r="C1272" s="0" t="str">
        <f aca="false">TEXT(B1272,"mmm")</f>
        <v>Nov</v>
      </c>
      <c r="D1272" s="0" t="str">
        <f aca="false">TEXT(B1272,"ddd")</f>
        <v>Sun</v>
      </c>
      <c r="E1272" s="3" t="s">
        <v>13</v>
      </c>
      <c r="F1272" s="3" t="s">
        <v>56</v>
      </c>
      <c r="G1272" s="3" t="s">
        <v>21</v>
      </c>
      <c r="H1272" s="3" t="s">
        <v>54</v>
      </c>
      <c r="I1272" s="4" t="n">
        <v>316</v>
      </c>
      <c r="J1272" s="4" t="n">
        <v>0</v>
      </c>
      <c r="K1272" s="4" t="n">
        <v>45</v>
      </c>
      <c r="L1272" s="4" t="n">
        <f aca="false">IF(O1272="Delivered",I1272-J1272+K1272,0)</f>
        <v>361</v>
      </c>
      <c r="M1272" s="0" t="n">
        <v>23</v>
      </c>
      <c r="N1272" s="0" t="n">
        <v>4.4</v>
      </c>
      <c r="O1272" s="3" t="s">
        <v>17</v>
      </c>
    </row>
    <row r="1273" customFormat="false" ht="15" hidden="false" customHeight="false" outlineLevel="0" collapsed="false">
      <c r="A1273" s="0" t="s">
        <v>913</v>
      </c>
      <c r="B1273" s="2" t="n">
        <v>45977</v>
      </c>
      <c r="C1273" s="0" t="str">
        <f aca="false">TEXT(B1273,"mmm")</f>
        <v>Nov</v>
      </c>
      <c r="D1273" s="0" t="str">
        <f aca="false">TEXT(B1273,"ddd")</f>
        <v>Sun</v>
      </c>
      <c r="E1273" s="3" t="s">
        <v>13</v>
      </c>
      <c r="F1273" s="3" t="s">
        <v>78</v>
      </c>
      <c r="G1273" s="3" t="s">
        <v>21</v>
      </c>
      <c r="H1273" s="3" t="s">
        <v>36</v>
      </c>
      <c r="I1273" s="4" t="n">
        <v>423</v>
      </c>
      <c r="J1273" s="4" t="n">
        <v>0</v>
      </c>
      <c r="K1273" s="4" t="n">
        <v>45</v>
      </c>
      <c r="L1273" s="4" t="n">
        <f aca="false">IF(O1273="Delivered",I1273-J1273+K1273,0)</f>
        <v>468</v>
      </c>
      <c r="M1273" s="0" t="n">
        <v>32</v>
      </c>
      <c r="N1273" s="0" t="n">
        <v>5</v>
      </c>
      <c r="O1273" s="3" t="s">
        <v>17</v>
      </c>
    </row>
    <row r="1274" customFormat="false" ht="15" hidden="false" customHeight="false" outlineLevel="0" collapsed="false">
      <c r="A1274" s="0" t="s">
        <v>1229</v>
      </c>
      <c r="B1274" s="2" t="n">
        <v>45977</v>
      </c>
      <c r="C1274" s="0" t="str">
        <f aca="false">TEXT(B1274,"mmm")</f>
        <v>Nov</v>
      </c>
      <c r="D1274" s="0" t="str">
        <f aca="false">TEXT(B1274,"ddd")</f>
        <v>Sun</v>
      </c>
      <c r="E1274" s="3" t="s">
        <v>27</v>
      </c>
      <c r="F1274" s="3" t="s">
        <v>31</v>
      </c>
      <c r="G1274" s="3" t="s">
        <v>15</v>
      </c>
      <c r="H1274" s="3" t="s">
        <v>36</v>
      </c>
      <c r="I1274" s="4" t="n">
        <v>489</v>
      </c>
      <c r="J1274" s="4" t="n">
        <v>78</v>
      </c>
      <c r="K1274" s="4" t="n">
        <v>20</v>
      </c>
      <c r="L1274" s="4" t="n">
        <f aca="false">IF(O1274="Delivered",I1274-J1274+K1274,0)</f>
        <v>431</v>
      </c>
      <c r="M1274" s="0" t="n">
        <v>44</v>
      </c>
      <c r="N1274" s="0" t="n">
        <v>3.5</v>
      </c>
      <c r="O1274" s="3" t="s">
        <v>17</v>
      </c>
    </row>
    <row r="1275" customFormat="false" ht="15" hidden="false" customHeight="false" outlineLevel="0" collapsed="false">
      <c r="A1275" s="0" t="s">
        <v>1508</v>
      </c>
      <c r="B1275" s="2" t="n">
        <v>45977</v>
      </c>
      <c r="C1275" s="0" t="str">
        <f aca="false">TEXT(B1275,"mmm")</f>
        <v>Nov</v>
      </c>
      <c r="D1275" s="0" t="str">
        <f aca="false">TEXT(B1275,"ddd")</f>
        <v>Sun</v>
      </c>
      <c r="E1275" s="3" t="s">
        <v>13</v>
      </c>
      <c r="F1275" s="3" t="s">
        <v>31</v>
      </c>
      <c r="G1275" s="3" t="s">
        <v>15</v>
      </c>
      <c r="H1275" s="3" t="s">
        <v>54</v>
      </c>
      <c r="I1275" s="4" t="n">
        <v>439</v>
      </c>
      <c r="J1275" s="4" t="n">
        <v>0</v>
      </c>
      <c r="K1275" s="4" t="n">
        <v>30</v>
      </c>
      <c r="L1275" s="4" t="n">
        <f aca="false">IF(O1275="Delivered",I1275-J1275+K1275,0)</f>
        <v>469</v>
      </c>
      <c r="M1275" s="0" t="n">
        <v>40</v>
      </c>
      <c r="N1275" s="0" t="n">
        <v>3.6</v>
      </c>
      <c r="O1275" s="3" t="s">
        <v>17</v>
      </c>
    </row>
    <row r="1276" customFormat="false" ht="15" hidden="false" customHeight="false" outlineLevel="0" collapsed="false">
      <c r="A1276" s="0" t="s">
        <v>1683</v>
      </c>
      <c r="B1276" s="2" t="n">
        <v>45977</v>
      </c>
      <c r="C1276" s="0" t="str">
        <f aca="false">TEXT(B1276,"mmm")</f>
        <v>Nov</v>
      </c>
      <c r="D1276" s="0" t="str">
        <f aca="false">TEXT(B1276,"ddd")</f>
        <v>Sun</v>
      </c>
      <c r="E1276" s="3" t="s">
        <v>13</v>
      </c>
      <c r="F1276" s="3" t="s">
        <v>56</v>
      </c>
      <c r="G1276" s="3" t="s">
        <v>21</v>
      </c>
      <c r="H1276" s="3" t="s">
        <v>22</v>
      </c>
      <c r="I1276" s="4" t="n">
        <v>391</v>
      </c>
      <c r="J1276" s="4" t="n">
        <v>89</v>
      </c>
      <c r="K1276" s="4" t="n">
        <v>30</v>
      </c>
      <c r="L1276" s="4" t="n">
        <f aca="false">IF(O1276="Delivered",I1276-J1276+K1276,0)</f>
        <v>332</v>
      </c>
      <c r="M1276" s="0" t="n">
        <v>36</v>
      </c>
      <c r="N1276" s="0" t="n">
        <v>3.5</v>
      </c>
      <c r="O1276" s="3" t="s">
        <v>17</v>
      </c>
    </row>
    <row r="1277" customFormat="false" ht="15" hidden="false" customHeight="false" outlineLevel="0" collapsed="false">
      <c r="A1277" s="0" t="s">
        <v>23</v>
      </c>
      <c r="B1277" s="2" t="n">
        <v>45978</v>
      </c>
      <c r="C1277" s="0" t="str">
        <f aca="false">TEXT(B1277,"mmm")</f>
        <v>Nov</v>
      </c>
      <c r="D1277" s="0" t="str">
        <f aca="false">TEXT(B1277,"ddd")</f>
        <v>Mon</v>
      </c>
      <c r="E1277" s="3" t="s">
        <v>24</v>
      </c>
      <c r="F1277" s="3" t="s">
        <v>25</v>
      </c>
      <c r="G1277" s="3" t="s">
        <v>21</v>
      </c>
      <c r="H1277" s="3" t="s">
        <v>16</v>
      </c>
      <c r="I1277" s="4" t="n">
        <v>512</v>
      </c>
      <c r="J1277" s="4" t="n">
        <v>0</v>
      </c>
      <c r="K1277" s="4" t="n">
        <v>0</v>
      </c>
      <c r="L1277" s="4" t="n">
        <f aca="false">IF(O1277="Delivered",I1277-J1277+K1277,0)</f>
        <v>512</v>
      </c>
      <c r="M1277" s="0" t="n">
        <v>31</v>
      </c>
      <c r="N1277" s="0" t="n">
        <v>4.2</v>
      </c>
      <c r="O1277" s="3" t="s">
        <v>17</v>
      </c>
    </row>
    <row r="1278" customFormat="false" ht="15" hidden="false" customHeight="false" outlineLevel="0" collapsed="false">
      <c r="A1278" s="0" t="s">
        <v>383</v>
      </c>
      <c r="B1278" s="2" t="n">
        <v>45978</v>
      </c>
      <c r="C1278" s="0" t="str">
        <f aca="false">TEXT(B1278,"mmm")</f>
        <v>Nov</v>
      </c>
      <c r="D1278" s="0" t="str">
        <f aca="false">TEXT(B1278,"ddd")</f>
        <v>Mon</v>
      </c>
      <c r="E1278" s="3" t="s">
        <v>13</v>
      </c>
      <c r="F1278" s="3" t="s">
        <v>28</v>
      </c>
      <c r="G1278" s="3" t="s">
        <v>21</v>
      </c>
      <c r="H1278" s="3" t="s">
        <v>36</v>
      </c>
      <c r="I1278" s="4" t="n">
        <v>389</v>
      </c>
      <c r="J1278" s="4" t="n">
        <v>0</v>
      </c>
      <c r="K1278" s="4" t="n">
        <v>30</v>
      </c>
      <c r="L1278" s="4" t="n">
        <f aca="false">IF(O1278="Delivered",I1278-J1278+K1278,0)</f>
        <v>419</v>
      </c>
      <c r="M1278" s="0" t="n">
        <v>42</v>
      </c>
      <c r="N1278" s="0" t="n">
        <v>4.3</v>
      </c>
      <c r="O1278" s="3" t="s">
        <v>17</v>
      </c>
    </row>
    <row r="1279" customFormat="false" ht="15" hidden="false" customHeight="false" outlineLevel="0" collapsed="false">
      <c r="A1279" s="0" t="s">
        <v>768</v>
      </c>
      <c r="B1279" s="2" t="n">
        <v>45978</v>
      </c>
      <c r="C1279" s="0" t="str">
        <f aca="false">TEXT(B1279,"mmm")</f>
        <v>Nov</v>
      </c>
      <c r="D1279" s="0" t="str">
        <f aca="false">TEXT(B1279,"ddd")</f>
        <v>Mon</v>
      </c>
      <c r="E1279" s="3" t="s">
        <v>51</v>
      </c>
      <c r="F1279" s="3" t="s">
        <v>28</v>
      </c>
      <c r="G1279" s="3" t="s">
        <v>21</v>
      </c>
      <c r="H1279" s="3" t="s">
        <v>22</v>
      </c>
      <c r="I1279" s="4" t="n">
        <v>433</v>
      </c>
      <c r="J1279" s="4" t="n">
        <v>0</v>
      </c>
      <c r="K1279" s="4" t="n">
        <v>40</v>
      </c>
      <c r="L1279" s="4" t="n">
        <f aca="false">IF(O1279="Delivered",I1279-J1279+K1279,0)</f>
        <v>473</v>
      </c>
      <c r="M1279" s="0" t="n">
        <v>43</v>
      </c>
      <c r="N1279" s="0" t="n">
        <v>4.2</v>
      </c>
      <c r="O1279" s="3" t="s">
        <v>17</v>
      </c>
    </row>
    <row r="1280" customFormat="false" ht="15" hidden="false" customHeight="false" outlineLevel="0" collapsed="false">
      <c r="A1280" s="0" t="s">
        <v>991</v>
      </c>
      <c r="B1280" s="2" t="n">
        <v>45978</v>
      </c>
      <c r="C1280" s="0" t="str">
        <f aca="false">TEXT(B1280,"mmm")</f>
        <v>Nov</v>
      </c>
      <c r="D1280" s="0" t="str">
        <f aca="false">TEXT(B1280,"ddd")</f>
        <v>Mon</v>
      </c>
      <c r="E1280" s="3" t="s">
        <v>24</v>
      </c>
      <c r="F1280" s="3" t="s">
        <v>25</v>
      </c>
      <c r="G1280" s="3" t="s">
        <v>21</v>
      </c>
      <c r="H1280" s="3" t="s">
        <v>36</v>
      </c>
      <c r="I1280" s="4" t="n">
        <v>513</v>
      </c>
      <c r="J1280" s="4" t="n">
        <v>0</v>
      </c>
      <c r="K1280" s="4" t="n">
        <v>0</v>
      </c>
      <c r="L1280" s="4" t="n">
        <f aca="false">IF(O1280="Delivered",I1280-J1280+K1280,0)</f>
        <v>513</v>
      </c>
      <c r="M1280" s="0" t="n">
        <v>26</v>
      </c>
      <c r="N1280" s="0" t="n">
        <v>4.4</v>
      </c>
      <c r="O1280" s="3" t="s">
        <v>17</v>
      </c>
    </row>
    <row r="1281" customFormat="false" ht="15" hidden="false" customHeight="false" outlineLevel="0" collapsed="false">
      <c r="A1281" s="0" t="s">
        <v>1408</v>
      </c>
      <c r="B1281" s="2" t="n">
        <v>45978</v>
      </c>
      <c r="C1281" s="0" t="str">
        <f aca="false">TEXT(B1281,"mmm")</f>
        <v>Nov</v>
      </c>
      <c r="D1281" s="0" t="str">
        <f aca="false">TEXT(B1281,"ddd")</f>
        <v>Mon</v>
      </c>
      <c r="E1281" s="3" t="s">
        <v>40</v>
      </c>
      <c r="F1281" s="3" t="s">
        <v>28</v>
      </c>
      <c r="G1281" s="3" t="s">
        <v>21</v>
      </c>
      <c r="H1281" s="3" t="s">
        <v>16</v>
      </c>
      <c r="I1281" s="4" t="n">
        <v>327</v>
      </c>
      <c r="J1281" s="4" t="n">
        <v>0</v>
      </c>
      <c r="K1281" s="4" t="n">
        <v>40</v>
      </c>
      <c r="L1281" s="4" t="n">
        <f aca="false">IF(O1281="Delivered",I1281-J1281+K1281,0)</f>
        <v>367</v>
      </c>
      <c r="M1281" s="0" t="n">
        <v>45</v>
      </c>
      <c r="N1281" s="0" t="n">
        <v>4.2</v>
      </c>
      <c r="O1281" s="3" t="s">
        <v>17</v>
      </c>
    </row>
    <row r="1282" customFormat="false" ht="15" hidden="false" customHeight="false" outlineLevel="0" collapsed="false">
      <c r="A1282" s="0" t="s">
        <v>417</v>
      </c>
      <c r="B1282" s="2" t="n">
        <v>45979</v>
      </c>
      <c r="C1282" s="0" t="str">
        <f aca="false">TEXT(B1282,"mmm")</f>
        <v>Nov</v>
      </c>
      <c r="D1282" s="0" t="str">
        <f aca="false">TEXT(B1282,"ddd")</f>
        <v>Tue</v>
      </c>
      <c r="E1282" s="3" t="s">
        <v>40</v>
      </c>
      <c r="F1282" s="3" t="s">
        <v>25</v>
      </c>
      <c r="G1282" s="3" t="s">
        <v>21</v>
      </c>
      <c r="H1282" s="3" t="s">
        <v>16</v>
      </c>
      <c r="I1282" s="4" t="n">
        <v>545</v>
      </c>
      <c r="J1282" s="4" t="n">
        <v>0</v>
      </c>
      <c r="K1282" s="4" t="n">
        <v>0</v>
      </c>
      <c r="L1282" s="4" t="n">
        <f aca="false">IF(O1282="Delivered",I1282-J1282+K1282,0)</f>
        <v>545</v>
      </c>
      <c r="M1282" s="0" t="n">
        <v>38</v>
      </c>
      <c r="N1282" s="0" t="n">
        <v>4.2</v>
      </c>
      <c r="O1282" s="3" t="s">
        <v>17</v>
      </c>
    </row>
    <row r="1283" customFormat="false" ht="15" hidden="false" customHeight="false" outlineLevel="0" collapsed="false">
      <c r="A1283" s="0" t="s">
        <v>874</v>
      </c>
      <c r="B1283" s="2" t="n">
        <v>45979</v>
      </c>
      <c r="C1283" s="0" t="str">
        <f aca="false">TEXT(B1283,"mmm")</f>
        <v>Nov</v>
      </c>
      <c r="D1283" s="0" t="str">
        <f aca="false">TEXT(B1283,"ddd")</f>
        <v>Tue</v>
      </c>
      <c r="E1283" s="3" t="s">
        <v>24</v>
      </c>
      <c r="F1283" s="3" t="s">
        <v>14</v>
      </c>
      <c r="G1283" s="3" t="s">
        <v>15</v>
      </c>
      <c r="H1283" s="3" t="s">
        <v>22</v>
      </c>
      <c r="I1283" s="4" t="n">
        <v>268</v>
      </c>
      <c r="J1283" s="4" t="n">
        <v>0</v>
      </c>
      <c r="K1283" s="4" t="n">
        <v>30</v>
      </c>
      <c r="L1283" s="4" t="n">
        <f aca="false">IF(O1283="Delivered",I1283-J1283+K1283,0)</f>
        <v>298</v>
      </c>
      <c r="M1283" s="0" t="n">
        <v>39</v>
      </c>
      <c r="N1283" s="0" t="n">
        <v>4.4</v>
      </c>
      <c r="O1283" s="3" t="s">
        <v>17</v>
      </c>
    </row>
    <row r="1284" customFormat="false" ht="15" hidden="false" customHeight="false" outlineLevel="0" collapsed="false">
      <c r="A1284" s="0" t="s">
        <v>1201</v>
      </c>
      <c r="B1284" s="2" t="n">
        <v>45979</v>
      </c>
      <c r="C1284" s="0" t="str">
        <f aca="false">TEXT(B1284,"mmm")</f>
        <v>Nov</v>
      </c>
      <c r="D1284" s="0" t="str">
        <f aca="false">TEXT(B1284,"ddd")</f>
        <v>Tue</v>
      </c>
      <c r="E1284" s="3" t="s">
        <v>24</v>
      </c>
      <c r="F1284" s="3" t="s">
        <v>25</v>
      </c>
      <c r="G1284" s="3" t="s">
        <v>21</v>
      </c>
      <c r="H1284" s="3" t="s">
        <v>16</v>
      </c>
      <c r="I1284" s="4" t="n">
        <v>455</v>
      </c>
      <c r="J1284" s="4" t="n">
        <v>0</v>
      </c>
      <c r="K1284" s="4" t="n">
        <v>20</v>
      </c>
      <c r="L1284" s="4" t="n">
        <f aca="false">IF(O1284="Delivered",I1284-J1284+K1284,0)</f>
        <v>475</v>
      </c>
      <c r="M1284" s="0" t="n">
        <v>44</v>
      </c>
      <c r="N1284" s="0" t="n">
        <v>4.3</v>
      </c>
      <c r="O1284" s="3" t="s">
        <v>17</v>
      </c>
    </row>
    <row r="1285" customFormat="false" ht="15" hidden="false" customHeight="false" outlineLevel="0" collapsed="false">
      <c r="A1285" s="0" t="s">
        <v>1254</v>
      </c>
      <c r="B1285" s="2" t="n">
        <v>45979</v>
      </c>
      <c r="C1285" s="0" t="str">
        <f aca="false">TEXT(B1285,"mmm")</f>
        <v>Nov</v>
      </c>
      <c r="D1285" s="0" t="str">
        <f aca="false">TEXT(B1285,"ddd")</f>
        <v>Tue</v>
      </c>
      <c r="E1285" s="3" t="s">
        <v>51</v>
      </c>
      <c r="F1285" s="3" t="s">
        <v>28</v>
      </c>
      <c r="G1285" s="3" t="s">
        <v>21</v>
      </c>
      <c r="H1285" s="3" t="s">
        <v>22</v>
      </c>
      <c r="I1285" s="4" t="n">
        <v>374</v>
      </c>
      <c r="J1285" s="4" t="n">
        <v>0</v>
      </c>
      <c r="K1285" s="4" t="n">
        <v>30</v>
      </c>
      <c r="L1285" s="4" t="n">
        <f aca="false">IF(O1285="Delivered",I1285-J1285+K1285,0)</f>
        <v>404</v>
      </c>
      <c r="M1285" s="0" t="n">
        <v>25</v>
      </c>
      <c r="N1285" s="0" t="n">
        <v>4.8</v>
      </c>
      <c r="O1285" s="3" t="s">
        <v>17</v>
      </c>
    </row>
    <row r="1286" customFormat="false" ht="15" hidden="false" customHeight="false" outlineLevel="0" collapsed="false">
      <c r="A1286" s="0" t="s">
        <v>1325</v>
      </c>
      <c r="B1286" s="2" t="n">
        <v>45979</v>
      </c>
      <c r="C1286" s="0" t="str">
        <f aca="false">TEXT(B1286,"mmm")</f>
        <v>Nov</v>
      </c>
      <c r="D1286" s="0" t="str">
        <f aca="false">TEXT(B1286,"ddd")</f>
        <v>Tue</v>
      </c>
      <c r="E1286" s="3" t="s">
        <v>30</v>
      </c>
      <c r="F1286" s="3" t="s">
        <v>25</v>
      </c>
      <c r="G1286" s="3" t="s">
        <v>21</v>
      </c>
      <c r="H1286" s="3" t="s">
        <v>22</v>
      </c>
      <c r="I1286" s="4" t="n">
        <v>444</v>
      </c>
      <c r="J1286" s="4" t="n">
        <v>0</v>
      </c>
      <c r="K1286" s="4" t="n">
        <v>30</v>
      </c>
      <c r="L1286" s="4" t="n">
        <f aca="false">IF(O1286="Delivered",I1286-J1286+K1286,0)</f>
        <v>474</v>
      </c>
      <c r="M1286" s="0" t="n">
        <v>42</v>
      </c>
      <c r="N1286" s="0" t="n">
        <v>4.3</v>
      </c>
      <c r="O1286" s="3" t="s">
        <v>17</v>
      </c>
    </row>
    <row r="1287" customFormat="false" ht="15" hidden="false" customHeight="false" outlineLevel="0" collapsed="false">
      <c r="A1287" s="0" t="s">
        <v>762</v>
      </c>
      <c r="B1287" s="2" t="n">
        <v>45980</v>
      </c>
      <c r="C1287" s="0" t="str">
        <f aca="false">TEXT(B1287,"mmm")</f>
        <v>Nov</v>
      </c>
      <c r="D1287" s="0" t="str">
        <f aca="false">TEXT(B1287,"ddd")</f>
        <v>Wed</v>
      </c>
      <c r="E1287" s="3" t="s">
        <v>45</v>
      </c>
      <c r="F1287" s="3" t="s">
        <v>20</v>
      </c>
      <c r="G1287" s="3" t="s">
        <v>21</v>
      </c>
      <c r="H1287" s="3" t="s">
        <v>22</v>
      </c>
      <c r="I1287" s="4" t="n">
        <v>659</v>
      </c>
      <c r="J1287" s="4" t="n">
        <v>67</v>
      </c>
      <c r="K1287" s="4" t="n">
        <v>0</v>
      </c>
      <c r="L1287" s="4" t="n">
        <f aca="false">IF(O1287="Delivered",I1287-J1287+K1287,0)</f>
        <v>592</v>
      </c>
      <c r="M1287" s="0" t="n">
        <v>24</v>
      </c>
      <c r="N1287" s="0" t="n">
        <v>4.1</v>
      </c>
      <c r="O1287" s="3" t="s">
        <v>17</v>
      </c>
    </row>
    <row r="1288" customFormat="false" ht="15" hidden="false" customHeight="false" outlineLevel="0" collapsed="false">
      <c r="A1288" s="0" t="s">
        <v>1006</v>
      </c>
      <c r="B1288" s="2" t="n">
        <v>45980</v>
      </c>
      <c r="C1288" s="0" t="str">
        <f aca="false">TEXT(B1288,"mmm")</f>
        <v>Nov</v>
      </c>
      <c r="D1288" s="0" t="str">
        <f aca="false">TEXT(B1288,"ddd")</f>
        <v>Wed</v>
      </c>
      <c r="E1288" s="3" t="s">
        <v>24</v>
      </c>
      <c r="F1288" s="3" t="s">
        <v>20</v>
      </c>
      <c r="G1288" s="3" t="s">
        <v>21</v>
      </c>
      <c r="H1288" s="3" t="s">
        <v>16</v>
      </c>
      <c r="I1288" s="4" t="n">
        <v>523</v>
      </c>
      <c r="J1288" s="4" t="n">
        <v>0</v>
      </c>
      <c r="K1288" s="4" t="n">
        <v>0</v>
      </c>
      <c r="L1288" s="4" t="n">
        <f aca="false">IF(O1288="Delivered",I1288-J1288+K1288,0)</f>
        <v>523</v>
      </c>
      <c r="M1288" s="0" t="n">
        <v>34</v>
      </c>
      <c r="N1288" s="0" t="n">
        <v>4.8</v>
      </c>
      <c r="O1288" s="3" t="s">
        <v>17</v>
      </c>
    </row>
    <row r="1289" customFormat="false" ht="15" hidden="false" customHeight="false" outlineLevel="0" collapsed="false">
      <c r="A1289" s="0" t="s">
        <v>1634</v>
      </c>
      <c r="B1289" s="2" t="n">
        <v>45980</v>
      </c>
      <c r="C1289" s="0" t="str">
        <f aca="false">TEXT(B1289,"mmm")</f>
        <v>Nov</v>
      </c>
      <c r="D1289" s="0" t="str">
        <f aca="false">TEXT(B1289,"ddd")</f>
        <v>Wed</v>
      </c>
      <c r="E1289" s="3" t="s">
        <v>40</v>
      </c>
      <c r="F1289" s="3" t="s">
        <v>20</v>
      </c>
      <c r="G1289" s="3" t="s">
        <v>21</v>
      </c>
      <c r="H1289" s="3" t="s">
        <v>22</v>
      </c>
      <c r="I1289" s="4" t="n">
        <v>522</v>
      </c>
      <c r="J1289" s="4" t="n">
        <v>0</v>
      </c>
      <c r="K1289" s="4" t="n">
        <v>0</v>
      </c>
      <c r="L1289" s="4" t="n">
        <f aca="false">IF(O1289="Delivered",I1289-J1289+K1289,0)</f>
        <v>522</v>
      </c>
      <c r="M1289" s="0" t="n">
        <v>40</v>
      </c>
      <c r="N1289" s="0" t="n">
        <v>4.2</v>
      </c>
      <c r="O1289" s="3" t="s">
        <v>17</v>
      </c>
    </row>
    <row r="1290" customFormat="false" ht="15" hidden="false" customHeight="false" outlineLevel="0" collapsed="false">
      <c r="A1290" s="0" t="s">
        <v>318</v>
      </c>
      <c r="B1290" s="2" t="n">
        <v>45981</v>
      </c>
      <c r="C1290" s="0" t="str">
        <f aca="false">TEXT(B1290,"mmm")</f>
        <v>Nov</v>
      </c>
      <c r="D1290" s="0" t="str">
        <f aca="false">TEXT(B1290,"ddd")</f>
        <v>Thu</v>
      </c>
      <c r="E1290" s="3" t="s">
        <v>13</v>
      </c>
      <c r="F1290" s="3" t="s">
        <v>20</v>
      </c>
      <c r="G1290" s="3" t="s">
        <v>15</v>
      </c>
      <c r="H1290" s="3" t="s">
        <v>22</v>
      </c>
      <c r="I1290" s="4" t="n">
        <v>594</v>
      </c>
      <c r="J1290" s="4" t="n">
        <v>92</v>
      </c>
      <c r="K1290" s="4" t="n">
        <v>0</v>
      </c>
      <c r="L1290" s="4" t="n">
        <f aca="false">IF(O1290="Delivered",I1290-J1290+K1290,0)</f>
        <v>502</v>
      </c>
      <c r="M1290" s="0" t="n">
        <v>43</v>
      </c>
      <c r="N1290" s="0" t="n">
        <v>4.4</v>
      </c>
      <c r="O1290" s="3" t="s">
        <v>17</v>
      </c>
    </row>
    <row r="1291" customFormat="false" ht="15" hidden="false" customHeight="false" outlineLevel="0" collapsed="false">
      <c r="A1291" s="0" t="s">
        <v>325</v>
      </c>
      <c r="B1291" s="2" t="n">
        <v>45981</v>
      </c>
      <c r="C1291" s="0" t="str">
        <f aca="false">TEXT(B1291,"mmm")</f>
        <v>Nov</v>
      </c>
      <c r="D1291" s="0" t="str">
        <f aca="false">TEXT(B1291,"ddd")</f>
        <v>Thu</v>
      </c>
      <c r="E1291" s="3" t="s">
        <v>24</v>
      </c>
      <c r="F1291" s="3" t="s">
        <v>20</v>
      </c>
      <c r="G1291" s="3" t="s">
        <v>21</v>
      </c>
      <c r="H1291" s="3" t="s">
        <v>22</v>
      </c>
      <c r="I1291" s="4" t="n">
        <v>747</v>
      </c>
      <c r="J1291" s="4" t="n">
        <v>0</v>
      </c>
      <c r="K1291" s="4" t="n">
        <v>0</v>
      </c>
      <c r="L1291" s="4" t="n">
        <f aca="false">IF(O1291="Delivered",I1291-J1291+K1291,0)</f>
        <v>747</v>
      </c>
      <c r="M1291" s="0" t="n">
        <v>39</v>
      </c>
      <c r="N1291" s="0" t="n">
        <v>4.5</v>
      </c>
      <c r="O1291" s="3" t="s">
        <v>17</v>
      </c>
    </row>
    <row r="1292" customFormat="false" ht="15" hidden="false" customHeight="false" outlineLevel="0" collapsed="false">
      <c r="A1292" s="0" t="s">
        <v>728</v>
      </c>
      <c r="B1292" s="2" t="n">
        <v>45981</v>
      </c>
      <c r="C1292" s="0" t="str">
        <f aca="false">TEXT(B1292,"mmm")</f>
        <v>Nov</v>
      </c>
      <c r="D1292" s="0" t="str">
        <f aca="false">TEXT(B1292,"ddd")</f>
        <v>Thu</v>
      </c>
      <c r="E1292" s="3" t="s">
        <v>13</v>
      </c>
      <c r="F1292" s="3" t="s">
        <v>31</v>
      </c>
      <c r="G1292" s="3" t="s">
        <v>15</v>
      </c>
      <c r="H1292" s="3" t="s">
        <v>36</v>
      </c>
      <c r="I1292" s="4" t="n">
        <v>629</v>
      </c>
      <c r="J1292" s="4" t="n">
        <v>84</v>
      </c>
      <c r="K1292" s="4" t="n">
        <v>0</v>
      </c>
      <c r="L1292" s="4" t="n">
        <f aca="false">IF(O1292="Delivered",I1292-J1292+K1292,0)</f>
        <v>545</v>
      </c>
      <c r="M1292" s="0" t="n">
        <v>28</v>
      </c>
      <c r="N1292" s="0" t="n">
        <v>4.4</v>
      </c>
      <c r="O1292" s="3" t="s">
        <v>17</v>
      </c>
    </row>
    <row r="1293" customFormat="false" ht="15" hidden="false" customHeight="false" outlineLevel="0" collapsed="false">
      <c r="A1293" s="0" t="s">
        <v>1447</v>
      </c>
      <c r="B1293" s="2" t="n">
        <v>45981</v>
      </c>
      <c r="C1293" s="0" t="str">
        <f aca="false">TEXT(B1293,"mmm")</f>
        <v>Nov</v>
      </c>
      <c r="D1293" s="0" t="str">
        <f aca="false">TEXT(B1293,"ddd")</f>
        <v>Thu</v>
      </c>
      <c r="E1293" s="3" t="s">
        <v>24</v>
      </c>
      <c r="F1293" s="3" t="s">
        <v>25</v>
      </c>
      <c r="G1293" s="3" t="s">
        <v>21</v>
      </c>
      <c r="H1293" s="3" t="s">
        <v>34</v>
      </c>
      <c r="I1293" s="4" t="n">
        <v>556</v>
      </c>
      <c r="J1293" s="4" t="n">
        <v>0</v>
      </c>
      <c r="K1293" s="4" t="n">
        <v>0</v>
      </c>
      <c r="L1293" s="4" t="n">
        <f aca="false">IF(O1293="Delivered",I1293-J1293+K1293,0)</f>
        <v>556</v>
      </c>
      <c r="M1293" s="0" t="n">
        <v>26</v>
      </c>
      <c r="N1293" s="0" t="n">
        <v>5</v>
      </c>
      <c r="O1293" s="3" t="s">
        <v>17</v>
      </c>
    </row>
    <row r="1294" customFormat="false" ht="15" hidden="false" customHeight="false" outlineLevel="0" collapsed="false">
      <c r="A1294" s="0" t="s">
        <v>1588</v>
      </c>
      <c r="B1294" s="2" t="n">
        <v>45981</v>
      </c>
      <c r="C1294" s="0" t="str">
        <f aca="false">TEXT(B1294,"mmm")</f>
        <v>Nov</v>
      </c>
      <c r="D1294" s="0" t="str">
        <f aca="false">TEXT(B1294,"ddd")</f>
        <v>Thu</v>
      </c>
      <c r="E1294" s="3" t="s">
        <v>51</v>
      </c>
      <c r="F1294" s="3" t="s">
        <v>14</v>
      </c>
      <c r="G1294" s="3" t="s">
        <v>15</v>
      </c>
      <c r="H1294" s="3" t="s">
        <v>34</v>
      </c>
      <c r="I1294" s="4" t="n">
        <v>334</v>
      </c>
      <c r="J1294" s="4" t="n">
        <v>81</v>
      </c>
      <c r="K1294" s="4" t="n">
        <v>30</v>
      </c>
      <c r="L1294" s="4" t="n">
        <f aca="false">IF(O1294="Delivered",I1294-J1294+K1294,0)</f>
        <v>283</v>
      </c>
      <c r="M1294" s="0" t="n">
        <v>34</v>
      </c>
      <c r="N1294" s="0" t="n">
        <v>4.8</v>
      </c>
      <c r="O1294" s="3" t="s">
        <v>17</v>
      </c>
    </row>
    <row r="1295" customFormat="false" ht="15" hidden="false" customHeight="false" outlineLevel="0" collapsed="false">
      <c r="A1295" s="0" t="s">
        <v>1552</v>
      </c>
      <c r="B1295" s="2" t="n">
        <v>45982</v>
      </c>
      <c r="C1295" s="0" t="str">
        <f aca="false">TEXT(B1295,"mmm")</f>
        <v>Nov</v>
      </c>
      <c r="D1295" s="0" t="str">
        <f aca="false">TEXT(B1295,"ddd")</f>
        <v>Fri</v>
      </c>
      <c r="E1295" s="3" t="s">
        <v>27</v>
      </c>
      <c r="F1295" s="3" t="s">
        <v>31</v>
      </c>
      <c r="G1295" s="3" t="s">
        <v>15</v>
      </c>
      <c r="H1295" s="3" t="s">
        <v>54</v>
      </c>
      <c r="I1295" s="4" t="n">
        <v>411</v>
      </c>
      <c r="J1295" s="4" t="n">
        <v>58</v>
      </c>
      <c r="K1295" s="4" t="n">
        <v>30</v>
      </c>
      <c r="L1295" s="4" t="n">
        <f aca="false">IF(O1295="Delivered",I1295-J1295+K1295,0)</f>
        <v>383</v>
      </c>
      <c r="M1295" s="0" t="n">
        <v>55</v>
      </c>
      <c r="N1295" s="0" t="n">
        <v>4</v>
      </c>
      <c r="O1295" s="3" t="s">
        <v>17</v>
      </c>
    </row>
    <row r="1296" customFormat="false" ht="15" hidden="false" customHeight="false" outlineLevel="0" collapsed="false">
      <c r="A1296" s="0" t="s">
        <v>264</v>
      </c>
      <c r="B1296" s="2" t="n">
        <v>45983</v>
      </c>
      <c r="C1296" s="0" t="str">
        <f aca="false">TEXT(B1296,"mmm")</f>
        <v>Nov</v>
      </c>
      <c r="D1296" s="0" t="str">
        <f aca="false">TEXT(B1296,"ddd")</f>
        <v>Sat</v>
      </c>
      <c r="E1296" s="3" t="s">
        <v>30</v>
      </c>
      <c r="F1296" s="3" t="s">
        <v>31</v>
      </c>
      <c r="G1296" s="3" t="s">
        <v>21</v>
      </c>
      <c r="H1296" s="3" t="s">
        <v>22</v>
      </c>
      <c r="I1296" s="4" t="n">
        <v>451</v>
      </c>
      <c r="J1296" s="4" t="n">
        <v>62</v>
      </c>
      <c r="K1296" s="4" t="n">
        <v>20</v>
      </c>
      <c r="L1296" s="4" t="n">
        <f aca="false">IF(O1296="Delivered",I1296-J1296+K1296,0)</f>
        <v>409</v>
      </c>
      <c r="M1296" s="0" t="n">
        <v>38</v>
      </c>
      <c r="N1296" s="0" t="n">
        <v>4.7</v>
      </c>
      <c r="O1296" s="3" t="s">
        <v>17</v>
      </c>
    </row>
    <row r="1297" customFormat="false" ht="15" hidden="false" customHeight="false" outlineLevel="0" collapsed="false">
      <c r="A1297" s="0" t="s">
        <v>352</v>
      </c>
      <c r="B1297" s="2" t="n">
        <v>45983</v>
      </c>
      <c r="C1297" s="0" t="str">
        <f aca="false">TEXT(B1297,"mmm")</f>
        <v>Nov</v>
      </c>
      <c r="D1297" s="0" t="str">
        <f aca="false">TEXT(B1297,"ddd")</f>
        <v>Sat</v>
      </c>
      <c r="E1297" s="3" t="s">
        <v>24</v>
      </c>
      <c r="F1297" s="3" t="s">
        <v>25</v>
      </c>
      <c r="G1297" s="3" t="s">
        <v>15</v>
      </c>
      <c r="H1297" s="3" t="s">
        <v>36</v>
      </c>
      <c r="I1297" s="4" t="n">
        <v>401</v>
      </c>
      <c r="J1297" s="4" t="n">
        <v>0</v>
      </c>
      <c r="K1297" s="4" t="n">
        <v>40</v>
      </c>
      <c r="L1297" s="4" t="n">
        <f aca="false">IF(O1297="Delivered",I1297-J1297+K1297,0)</f>
        <v>441</v>
      </c>
      <c r="M1297" s="0" t="n">
        <v>37</v>
      </c>
      <c r="N1297" s="0" t="n">
        <v>4.1</v>
      </c>
      <c r="O1297" s="3" t="s">
        <v>17</v>
      </c>
    </row>
    <row r="1298" customFormat="false" ht="15" hidden="false" customHeight="false" outlineLevel="0" collapsed="false">
      <c r="A1298" s="0" t="s">
        <v>832</v>
      </c>
      <c r="B1298" s="2" t="n">
        <v>45983</v>
      </c>
      <c r="C1298" s="0" t="str">
        <f aca="false">TEXT(B1298,"mmm")</f>
        <v>Nov</v>
      </c>
      <c r="D1298" s="0" t="str">
        <f aca="false">TEXT(B1298,"ddd")</f>
        <v>Sat</v>
      </c>
      <c r="E1298" s="3" t="s">
        <v>40</v>
      </c>
      <c r="F1298" s="3" t="s">
        <v>28</v>
      </c>
      <c r="G1298" s="3" t="s">
        <v>21</v>
      </c>
      <c r="H1298" s="3" t="s">
        <v>22</v>
      </c>
      <c r="I1298" s="4" t="n">
        <v>371</v>
      </c>
      <c r="J1298" s="4" t="n">
        <v>92</v>
      </c>
      <c r="K1298" s="4" t="n">
        <v>20</v>
      </c>
      <c r="L1298" s="4" t="n">
        <f aca="false">IF(O1298="Delivered",I1298-J1298+K1298,0)</f>
        <v>299</v>
      </c>
      <c r="M1298" s="0" t="n">
        <v>28</v>
      </c>
      <c r="N1298" s="0" t="n">
        <v>5</v>
      </c>
      <c r="O1298" s="3" t="s">
        <v>17</v>
      </c>
    </row>
    <row r="1299" customFormat="false" ht="15" hidden="false" customHeight="false" outlineLevel="0" collapsed="false">
      <c r="A1299" s="0" t="s">
        <v>965</v>
      </c>
      <c r="B1299" s="2" t="n">
        <v>45983</v>
      </c>
      <c r="C1299" s="0" t="str">
        <f aca="false">TEXT(B1299,"mmm")</f>
        <v>Nov</v>
      </c>
      <c r="D1299" s="0" t="str">
        <f aca="false">TEXT(B1299,"ddd")</f>
        <v>Sat</v>
      </c>
      <c r="E1299" s="3" t="s">
        <v>27</v>
      </c>
      <c r="F1299" s="3" t="s">
        <v>49</v>
      </c>
      <c r="G1299" s="3" t="s">
        <v>21</v>
      </c>
      <c r="H1299" s="3" t="s">
        <v>34</v>
      </c>
      <c r="I1299" s="4" t="n">
        <v>452</v>
      </c>
      <c r="J1299" s="4" t="n">
        <v>54</v>
      </c>
      <c r="K1299" s="4" t="n">
        <v>20</v>
      </c>
      <c r="L1299" s="4" t="n">
        <f aca="false">IF(O1299="Delivered",I1299-J1299+K1299,0)</f>
        <v>418</v>
      </c>
      <c r="M1299" s="0" t="n">
        <v>45</v>
      </c>
      <c r="N1299" s="0" t="n">
        <v>3.9</v>
      </c>
      <c r="O1299" s="3" t="s">
        <v>17</v>
      </c>
    </row>
    <row r="1300" customFormat="false" ht="15" hidden="false" customHeight="false" outlineLevel="0" collapsed="false">
      <c r="A1300" s="0" t="s">
        <v>1095</v>
      </c>
      <c r="B1300" s="2" t="n">
        <v>45983</v>
      </c>
      <c r="C1300" s="0" t="str">
        <f aca="false">TEXT(B1300,"mmm")</f>
        <v>Nov</v>
      </c>
      <c r="D1300" s="0" t="str">
        <f aca="false">TEXT(B1300,"ddd")</f>
        <v>Sat</v>
      </c>
      <c r="E1300" s="3" t="s">
        <v>27</v>
      </c>
      <c r="F1300" s="3" t="s">
        <v>14</v>
      </c>
      <c r="G1300" s="3" t="s">
        <v>21</v>
      </c>
      <c r="H1300" s="3" t="s">
        <v>36</v>
      </c>
      <c r="I1300" s="4" t="n">
        <v>176</v>
      </c>
      <c r="J1300" s="4" t="n">
        <v>0</v>
      </c>
      <c r="K1300" s="4" t="n">
        <v>45</v>
      </c>
      <c r="L1300" s="4" t="n">
        <f aca="false">IF(O1300="Delivered",I1300-J1300+K1300,0)</f>
        <v>221</v>
      </c>
      <c r="M1300" s="0" t="n">
        <v>46</v>
      </c>
      <c r="N1300" s="0" t="n">
        <v>3.8</v>
      </c>
      <c r="O1300" s="3" t="s">
        <v>17</v>
      </c>
    </row>
    <row r="1301" customFormat="false" ht="15" hidden="false" customHeight="false" outlineLevel="0" collapsed="false">
      <c r="A1301" s="0" t="s">
        <v>1225</v>
      </c>
      <c r="B1301" s="2" t="n">
        <v>45983</v>
      </c>
      <c r="C1301" s="0" t="str">
        <f aca="false">TEXT(B1301,"mmm")</f>
        <v>Nov</v>
      </c>
      <c r="D1301" s="0" t="str">
        <f aca="false">TEXT(B1301,"ddd")</f>
        <v>Sat</v>
      </c>
      <c r="E1301" s="3" t="s">
        <v>40</v>
      </c>
      <c r="F1301" s="3" t="s">
        <v>56</v>
      </c>
      <c r="G1301" s="3" t="s">
        <v>15</v>
      </c>
      <c r="H1301" s="3" t="s">
        <v>34</v>
      </c>
      <c r="I1301" s="4" t="n">
        <v>374</v>
      </c>
      <c r="J1301" s="4" t="n">
        <v>0</v>
      </c>
      <c r="K1301" s="4" t="n">
        <v>40</v>
      </c>
      <c r="L1301" s="4" t="n">
        <f aca="false">IF(O1301="Delivered",I1301-J1301+K1301,0)</f>
        <v>414</v>
      </c>
      <c r="M1301" s="0" t="n">
        <v>51</v>
      </c>
      <c r="N1301" s="0" t="n">
        <v>3.5</v>
      </c>
      <c r="O1301" s="3" t="s">
        <v>17</v>
      </c>
    </row>
    <row r="1302" customFormat="false" ht="15" hidden="false" customHeight="false" outlineLevel="0" collapsed="false">
      <c r="A1302" s="0" t="s">
        <v>1356</v>
      </c>
      <c r="B1302" s="2" t="n">
        <v>45983</v>
      </c>
      <c r="C1302" s="0" t="str">
        <f aca="false">TEXT(B1302,"mmm")</f>
        <v>Nov</v>
      </c>
      <c r="D1302" s="0" t="str">
        <f aca="false">TEXT(B1302,"ddd")</f>
        <v>Sat</v>
      </c>
      <c r="E1302" s="3" t="s">
        <v>45</v>
      </c>
      <c r="F1302" s="3" t="s">
        <v>20</v>
      </c>
      <c r="G1302" s="3" t="s">
        <v>21</v>
      </c>
      <c r="H1302" s="3" t="s">
        <v>16</v>
      </c>
      <c r="I1302" s="4" t="n">
        <v>522</v>
      </c>
      <c r="J1302" s="4" t="n">
        <v>0</v>
      </c>
      <c r="K1302" s="4" t="n">
        <v>0</v>
      </c>
      <c r="L1302" s="4" t="n">
        <f aca="false">IF(O1302="Delivered",I1302-J1302+K1302,0)</f>
        <v>522</v>
      </c>
      <c r="M1302" s="0" t="n">
        <v>32</v>
      </c>
      <c r="N1302" s="0" t="n">
        <v>4.4</v>
      </c>
      <c r="O1302" s="3" t="s">
        <v>17</v>
      </c>
    </row>
    <row r="1303" customFormat="false" ht="15" hidden="false" customHeight="false" outlineLevel="0" collapsed="false">
      <c r="A1303" s="0" t="s">
        <v>1358</v>
      </c>
      <c r="B1303" s="2" t="n">
        <v>45983</v>
      </c>
      <c r="C1303" s="0" t="str">
        <f aca="false">TEXT(B1303,"mmm")</f>
        <v>Nov</v>
      </c>
      <c r="D1303" s="0" t="str">
        <f aca="false">TEXT(B1303,"ddd")</f>
        <v>Sat</v>
      </c>
      <c r="E1303" s="3" t="s">
        <v>45</v>
      </c>
      <c r="F1303" s="3" t="s">
        <v>25</v>
      </c>
      <c r="G1303" s="3" t="s">
        <v>21</v>
      </c>
      <c r="H1303" s="3" t="s">
        <v>36</v>
      </c>
      <c r="I1303" s="4" t="n">
        <v>633</v>
      </c>
      <c r="J1303" s="4" t="n">
        <v>0</v>
      </c>
      <c r="K1303" s="4" t="n">
        <v>0</v>
      </c>
      <c r="L1303" s="4" t="n">
        <f aca="false">IF(O1303="Delivered",I1303-J1303+K1303,0)</f>
        <v>633</v>
      </c>
      <c r="M1303" s="0" t="n">
        <v>33</v>
      </c>
      <c r="N1303" s="0" t="n">
        <v>4</v>
      </c>
      <c r="O1303" s="3" t="s">
        <v>17</v>
      </c>
    </row>
    <row r="1304" customFormat="false" ht="15" hidden="false" customHeight="false" outlineLevel="0" collapsed="false">
      <c r="A1304" s="0" t="s">
        <v>1529</v>
      </c>
      <c r="B1304" s="2" t="n">
        <v>45983</v>
      </c>
      <c r="C1304" s="0" t="str">
        <f aca="false">TEXT(B1304,"mmm")</f>
        <v>Nov</v>
      </c>
      <c r="D1304" s="0" t="str">
        <f aca="false">TEXT(B1304,"ddd")</f>
        <v>Sat</v>
      </c>
      <c r="E1304" s="3" t="s">
        <v>13</v>
      </c>
      <c r="F1304" s="3" t="s">
        <v>49</v>
      </c>
      <c r="G1304" s="3" t="s">
        <v>15</v>
      </c>
      <c r="H1304" s="3" t="s">
        <v>16</v>
      </c>
      <c r="I1304" s="4" t="n">
        <v>571</v>
      </c>
      <c r="J1304" s="4" t="n">
        <v>0</v>
      </c>
      <c r="K1304" s="4" t="n">
        <v>0</v>
      </c>
      <c r="L1304" s="4" t="n">
        <f aca="false">IF(O1304="Delivered",I1304-J1304+K1304,0)</f>
        <v>571</v>
      </c>
      <c r="M1304" s="0" t="n">
        <v>42</v>
      </c>
      <c r="N1304" s="0" t="n">
        <v>3.8</v>
      </c>
      <c r="O1304" s="3" t="s">
        <v>17</v>
      </c>
    </row>
    <row r="1305" customFormat="false" ht="15" hidden="false" customHeight="false" outlineLevel="0" collapsed="false">
      <c r="A1305" s="0" t="s">
        <v>499</v>
      </c>
      <c r="B1305" s="2" t="n">
        <v>45984</v>
      </c>
      <c r="C1305" s="0" t="str">
        <f aca="false">TEXT(B1305,"mmm")</f>
        <v>Nov</v>
      </c>
      <c r="D1305" s="0" t="str">
        <f aca="false">TEXT(B1305,"ddd")</f>
        <v>Sun</v>
      </c>
      <c r="E1305" s="3" t="s">
        <v>27</v>
      </c>
      <c r="F1305" s="3" t="s">
        <v>14</v>
      </c>
      <c r="G1305" s="3" t="s">
        <v>21</v>
      </c>
      <c r="H1305" s="3" t="s">
        <v>36</v>
      </c>
      <c r="I1305" s="4" t="n">
        <v>408</v>
      </c>
      <c r="J1305" s="4" t="n">
        <v>0</v>
      </c>
      <c r="K1305" s="4" t="n">
        <v>20</v>
      </c>
      <c r="L1305" s="4" t="n">
        <f aca="false">IF(O1305="Delivered",I1305-J1305+K1305,0)</f>
        <v>428</v>
      </c>
      <c r="M1305" s="0" t="n">
        <v>32</v>
      </c>
      <c r="N1305" s="0" t="n">
        <v>4.6</v>
      </c>
      <c r="O1305" s="3" t="s">
        <v>17</v>
      </c>
    </row>
    <row r="1306" customFormat="false" ht="15" hidden="false" customHeight="false" outlineLevel="0" collapsed="false">
      <c r="A1306" s="0" t="s">
        <v>997</v>
      </c>
      <c r="B1306" s="2" t="n">
        <v>45984</v>
      </c>
      <c r="C1306" s="0" t="str">
        <f aca="false">TEXT(B1306,"mmm")</f>
        <v>Nov</v>
      </c>
      <c r="D1306" s="0" t="str">
        <f aca="false">TEXT(B1306,"ddd")</f>
        <v>Sun</v>
      </c>
      <c r="E1306" s="3" t="s">
        <v>27</v>
      </c>
      <c r="F1306" s="3" t="s">
        <v>56</v>
      </c>
      <c r="G1306" s="3" t="s">
        <v>21</v>
      </c>
      <c r="H1306" s="3" t="s">
        <v>22</v>
      </c>
      <c r="I1306" s="4" t="n">
        <v>349</v>
      </c>
      <c r="J1306" s="4" t="n">
        <v>0</v>
      </c>
      <c r="K1306" s="4" t="n">
        <v>20</v>
      </c>
      <c r="L1306" s="4" t="n">
        <f aca="false">IF(O1306="Delivered",I1306-J1306+K1306,0)</f>
        <v>0</v>
      </c>
      <c r="O1306" s="3" t="s">
        <v>68</v>
      </c>
    </row>
    <row r="1307" customFormat="false" ht="15" hidden="false" customHeight="false" outlineLevel="0" collapsed="false">
      <c r="A1307" s="0" t="s">
        <v>1054</v>
      </c>
      <c r="B1307" s="2" t="n">
        <v>45984</v>
      </c>
      <c r="C1307" s="0" t="str">
        <f aca="false">TEXT(B1307,"mmm")</f>
        <v>Nov</v>
      </c>
      <c r="D1307" s="0" t="str">
        <f aca="false">TEXT(B1307,"ddd")</f>
        <v>Sun</v>
      </c>
      <c r="E1307" s="3" t="s">
        <v>19</v>
      </c>
      <c r="F1307" s="3" t="s">
        <v>56</v>
      </c>
      <c r="G1307" s="3" t="s">
        <v>21</v>
      </c>
      <c r="H1307" s="3" t="s">
        <v>34</v>
      </c>
      <c r="I1307" s="4" t="n">
        <v>301</v>
      </c>
      <c r="J1307" s="4" t="n">
        <v>0</v>
      </c>
      <c r="K1307" s="4" t="n">
        <v>30</v>
      </c>
      <c r="L1307" s="4" t="n">
        <f aca="false">IF(O1307="Delivered",I1307-J1307+K1307,0)</f>
        <v>331</v>
      </c>
      <c r="M1307" s="0" t="n">
        <v>13</v>
      </c>
      <c r="N1307" s="0" t="n">
        <v>3.4</v>
      </c>
      <c r="O1307" s="3" t="s">
        <v>17</v>
      </c>
    </row>
    <row r="1308" customFormat="false" ht="15" hidden="false" customHeight="false" outlineLevel="0" collapsed="false">
      <c r="A1308" s="0" t="s">
        <v>1311</v>
      </c>
      <c r="B1308" s="2" t="n">
        <v>45984</v>
      </c>
      <c r="C1308" s="0" t="str">
        <f aca="false">TEXT(B1308,"mmm")</f>
        <v>Nov</v>
      </c>
      <c r="D1308" s="0" t="str">
        <f aca="false">TEXT(B1308,"ddd")</f>
        <v>Sun</v>
      </c>
      <c r="E1308" s="3" t="s">
        <v>27</v>
      </c>
      <c r="F1308" s="3" t="s">
        <v>20</v>
      </c>
      <c r="G1308" s="3" t="s">
        <v>21</v>
      </c>
      <c r="H1308" s="3" t="s">
        <v>36</v>
      </c>
      <c r="I1308" s="4" t="n">
        <v>786</v>
      </c>
      <c r="J1308" s="4" t="n">
        <v>0</v>
      </c>
      <c r="K1308" s="4" t="n">
        <v>0</v>
      </c>
      <c r="L1308" s="4" t="n">
        <f aca="false">IF(O1308="Delivered",I1308-J1308+K1308,0)</f>
        <v>786</v>
      </c>
      <c r="M1308" s="0" t="n">
        <v>47</v>
      </c>
      <c r="N1308" s="0" t="n">
        <v>4.2</v>
      </c>
      <c r="O1308" s="3" t="s">
        <v>17</v>
      </c>
    </row>
    <row r="1309" customFormat="false" ht="15" hidden="false" customHeight="false" outlineLevel="0" collapsed="false">
      <c r="A1309" s="0" t="s">
        <v>1511</v>
      </c>
      <c r="B1309" s="2" t="n">
        <v>45984</v>
      </c>
      <c r="C1309" s="0" t="str">
        <f aca="false">TEXT(B1309,"mmm")</f>
        <v>Nov</v>
      </c>
      <c r="D1309" s="0" t="str">
        <f aca="false">TEXT(B1309,"ddd")</f>
        <v>Sun</v>
      </c>
      <c r="E1309" s="3" t="s">
        <v>24</v>
      </c>
      <c r="F1309" s="3" t="s">
        <v>56</v>
      </c>
      <c r="G1309" s="3" t="s">
        <v>21</v>
      </c>
      <c r="H1309" s="3" t="s">
        <v>22</v>
      </c>
      <c r="I1309" s="4" t="n">
        <v>292</v>
      </c>
      <c r="J1309" s="4" t="n">
        <v>0</v>
      </c>
      <c r="K1309" s="4" t="n">
        <v>30</v>
      </c>
      <c r="L1309" s="4" t="n">
        <f aca="false">IF(O1309="Delivered",I1309-J1309+K1309,0)</f>
        <v>322</v>
      </c>
      <c r="M1309" s="0" t="n">
        <v>28</v>
      </c>
      <c r="N1309" s="0" t="n">
        <v>4.7</v>
      </c>
      <c r="O1309" s="3" t="s">
        <v>17</v>
      </c>
    </row>
    <row r="1310" customFormat="false" ht="15" hidden="false" customHeight="false" outlineLevel="0" collapsed="false">
      <c r="A1310" s="0" t="s">
        <v>951</v>
      </c>
      <c r="B1310" s="2" t="n">
        <v>45985</v>
      </c>
      <c r="C1310" s="0" t="str">
        <f aca="false">TEXT(B1310,"mmm")</f>
        <v>Nov</v>
      </c>
      <c r="D1310" s="0" t="str">
        <f aca="false">TEXT(B1310,"ddd")</f>
        <v>Mon</v>
      </c>
      <c r="E1310" s="3" t="s">
        <v>40</v>
      </c>
      <c r="F1310" s="3" t="s">
        <v>56</v>
      </c>
      <c r="G1310" s="3" t="s">
        <v>15</v>
      </c>
      <c r="H1310" s="3" t="s">
        <v>34</v>
      </c>
      <c r="I1310" s="4" t="n">
        <v>364</v>
      </c>
      <c r="J1310" s="4" t="n">
        <v>46</v>
      </c>
      <c r="K1310" s="4" t="n">
        <v>30</v>
      </c>
      <c r="L1310" s="4" t="n">
        <f aca="false">IF(O1310="Delivered",I1310-J1310+K1310,0)</f>
        <v>348</v>
      </c>
      <c r="M1310" s="0" t="n">
        <v>40</v>
      </c>
      <c r="N1310" s="0" t="n">
        <v>4.8</v>
      </c>
      <c r="O1310" s="3" t="s">
        <v>17</v>
      </c>
    </row>
    <row r="1311" customFormat="false" ht="15" hidden="false" customHeight="false" outlineLevel="0" collapsed="false">
      <c r="A1311" s="0" t="s">
        <v>1038</v>
      </c>
      <c r="B1311" s="2" t="n">
        <v>45985</v>
      </c>
      <c r="C1311" s="0" t="str">
        <f aca="false">TEXT(B1311,"mmm")</f>
        <v>Nov</v>
      </c>
      <c r="D1311" s="0" t="str">
        <f aca="false">TEXT(B1311,"ddd")</f>
        <v>Mon</v>
      </c>
      <c r="E1311" s="3" t="s">
        <v>19</v>
      </c>
      <c r="F1311" s="3" t="s">
        <v>20</v>
      </c>
      <c r="G1311" s="3" t="s">
        <v>21</v>
      </c>
      <c r="H1311" s="3" t="s">
        <v>22</v>
      </c>
      <c r="I1311" s="4" t="n">
        <v>598</v>
      </c>
      <c r="J1311" s="4" t="n">
        <v>0</v>
      </c>
      <c r="K1311" s="4" t="n">
        <v>0</v>
      </c>
      <c r="L1311" s="4" t="n">
        <f aca="false">IF(O1311="Delivered",I1311-J1311+K1311,0)</f>
        <v>598</v>
      </c>
      <c r="M1311" s="0" t="n">
        <v>26</v>
      </c>
      <c r="N1311" s="0" t="n">
        <v>4.5</v>
      </c>
      <c r="O1311" s="3" t="s">
        <v>17</v>
      </c>
    </row>
    <row r="1312" customFormat="false" ht="15" hidden="false" customHeight="false" outlineLevel="0" collapsed="false">
      <c r="A1312" s="0" t="s">
        <v>548</v>
      </c>
      <c r="B1312" s="2" t="n">
        <v>45986</v>
      </c>
      <c r="C1312" s="0" t="str">
        <f aca="false">TEXT(B1312,"mmm")</f>
        <v>Nov</v>
      </c>
      <c r="D1312" s="0" t="str">
        <f aca="false">TEXT(B1312,"ddd")</f>
        <v>Tue</v>
      </c>
      <c r="E1312" s="3" t="s">
        <v>40</v>
      </c>
      <c r="F1312" s="3" t="s">
        <v>20</v>
      </c>
      <c r="G1312" s="3" t="s">
        <v>21</v>
      </c>
      <c r="H1312" s="3" t="s">
        <v>22</v>
      </c>
      <c r="I1312" s="4" t="n">
        <v>667</v>
      </c>
      <c r="J1312" s="4" t="n">
        <v>0</v>
      </c>
      <c r="K1312" s="4" t="n">
        <v>0</v>
      </c>
      <c r="L1312" s="4" t="n">
        <f aca="false">IF(O1312="Delivered",I1312-J1312+K1312,0)</f>
        <v>667</v>
      </c>
      <c r="M1312" s="0" t="n">
        <v>46</v>
      </c>
      <c r="N1312" s="0" t="n">
        <v>4.9</v>
      </c>
      <c r="O1312" s="3" t="s">
        <v>17</v>
      </c>
    </row>
    <row r="1313" customFormat="false" ht="15" hidden="false" customHeight="false" outlineLevel="0" collapsed="false">
      <c r="A1313" s="0" t="s">
        <v>1276</v>
      </c>
      <c r="B1313" s="2" t="n">
        <v>45986</v>
      </c>
      <c r="C1313" s="0" t="str">
        <f aca="false">TEXT(B1313,"mmm")</f>
        <v>Nov</v>
      </c>
      <c r="D1313" s="0" t="str">
        <f aca="false">TEXT(B1313,"ddd")</f>
        <v>Tue</v>
      </c>
      <c r="E1313" s="3" t="s">
        <v>45</v>
      </c>
      <c r="F1313" s="3" t="s">
        <v>56</v>
      </c>
      <c r="G1313" s="3" t="s">
        <v>15</v>
      </c>
      <c r="H1313" s="3" t="s">
        <v>34</v>
      </c>
      <c r="I1313" s="4" t="n">
        <v>298</v>
      </c>
      <c r="J1313" s="4" t="n">
        <v>0</v>
      </c>
      <c r="K1313" s="4" t="n">
        <v>30</v>
      </c>
      <c r="L1313" s="4" t="n">
        <f aca="false">IF(O1313="Delivered",I1313-J1313+K1313,0)</f>
        <v>328</v>
      </c>
      <c r="M1313" s="0" t="n">
        <v>32</v>
      </c>
      <c r="N1313" s="0" t="n">
        <v>4.9</v>
      </c>
      <c r="O1313" s="3" t="s">
        <v>17</v>
      </c>
    </row>
    <row r="1314" customFormat="false" ht="15" hidden="false" customHeight="false" outlineLevel="0" collapsed="false">
      <c r="A1314" s="0" t="s">
        <v>610</v>
      </c>
      <c r="B1314" s="2" t="n">
        <v>45987</v>
      </c>
      <c r="C1314" s="0" t="str">
        <f aca="false">TEXT(B1314,"mmm")</f>
        <v>Nov</v>
      </c>
      <c r="D1314" s="0" t="str">
        <f aca="false">TEXT(B1314,"ddd")</f>
        <v>Wed</v>
      </c>
      <c r="E1314" s="3" t="s">
        <v>27</v>
      </c>
      <c r="F1314" s="3" t="s">
        <v>20</v>
      </c>
      <c r="G1314" s="3" t="s">
        <v>21</v>
      </c>
      <c r="H1314" s="3" t="s">
        <v>22</v>
      </c>
      <c r="I1314" s="4" t="n">
        <v>649</v>
      </c>
      <c r="J1314" s="4" t="n">
        <v>0</v>
      </c>
      <c r="K1314" s="4" t="n">
        <v>0</v>
      </c>
      <c r="L1314" s="4" t="n">
        <f aca="false">IF(O1314="Delivered",I1314-J1314+K1314,0)</f>
        <v>649</v>
      </c>
      <c r="M1314" s="0" t="n">
        <v>47</v>
      </c>
      <c r="N1314" s="0" t="n">
        <v>4.6</v>
      </c>
      <c r="O1314" s="3" t="s">
        <v>17</v>
      </c>
    </row>
    <row r="1315" customFormat="false" ht="15" hidden="false" customHeight="false" outlineLevel="0" collapsed="false">
      <c r="A1315" s="0" t="s">
        <v>784</v>
      </c>
      <c r="B1315" s="2" t="n">
        <v>45987</v>
      </c>
      <c r="C1315" s="0" t="str">
        <f aca="false">TEXT(B1315,"mmm")</f>
        <v>Nov</v>
      </c>
      <c r="D1315" s="0" t="str">
        <f aca="false">TEXT(B1315,"ddd")</f>
        <v>Wed</v>
      </c>
      <c r="E1315" s="3" t="s">
        <v>24</v>
      </c>
      <c r="F1315" s="3" t="s">
        <v>49</v>
      </c>
      <c r="G1315" s="3" t="s">
        <v>21</v>
      </c>
      <c r="H1315" s="3" t="s">
        <v>54</v>
      </c>
      <c r="I1315" s="4" t="n">
        <v>571</v>
      </c>
      <c r="J1315" s="4" t="n">
        <v>130</v>
      </c>
      <c r="K1315" s="4" t="n">
        <v>0</v>
      </c>
      <c r="L1315" s="4" t="n">
        <f aca="false">IF(O1315="Delivered",I1315-J1315+K1315,0)</f>
        <v>441</v>
      </c>
      <c r="M1315" s="0" t="n">
        <v>37</v>
      </c>
      <c r="N1315" s="0" t="n">
        <v>4.1</v>
      </c>
      <c r="O1315" s="3" t="s">
        <v>17</v>
      </c>
    </row>
    <row r="1316" customFormat="false" ht="15" hidden="false" customHeight="false" outlineLevel="0" collapsed="false">
      <c r="A1316" s="0" t="s">
        <v>1017</v>
      </c>
      <c r="B1316" s="2" t="n">
        <v>45987</v>
      </c>
      <c r="C1316" s="0" t="str">
        <f aca="false">TEXT(B1316,"mmm")</f>
        <v>Nov</v>
      </c>
      <c r="D1316" s="0" t="str">
        <f aca="false">TEXT(B1316,"ddd")</f>
        <v>Wed</v>
      </c>
      <c r="E1316" s="3" t="s">
        <v>40</v>
      </c>
      <c r="F1316" s="3" t="s">
        <v>56</v>
      </c>
      <c r="G1316" s="3" t="s">
        <v>21</v>
      </c>
      <c r="H1316" s="3" t="s">
        <v>16</v>
      </c>
      <c r="I1316" s="4" t="n">
        <v>467</v>
      </c>
      <c r="J1316" s="4" t="n">
        <v>0</v>
      </c>
      <c r="K1316" s="4" t="n">
        <v>20</v>
      </c>
      <c r="L1316" s="4" t="n">
        <f aca="false">IF(O1316="Delivered",I1316-J1316+K1316,0)</f>
        <v>487</v>
      </c>
      <c r="M1316" s="0" t="n">
        <v>39</v>
      </c>
      <c r="N1316" s="0" t="n">
        <v>5</v>
      </c>
      <c r="O1316" s="3" t="s">
        <v>17</v>
      </c>
    </row>
    <row r="1317" customFormat="false" ht="15" hidden="false" customHeight="false" outlineLevel="0" collapsed="false">
      <c r="A1317" s="0" t="s">
        <v>937</v>
      </c>
      <c r="B1317" s="2" t="n">
        <v>45988</v>
      </c>
      <c r="C1317" s="0" t="str">
        <f aca="false">TEXT(B1317,"mmm")</f>
        <v>Nov</v>
      </c>
      <c r="D1317" s="0" t="str">
        <f aca="false">TEXT(B1317,"ddd")</f>
        <v>Thu</v>
      </c>
      <c r="E1317" s="3" t="s">
        <v>27</v>
      </c>
      <c r="F1317" s="3" t="s">
        <v>25</v>
      </c>
      <c r="G1317" s="3" t="s">
        <v>21</v>
      </c>
      <c r="H1317" s="3" t="s">
        <v>16</v>
      </c>
      <c r="I1317" s="4" t="n">
        <v>364</v>
      </c>
      <c r="J1317" s="4" t="n">
        <v>0</v>
      </c>
      <c r="K1317" s="4" t="n">
        <v>30</v>
      </c>
      <c r="L1317" s="4" t="n">
        <f aca="false">IF(O1317="Delivered",I1317-J1317+K1317,0)</f>
        <v>394</v>
      </c>
      <c r="M1317" s="0" t="n">
        <v>44</v>
      </c>
      <c r="N1317" s="0" t="n">
        <v>3.9</v>
      </c>
      <c r="O1317" s="3" t="s">
        <v>17</v>
      </c>
    </row>
    <row r="1318" customFormat="false" ht="15" hidden="false" customHeight="false" outlineLevel="0" collapsed="false">
      <c r="A1318" s="0" t="s">
        <v>984</v>
      </c>
      <c r="B1318" s="2" t="n">
        <v>45988</v>
      </c>
      <c r="C1318" s="0" t="str">
        <f aca="false">TEXT(B1318,"mmm")</f>
        <v>Nov</v>
      </c>
      <c r="D1318" s="0" t="str">
        <f aca="false">TEXT(B1318,"ddd")</f>
        <v>Thu</v>
      </c>
      <c r="E1318" s="3" t="s">
        <v>40</v>
      </c>
      <c r="F1318" s="3" t="s">
        <v>56</v>
      </c>
      <c r="G1318" s="3" t="s">
        <v>15</v>
      </c>
      <c r="H1318" s="3" t="s">
        <v>22</v>
      </c>
      <c r="I1318" s="4" t="n">
        <v>457</v>
      </c>
      <c r="J1318" s="4" t="n">
        <v>72</v>
      </c>
      <c r="K1318" s="4" t="n">
        <v>45</v>
      </c>
      <c r="L1318" s="4" t="n">
        <f aca="false">IF(O1318="Delivered",I1318-J1318+K1318,0)</f>
        <v>430</v>
      </c>
      <c r="M1318" s="0" t="n">
        <v>33</v>
      </c>
      <c r="N1318" s="0" t="n">
        <v>5</v>
      </c>
      <c r="O1318" s="3" t="s">
        <v>17</v>
      </c>
    </row>
    <row r="1319" customFormat="false" ht="15" hidden="false" customHeight="false" outlineLevel="0" collapsed="false">
      <c r="A1319" s="0" t="s">
        <v>1103</v>
      </c>
      <c r="B1319" s="2" t="n">
        <v>45988</v>
      </c>
      <c r="C1319" s="0" t="str">
        <f aca="false">TEXT(B1319,"mmm")</f>
        <v>Nov</v>
      </c>
      <c r="D1319" s="0" t="str">
        <f aca="false">TEXT(B1319,"ddd")</f>
        <v>Thu</v>
      </c>
      <c r="E1319" s="3" t="s">
        <v>27</v>
      </c>
      <c r="F1319" s="3" t="s">
        <v>20</v>
      </c>
      <c r="G1319" s="3" t="s">
        <v>21</v>
      </c>
      <c r="H1319" s="3" t="s">
        <v>16</v>
      </c>
      <c r="I1319" s="4" t="n">
        <v>739</v>
      </c>
      <c r="J1319" s="4" t="n">
        <v>0</v>
      </c>
      <c r="K1319" s="4" t="n">
        <v>0</v>
      </c>
      <c r="L1319" s="4" t="n">
        <f aca="false">IF(O1319="Delivered",I1319-J1319+K1319,0)</f>
        <v>739</v>
      </c>
      <c r="M1319" s="0" t="n">
        <v>42</v>
      </c>
      <c r="N1319" s="0" t="n">
        <v>3.9</v>
      </c>
      <c r="O1319" s="3" t="s">
        <v>17</v>
      </c>
    </row>
    <row r="1320" customFormat="false" ht="15" hidden="false" customHeight="false" outlineLevel="0" collapsed="false">
      <c r="A1320" s="0" t="s">
        <v>1390</v>
      </c>
      <c r="B1320" s="2" t="n">
        <v>45988</v>
      </c>
      <c r="C1320" s="0" t="str">
        <f aca="false">TEXT(B1320,"mmm")</f>
        <v>Nov</v>
      </c>
      <c r="D1320" s="0" t="str">
        <f aca="false">TEXT(B1320,"ddd")</f>
        <v>Thu</v>
      </c>
      <c r="E1320" s="3" t="s">
        <v>13</v>
      </c>
      <c r="F1320" s="3" t="s">
        <v>14</v>
      </c>
      <c r="G1320" s="3" t="s">
        <v>21</v>
      </c>
      <c r="H1320" s="3" t="s">
        <v>22</v>
      </c>
      <c r="I1320" s="4" t="n">
        <v>323</v>
      </c>
      <c r="J1320" s="4" t="n">
        <v>66</v>
      </c>
      <c r="K1320" s="4" t="n">
        <v>30</v>
      </c>
      <c r="L1320" s="4" t="n">
        <f aca="false">IF(O1320="Delivered",I1320-J1320+K1320,0)</f>
        <v>287</v>
      </c>
      <c r="M1320" s="0" t="n">
        <v>32</v>
      </c>
      <c r="N1320" s="0" t="n">
        <v>3.7</v>
      </c>
      <c r="O1320" s="3" t="s">
        <v>17</v>
      </c>
    </row>
    <row r="1321" customFormat="false" ht="15" hidden="false" customHeight="false" outlineLevel="0" collapsed="false">
      <c r="A1321" s="0" t="s">
        <v>1416</v>
      </c>
      <c r="B1321" s="2" t="n">
        <v>45988</v>
      </c>
      <c r="C1321" s="0" t="str">
        <f aca="false">TEXT(B1321,"mmm")</f>
        <v>Nov</v>
      </c>
      <c r="D1321" s="0" t="str">
        <f aca="false">TEXT(B1321,"ddd")</f>
        <v>Thu</v>
      </c>
      <c r="E1321" s="3" t="s">
        <v>27</v>
      </c>
      <c r="F1321" s="3" t="s">
        <v>31</v>
      </c>
      <c r="G1321" s="3" t="s">
        <v>21</v>
      </c>
      <c r="H1321" s="3" t="s">
        <v>36</v>
      </c>
      <c r="I1321" s="4" t="n">
        <v>514</v>
      </c>
      <c r="J1321" s="4" t="n">
        <v>0</v>
      </c>
      <c r="K1321" s="4" t="n">
        <v>0</v>
      </c>
      <c r="L1321" s="4" t="n">
        <f aca="false">IF(O1321="Delivered",I1321-J1321+K1321,0)</f>
        <v>514</v>
      </c>
      <c r="M1321" s="0" t="n">
        <v>36</v>
      </c>
      <c r="N1321" s="0" t="n">
        <v>4.2</v>
      </c>
      <c r="O1321" s="3" t="s">
        <v>17</v>
      </c>
    </row>
    <row r="1322" customFormat="false" ht="15" hidden="false" customHeight="false" outlineLevel="0" collapsed="false">
      <c r="A1322" s="0" t="s">
        <v>61</v>
      </c>
      <c r="B1322" s="2" t="n">
        <v>45989</v>
      </c>
      <c r="C1322" s="0" t="str">
        <f aca="false">TEXT(B1322,"mmm")</f>
        <v>Nov</v>
      </c>
      <c r="D1322" s="0" t="str">
        <f aca="false">TEXT(B1322,"ddd")</f>
        <v>Fri</v>
      </c>
      <c r="E1322" s="3" t="s">
        <v>30</v>
      </c>
      <c r="F1322" s="3" t="s">
        <v>20</v>
      </c>
      <c r="G1322" s="3" t="s">
        <v>21</v>
      </c>
      <c r="H1322" s="3" t="s">
        <v>54</v>
      </c>
      <c r="I1322" s="4" t="n">
        <v>739</v>
      </c>
      <c r="J1322" s="4" t="n">
        <v>0</v>
      </c>
      <c r="K1322" s="4" t="n">
        <v>0</v>
      </c>
      <c r="L1322" s="4" t="n">
        <f aca="false">IF(O1322="Delivered",I1322-J1322+K1322,0)</f>
        <v>739</v>
      </c>
      <c r="M1322" s="0" t="n">
        <v>29</v>
      </c>
      <c r="N1322" s="0" t="n">
        <v>4.5</v>
      </c>
      <c r="O1322" s="3" t="s">
        <v>17</v>
      </c>
    </row>
    <row r="1323" customFormat="false" ht="15" hidden="false" customHeight="false" outlineLevel="0" collapsed="false">
      <c r="A1323" s="0" t="s">
        <v>245</v>
      </c>
      <c r="B1323" s="2" t="n">
        <v>45989</v>
      </c>
      <c r="C1323" s="0" t="str">
        <f aca="false">TEXT(B1323,"mmm")</f>
        <v>Nov</v>
      </c>
      <c r="D1323" s="0" t="str">
        <f aca="false">TEXT(B1323,"ddd")</f>
        <v>Fri</v>
      </c>
      <c r="E1323" s="3" t="s">
        <v>45</v>
      </c>
      <c r="F1323" s="3" t="s">
        <v>31</v>
      </c>
      <c r="G1323" s="3" t="s">
        <v>15</v>
      </c>
      <c r="H1323" s="3" t="s">
        <v>22</v>
      </c>
      <c r="I1323" s="4" t="n">
        <v>413</v>
      </c>
      <c r="J1323" s="4" t="n">
        <v>0</v>
      </c>
      <c r="K1323" s="4" t="n">
        <v>20</v>
      </c>
      <c r="L1323" s="4" t="n">
        <f aca="false">IF(O1323="Delivered",I1323-J1323+K1323,0)</f>
        <v>433</v>
      </c>
      <c r="M1323" s="0" t="n">
        <v>31</v>
      </c>
      <c r="N1323" s="0" t="n">
        <v>4.6</v>
      </c>
      <c r="O1323" s="3" t="s">
        <v>17</v>
      </c>
    </row>
    <row r="1324" customFormat="false" ht="15" hidden="false" customHeight="false" outlineLevel="0" collapsed="false">
      <c r="A1324" s="0" t="s">
        <v>247</v>
      </c>
      <c r="B1324" s="2" t="n">
        <v>45989</v>
      </c>
      <c r="C1324" s="0" t="str">
        <f aca="false">TEXT(B1324,"mmm")</f>
        <v>Nov</v>
      </c>
      <c r="D1324" s="0" t="str">
        <f aca="false">TEXT(B1324,"ddd")</f>
        <v>Fri</v>
      </c>
      <c r="E1324" s="3" t="s">
        <v>13</v>
      </c>
      <c r="F1324" s="3" t="s">
        <v>49</v>
      </c>
      <c r="G1324" s="3" t="s">
        <v>21</v>
      </c>
      <c r="H1324" s="3" t="s">
        <v>22</v>
      </c>
      <c r="I1324" s="4" t="n">
        <v>333</v>
      </c>
      <c r="J1324" s="4" t="n">
        <v>40</v>
      </c>
      <c r="K1324" s="4" t="n">
        <v>45</v>
      </c>
      <c r="L1324" s="4" t="n">
        <f aca="false">IF(O1324="Delivered",I1324-J1324+K1324,0)</f>
        <v>338</v>
      </c>
      <c r="M1324" s="0" t="n">
        <v>49</v>
      </c>
      <c r="N1324" s="0" t="n">
        <v>3.5</v>
      </c>
      <c r="O1324" s="3" t="s">
        <v>17</v>
      </c>
    </row>
    <row r="1325" customFormat="false" ht="15" hidden="false" customHeight="false" outlineLevel="0" collapsed="false">
      <c r="A1325" s="0" t="s">
        <v>248</v>
      </c>
      <c r="B1325" s="2" t="n">
        <v>45989</v>
      </c>
      <c r="C1325" s="0" t="str">
        <f aca="false">TEXT(B1325,"mmm")</f>
        <v>Nov</v>
      </c>
      <c r="D1325" s="0" t="str">
        <f aca="false">TEXT(B1325,"ddd")</f>
        <v>Fri</v>
      </c>
      <c r="E1325" s="3" t="s">
        <v>30</v>
      </c>
      <c r="F1325" s="3" t="s">
        <v>25</v>
      </c>
      <c r="G1325" s="3" t="s">
        <v>15</v>
      </c>
      <c r="H1325" s="3" t="s">
        <v>16</v>
      </c>
      <c r="I1325" s="4" t="n">
        <v>291</v>
      </c>
      <c r="J1325" s="4" t="n">
        <v>0</v>
      </c>
      <c r="K1325" s="4" t="n">
        <v>40</v>
      </c>
      <c r="L1325" s="4" t="n">
        <f aca="false">IF(O1325="Delivered",I1325-J1325+K1325,0)</f>
        <v>331</v>
      </c>
      <c r="M1325" s="0" t="n">
        <v>19</v>
      </c>
      <c r="N1325" s="0" t="n">
        <v>5</v>
      </c>
      <c r="O1325" s="3" t="s">
        <v>17</v>
      </c>
    </row>
    <row r="1326" customFormat="false" ht="15" hidden="false" customHeight="false" outlineLevel="0" collapsed="false">
      <c r="A1326" s="0" t="s">
        <v>1172</v>
      </c>
      <c r="B1326" s="2" t="n">
        <v>45989</v>
      </c>
      <c r="C1326" s="0" t="str">
        <f aca="false">TEXT(B1326,"mmm")</f>
        <v>Nov</v>
      </c>
      <c r="D1326" s="0" t="str">
        <f aca="false">TEXT(B1326,"ddd")</f>
        <v>Fri</v>
      </c>
      <c r="E1326" s="3" t="s">
        <v>40</v>
      </c>
      <c r="F1326" s="3" t="s">
        <v>25</v>
      </c>
      <c r="G1326" s="3" t="s">
        <v>21</v>
      </c>
      <c r="H1326" s="3" t="s">
        <v>54</v>
      </c>
      <c r="I1326" s="4" t="n">
        <v>402</v>
      </c>
      <c r="J1326" s="4" t="n">
        <v>93</v>
      </c>
      <c r="K1326" s="4" t="n">
        <v>20</v>
      </c>
      <c r="L1326" s="4" t="n">
        <f aca="false">IF(O1326="Delivered",I1326-J1326+K1326,0)</f>
        <v>329</v>
      </c>
      <c r="M1326" s="0" t="n">
        <v>33</v>
      </c>
      <c r="N1326" s="0" t="n">
        <v>4.9</v>
      </c>
      <c r="O1326" s="3" t="s">
        <v>17</v>
      </c>
    </row>
    <row r="1327" customFormat="false" ht="15" hidden="false" customHeight="false" outlineLevel="0" collapsed="false">
      <c r="A1327" s="0" t="s">
        <v>1308</v>
      </c>
      <c r="B1327" s="2" t="n">
        <v>45989</v>
      </c>
      <c r="C1327" s="0" t="str">
        <f aca="false">TEXT(B1327,"mmm")</f>
        <v>Nov</v>
      </c>
      <c r="D1327" s="0" t="str">
        <f aca="false">TEXT(B1327,"ddd")</f>
        <v>Fri</v>
      </c>
      <c r="E1327" s="3" t="s">
        <v>45</v>
      </c>
      <c r="F1327" s="3" t="s">
        <v>56</v>
      </c>
      <c r="G1327" s="3" t="s">
        <v>15</v>
      </c>
      <c r="H1327" s="3" t="s">
        <v>34</v>
      </c>
      <c r="I1327" s="4" t="n">
        <v>301</v>
      </c>
      <c r="J1327" s="4" t="n">
        <v>57</v>
      </c>
      <c r="K1327" s="4" t="n">
        <v>40</v>
      </c>
      <c r="L1327" s="4" t="n">
        <f aca="false">IF(O1327="Delivered",I1327-J1327+K1327,0)</f>
        <v>284</v>
      </c>
      <c r="M1327" s="0" t="n">
        <v>29</v>
      </c>
      <c r="N1327" s="0" t="n">
        <v>3.9</v>
      </c>
      <c r="O1327" s="3" t="s">
        <v>17</v>
      </c>
    </row>
    <row r="1328" customFormat="false" ht="15" hidden="false" customHeight="false" outlineLevel="0" collapsed="false">
      <c r="A1328" s="0" t="s">
        <v>213</v>
      </c>
      <c r="B1328" s="2" t="n">
        <v>45990</v>
      </c>
      <c r="C1328" s="0" t="str">
        <f aca="false">TEXT(B1328,"mmm")</f>
        <v>Nov</v>
      </c>
      <c r="D1328" s="0" t="str">
        <f aca="false">TEXT(B1328,"ddd")</f>
        <v>Sat</v>
      </c>
      <c r="E1328" s="3" t="s">
        <v>24</v>
      </c>
      <c r="F1328" s="3" t="s">
        <v>20</v>
      </c>
      <c r="G1328" s="3" t="s">
        <v>21</v>
      </c>
      <c r="H1328" s="3" t="s">
        <v>36</v>
      </c>
      <c r="I1328" s="4" t="n">
        <v>468</v>
      </c>
      <c r="J1328" s="4" t="n">
        <v>87</v>
      </c>
      <c r="K1328" s="4" t="n">
        <v>45</v>
      </c>
      <c r="L1328" s="4" t="n">
        <f aca="false">IF(O1328="Delivered",I1328-J1328+K1328,0)</f>
        <v>426</v>
      </c>
      <c r="M1328" s="0" t="n">
        <v>43</v>
      </c>
      <c r="N1328" s="0" t="n">
        <v>3.6</v>
      </c>
      <c r="O1328" s="3" t="s">
        <v>17</v>
      </c>
    </row>
    <row r="1329" customFormat="false" ht="15" hidden="false" customHeight="false" outlineLevel="0" collapsed="false">
      <c r="A1329" s="0" t="s">
        <v>507</v>
      </c>
      <c r="B1329" s="2" t="n">
        <v>45990</v>
      </c>
      <c r="C1329" s="0" t="str">
        <f aca="false">TEXT(B1329,"mmm")</f>
        <v>Nov</v>
      </c>
      <c r="D1329" s="0" t="str">
        <f aca="false">TEXT(B1329,"ddd")</f>
        <v>Sat</v>
      </c>
      <c r="E1329" s="3" t="s">
        <v>27</v>
      </c>
      <c r="F1329" s="3" t="s">
        <v>31</v>
      </c>
      <c r="G1329" s="3" t="s">
        <v>21</v>
      </c>
      <c r="H1329" s="3" t="s">
        <v>54</v>
      </c>
      <c r="I1329" s="4" t="n">
        <v>493</v>
      </c>
      <c r="J1329" s="4" t="n">
        <v>0</v>
      </c>
      <c r="K1329" s="4" t="n">
        <v>30</v>
      </c>
      <c r="L1329" s="4" t="n">
        <f aca="false">IF(O1329="Delivered",I1329-J1329+K1329,0)</f>
        <v>523</v>
      </c>
      <c r="M1329" s="0" t="n">
        <v>56</v>
      </c>
      <c r="N1329" s="0" t="n">
        <v>3.8</v>
      </c>
      <c r="O1329" s="3" t="s">
        <v>17</v>
      </c>
    </row>
    <row r="1330" customFormat="false" ht="15" hidden="false" customHeight="false" outlineLevel="0" collapsed="false">
      <c r="A1330" s="0" t="s">
        <v>774</v>
      </c>
      <c r="B1330" s="2" t="n">
        <v>45990</v>
      </c>
      <c r="C1330" s="0" t="str">
        <f aca="false">TEXT(B1330,"mmm")</f>
        <v>Nov</v>
      </c>
      <c r="D1330" s="0" t="str">
        <f aca="false">TEXT(B1330,"ddd")</f>
        <v>Sat</v>
      </c>
      <c r="E1330" s="3" t="s">
        <v>40</v>
      </c>
      <c r="F1330" s="3" t="s">
        <v>25</v>
      </c>
      <c r="G1330" s="3" t="s">
        <v>15</v>
      </c>
      <c r="H1330" s="3" t="s">
        <v>54</v>
      </c>
      <c r="I1330" s="4" t="n">
        <v>474</v>
      </c>
      <c r="J1330" s="4" t="n">
        <v>77</v>
      </c>
      <c r="K1330" s="4" t="n">
        <v>45</v>
      </c>
      <c r="L1330" s="4" t="n">
        <f aca="false">IF(O1330="Delivered",I1330-J1330+K1330,0)</f>
        <v>442</v>
      </c>
      <c r="M1330" s="0" t="n">
        <v>37</v>
      </c>
      <c r="N1330" s="0" t="n">
        <v>4.4</v>
      </c>
      <c r="O1330" s="3" t="s">
        <v>17</v>
      </c>
    </row>
    <row r="1331" customFormat="false" ht="15" hidden="false" customHeight="false" outlineLevel="0" collapsed="false">
      <c r="A1331" s="0" t="s">
        <v>819</v>
      </c>
      <c r="B1331" s="2" t="n">
        <v>45990</v>
      </c>
      <c r="C1331" s="0" t="str">
        <f aca="false">TEXT(B1331,"mmm")</f>
        <v>Nov</v>
      </c>
      <c r="D1331" s="0" t="str">
        <f aca="false">TEXT(B1331,"ddd")</f>
        <v>Sat</v>
      </c>
      <c r="E1331" s="3" t="s">
        <v>27</v>
      </c>
      <c r="F1331" s="3" t="s">
        <v>20</v>
      </c>
      <c r="G1331" s="3" t="s">
        <v>21</v>
      </c>
      <c r="H1331" s="3" t="s">
        <v>22</v>
      </c>
      <c r="I1331" s="4" t="n">
        <v>734</v>
      </c>
      <c r="J1331" s="4" t="n">
        <v>0</v>
      </c>
      <c r="K1331" s="4" t="n">
        <v>0</v>
      </c>
      <c r="L1331" s="4" t="n">
        <f aca="false">IF(O1331="Delivered",I1331-J1331+K1331,0)</f>
        <v>734</v>
      </c>
      <c r="M1331" s="0" t="n">
        <v>43</v>
      </c>
      <c r="N1331" s="0" t="n">
        <v>4.1</v>
      </c>
      <c r="O1331" s="3" t="s">
        <v>17</v>
      </c>
    </row>
    <row r="1332" customFormat="false" ht="15" hidden="false" customHeight="false" outlineLevel="0" collapsed="false">
      <c r="A1332" s="0" t="s">
        <v>950</v>
      </c>
      <c r="B1332" s="2" t="n">
        <v>45990</v>
      </c>
      <c r="C1332" s="0" t="str">
        <f aca="false">TEXT(B1332,"mmm")</f>
        <v>Nov</v>
      </c>
      <c r="D1332" s="0" t="str">
        <f aca="false">TEXT(B1332,"ddd")</f>
        <v>Sat</v>
      </c>
      <c r="E1332" s="3" t="s">
        <v>24</v>
      </c>
      <c r="F1332" s="3" t="s">
        <v>56</v>
      </c>
      <c r="G1332" s="3" t="s">
        <v>21</v>
      </c>
      <c r="H1332" s="3" t="s">
        <v>22</v>
      </c>
      <c r="I1332" s="4" t="n">
        <v>459</v>
      </c>
      <c r="J1332" s="4" t="n">
        <v>0</v>
      </c>
      <c r="K1332" s="4" t="n">
        <v>30</v>
      </c>
      <c r="L1332" s="4" t="n">
        <f aca="false">IF(O1332="Delivered",I1332-J1332+K1332,0)</f>
        <v>489</v>
      </c>
      <c r="M1332" s="0" t="n">
        <v>40</v>
      </c>
      <c r="N1332" s="0" t="n">
        <v>4.5</v>
      </c>
      <c r="O1332" s="3" t="s">
        <v>17</v>
      </c>
    </row>
    <row r="1333" customFormat="false" ht="15" hidden="false" customHeight="false" outlineLevel="0" collapsed="false">
      <c r="A1333" s="0" t="s">
        <v>1084</v>
      </c>
      <c r="B1333" s="2" t="n">
        <v>45990</v>
      </c>
      <c r="C1333" s="0" t="str">
        <f aca="false">TEXT(B1333,"mmm")</f>
        <v>Nov</v>
      </c>
      <c r="D1333" s="0" t="str">
        <f aca="false">TEXT(B1333,"ddd")</f>
        <v>Sat</v>
      </c>
      <c r="E1333" s="3" t="s">
        <v>27</v>
      </c>
      <c r="F1333" s="3" t="s">
        <v>56</v>
      </c>
      <c r="G1333" s="3" t="s">
        <v>21</v>
      </c>
      <c r="H1333" s="3" t="s">
        <v>22</v>
      </c>
      <c r="I1333" s="4" t="n">
        <v>513</v>
      </c>
      <c r="J1333" s="4" t="n">
        <v>0</v>
      </c>
      <c r="K1333" s="4" t="n">
        <v>0</v>
      </c>
      <c r="L1333" s="4" t="n">
        <f aca="false">IF(O1333="Delivered",I1333-J1333+K1333,0)</f>
        <v>513</v>
      </c>
      <c r="M1333" s="0" t="n">
        <v>38</v>
      </c>
      <c r="N1333" s="0" t="n">
        <v>4</v>
      </c>
      <c r="O1333" s="3" t="s">
        <v>17</v>
      </c>
    </row>
    <row r="1334" customFormat="false" ht="15" hidden="false" customHeight="false" outlineLevel="0" collapsed="false">
      <c r="A1334" s="0" t="s">
        <v>1387</v>
      </c>
      <c r="B1334" s="2" t="n">
        <v>45990</v>
      </c>
      <c r="C1334" s="0" t="str">
        <f aca="false">TEXT(B1334,"mmm")</f>
        <v>Nov</v>
      </c>
      <c r="D1334" s="0" t="str">
        <f aca="false">TEXT(B1334,"ddd")</f>
        <v>Sat</v>
      </c>
      <c r="E1334" s="3" t="s">
        <v>24</v>
      </c>
      <c r="F1334" s="3" t="s">
        <v>25</v>
      </c>
      <c r="G1334" s="3" t="s">
        <v>15</v>
      </c>
      <c r="H1334" s="3" t="s">
        <v>16</v>
      </c>
      <c r="I1334" s="4" t="n">
        <v>441</v>
      </c>
      <c r="J1334" s="4" t="n">
        <v>0</v>
      </c>
      <c r="K1334" s="4" t="n">
        <v>45</v>
      </c>
      <c r="L1334" s="4" t="n">
        <f aca="false">IF(O1334="Delivered",I1334-J1334+K1334,0)</f>
        <v>486</v>
      </c>
      <c r="M1334" s="0" t="n">
        <v>28</v>
      </c>
      <c r="N1334" s="0" t="n">
        <v>4.7</v>
      </c>
      <c r="O1334" s="3" t="s">
        <v>17</v>
      </c>
    </row>
    <row r="1335" customFormat="false" ht="15" hidden="false" customHeight="false" outlineLevel="0" collapsed="false">
      <c r="A1335" s="0" t="s">
        <v>1675</v>
      </c>
      <c r="B1335" s="2" t="n">
        <v>45990</v>
      </c>
      <c r="C1335" s="0" t="str">
        <f aca="false">TEXT(B1335,"mmm")</f>
        <v>Nov</v>
      </c>
      <c r="D1335" s="0" t="str">
        <f aca="false">TEXT(B1335,"ddd")</f>
        <v>Sat</v>
      </c>
      <c r="E1335" s="3" t="s">
        <v>40</v>
      </c>
      <c r="F1335" s="3" t="s">
        <v>25</v>
      </c>
      <c r="G1335" s="3" t="s">
        <v>21</v>
      </c>
      <c r="H1335" s="3" t="s">
        <v>22</v>
      </c>
      <c r="I1335" s="4" t="n">
        <v>549</v>
      </c>
      <c r="J1335" s="4" t="n">
        <v>0</v>
      </c>
      <c r="K1335" s="4" t="n">
        <v>0</v>
      </c>
      <c r="L1335" s="4" t="n">
        <f aca="false">IF(O1335="Delivered",I1335-J1335+K1335,0)</f>
        <v>0</v>
      </c>
      <c r="O1335" s="3" t="s">
        <v>68</v>
      </c>
    </row>
    <row r="1336" customFormat="false" ht="15" hidden="false" customHeight="false" outlineLevel="0" collapsed="false">
      <c r="A1336" s="0" t="s">
        <v>458</v>
      </c>
      <c r="B1336" s="2" t="n">
        <v>45991</v>
      </c>
      <c r="C1336" s="0" t="str">
        <f aca="false">TEXT(B1336,"mmm")</f>
        <v>Nov</v>
      </c>
      <c r="D1336" s="0" t="str">
        <f aca="false">TEXT(B1336,"ddd")</f>
        <v>Sun</v>
      </c>
      <c r="E1336" s="3" t="s">
        <v>30</v>
      </c>
      <c r="F1336" s="3" t="s">
        <v>56</v>
      </c>
      <c r="G1336" s="3" t="s">
        <v>21</v>
      </c>
      <c r="H1336" s="3" t="s">
        <v>36</v>
      </c>
      <c r="I1336" s="4" t="n">
        <v>501</v>
      </c>
      <c r="J1336" s="4" t="n">
        <v>0</v>
      </c>
      <c r="K1336" s="4" t="n">
        <v>0</v>
      </c>
      <c r="L1336" s="4" t="n">
        <f aca="false">IF(O1336="Delivered",I1336-J1336+K1336,0)</f>
        <v>501</v>
      </c>
      <c r="M1336" s="0" t="n">
        <v>29</v>
      </c>
      <c r="N1336" s="0" t="n">
        <v>3.8</v>
      </c>
      <c r="O1336" s="3" t="s">
        <v>17</v>
      </c>
    </row>
    <row r="1337" customFormat="false" ht="15" hidden="false" customHeight="false" outlineLevel="0" collapsed="false">
      <c r="A1337" s="0" t="s">
        <v>1598</v>
      </c>
      <c r="B1337" s="2" t="n">
        <v>45991</v>
      </c>
      <c r="C1337" s="0" t="str">
        <f aca="false">TEXT(B1337,"mmm")</f>
        <v>Nov</v>
      </c>
      <c r="D1337" s="0" t="str">
        <f aca="false">TEXT(B1337,"ddd")</f>
        <v>Sun</v>
      </c>
      <c r="E1337" s="3" t="s">
        <v>40</v>
      </c>
      <c r="F1337" s="3" t="s">
        <v>31</v>
      </c>
      <c r="G1337" s="3" t="s">
        <v>21</v>
      </c>
      <c r="H1337" s="3" t="s">
        <v>16</v>
      </c>
      <c r="I1337" s="4" t="n">
        <v>408</v>
      </c>
      <c r="J1337" s="4" t="n">
        <v>0</v>
      </c>
      <c r="K1337" s="4" t="n">
        <v>20</v>
      </c>
      <c r="L1337" s="4" t="n">
        <f aca="false">IF(O1337="Delivered",I1337-J1337+K1337,0)</f>
        <v>428</v>
      </c>
      <c r="M1337" s="0" t="n">
        <v>41</v>
      </c>
      <c r="N1337" s="0" t="n">
        <v>4.8</v>
      </c>
      <c r="O1337" s="3" t="s">
        <v>17</v>
      </c>
    </row>
    <row r="1338" customFormat="false" ht="15" hidden="false" customHeight="false" outlineLevel="0" collapsed="false">
      <c r="A1338" s="0" t="s">
        <v>162</v>
      </c>
      <c r="B1338" s="2" t="n">
        <v>45992</v>
      </c>
      <c r="C1338" s="0" t="str">
        <f aca="false">TEXT(B1338,"mmm")</f>
        <v>Dec</v>
      </c>
      <c r="D1338" s="0" t="str">
        <f aca="false">TEXT(B1338,"ddd")</f>
        <v>Mon</v>
      </c>
      <c r="E1338" s="3" t="s">
        <v>27</v>
      </c>
      <c r="F1338" s="3" t="s">
        <v>49</v>
      </c>
      <c r="G1338" s="3" t="s">
        <v>21</v>
      </c>
      <c r="H1338" s="3" t="s">
        <v>34</v>
      </c>
      <c r="I1338" s="4" t="n">
        <v>484</v>
      </c>
      <c r="J1338" s="4" t="n">
        <v>0</v>
      </c>
      <c r="K1338" s="4" t="n">
        <v>40</v>
      </c>
      <c r="L1338" s="4" t="n">
        <f aca="false">IF(O1338="Delivered",I1338-J1338+K1338,0)</f>
        <v>0</v>
      </c>
      <c r="O1338" s="3" t="s">
        <v>68</v>
      </c>
    </row>
    <row r="1339" customFormat="false" ht="15" hidden="false" customHeight="false" outlineLevel="0" collapsed="false">
      <c r="A1339" s="0" t="s">
        <v>373</v>
      </c>
      <c r="B1339" s="2" t="n">
        <v>45992</v>
      </c>
      <c r="C1339" s="0" t="str">
        <f aca="false">TEXT(B1339,"mmm")</f>
        <v>Dec</v>
      </c>
      <c r="D1339" s="0" t="str">
        <f aca="false">TEXT(B1339,"ddd")</f>
        <v>Mon</v>
      </c>
      <c r="E1339" s="3" t="s">
        <v>24</v>
      </c>
      <c r="F1339" s="3" t="s">
        <v>78</v>
      </c>
      <c r="G1339" s="3" t="s">
        <v>15</v>
      </c>
      <c r="H1339" s="3" t="s">
        <v>36</v>
      </c>
      <c r="I1339" s="4" t="n">
        <v>384</v>
      </c>
      <c r="J1339" s="4" t="n">
        <v>78</v>
      </c>
      <c r="K1339" s="4" t="n">
        <v>40</v>
      </c>
      <c r="L1339" s="4" t="n">
        <f aca="false">IF(O1339="Delivered",I1339-J1339+K1339,0)</f>
        <v>346</v>
      </c>
      <c r="M1339" s="0" t="n">
        <v>30</v>
      </c>
      <c r="N1339" s="0" t="n">
        <v>4.5</v>
      </c>
      <c r="O1339" s="3" t="s">
        <v>17</v>
      </c>
    </row>
    <row r="1340" customFormat="false" ht="15" hidden="false" customHeight="false" outlineLevel="0" collapsed="false">
      <c r="A1340" s="0" t="s">
        <v>724</v>
      </c>
      <c r="B1340" s="2" t="n">
        <v>45992</v>
      </c>
      <c r="C1340" s="0" t="str">
        <f aca="false">TEXT(B1340,"mmm")</f>
        <v>Dec</v>
      </c>
      <c r="D1340" s="0" t="str">
        <f aca="false">TEXT(B1340,"ddd")</f>
        <v>Mon</v>
      </c>
      <c r="E1340" s="3" t="s">
        <v>30</v>
      </c>
      <c r="F1340" s="3" t="s">
        <v>56</v>
      </c>
      <c r="G1340" s="3" t="s">
        <v>15</v>
      </c>
      <c r="H1340" s="3" t="s">
        <v>22</v>
      </c>
      <c r="I1340" s="4" t="n">
        <v>478</v>
      </c>
      <c r="J1340" s="4" t="n">
        <v>74</v>
      </c>
      <c r="K1340" s="4" t="n">
        <v>30</v>
      </c>
      <c r="L1340" s="4" t="n">
        <f aca="false">IF(O1340="Delivered",I1340-J1340+K1340,0)</f>
        <v>0</v>
      </c>
      <c r="O1340" s="3" t="s">
        <v>68</v>
      </c>
    </row>
    <row r="1341" customFormat="false" ht="15" hidden="false" customHeight="false" outlineLevel="0" collapsed="false">
      <c r="A1341" s="0" t="s">
        <v>842</v>
      </c>
      <c r="B1341" s="2" t="n">
        <v>45992</v>
      </c>
      <c r="C1341" s="0" t="str">
        <f aca="false">TEXT(B1341,"mmm")</f>
        <v>Dec</v>
      </c>
      <c r="D1341" s="0" t="str">
        <f aca="false">TEXT(B1341,"ddd")</f>
        <v>Mon</v>
      </c>
      <c r="E1341" s="3" t="s">
        <v>27</v>
      </c>
      <c r="F1341" s="3" t="s">
        <v>28</v>
      </c>
      <c r="G1341" s="3" t="s">
        <v>21</v>
      </c>
      <c r="H1341" s="3" t="s">
        <v>34</v>
      </c>
      <c r="I1341" s="4" t="n">
        <v>502</v>
      </c>
      <c r="J1341" s="4" t="n">
        <v>0</v>
      </c>
      <c r="K1341" s="4" t="n">
        <v>0</v>
      </c>
      <c r="L1341" s="4" t="n">
        <f aca="false">IF(O1341="Delivered",I1341-J1341+K1341,0)</f>
        <v>502</v>
      </c>
      <c r="M1341" s="0" t="n">
        <v>37</v>
      </c>
      <c r="N1341" s="0" t="n">
        <v>4.3</v>
      </c>
      <c r="O1341" s="3" t="s">
        <v>17</v>
      </c>
    </row>
    <row r="1342" customFormat="false" ht="15" hidden="false" customHeight="false" outlineLevel="0" collapsed="false">
      <c r="A1342" s="0" t="s">
        <v>1005</v>
      </c>
      <c r="B1342" s="2" t="n">
        <v>45992</v>
      </c>
      <c r="C1342" s="0" t="str">
        <f aca="false">TEXT(B1342,"mmm")</f>
        <v>Dec</v>
      </c>
      <c r="D1342" s="0" t="str">
        <f aca="false">TEXT(B1342,"ddd")</f>
        <v>Mon</v>
      </c>
      <c r="E1342" s="3" t="s">
        <v>13</v>
      </c>
      <c r="F1342" s="3" t="s">
        <v>25</v>
      </c>
      <c r="G1342" s="3" t="s">
        <v>21</v>
      </c>
      <c r="H1342" s="3" t="s">
        <v>22</v>
      </c>
      <c r="I1342" s="4" t="n">
        <v>385</v>
      </c>
      <c r="J1342" s="4" t="n">
        <v>0</v>
      </c>
      <c r="K1342" s="4" t="n">
        <v>20</v>
      </c>
      <c r="L1342" s="4" t="n">
        <f aca="false">IF(O1342="Delivered",I1342-J1342+K1342,0)</f>
        <v>405</v>
      </c>
      <c r="M1342" s="0" t="n">
        <v>35</v>
      </c>
      <c r="N1342" s="0" t="n">
        <v>4.5</v>
      </c>
      <c r="O1342" s="3" t="s">
        <v>17</v>
      </c>
    </row>
    <row r="1343" customFormat="false" ht="15" hidden="false" customHeight="false" outlineLevel="0" collapsed="false">
      <c r="A1343" s="0" t="s">
        <v>1055</v>
      </c>
      <c r="B1343" s="2" t="n">
        <v>45992</v>
      </c>
      <c r="C1343" s="0" t="str">
        <f aca="false">TEXT(B1343,"mmm")</f>
        <v>Dec</v>
      </c>
      <c r="D1343" s="0" t="str">
        <f aca="false">TEXT(B1343,"ddd")</f>
        <v>Mon</v>
      </c>
      <c r="E1343" s="3" t="s">
        <v>27</v>
      </c>
      <c r="F1343" s="3" t="s">
        <v>14</v>
      </c>
      <c r="G1343" s="3" t="s">
        <v>15</v>
      </c>
      <c r="H1343" s="3" t="s">
        <v>34</v>
      </c>
      <c r="I1343" s="4" t="n">
        <v>291</v>
      </c>
      <c r="J1343" s="4" t="n">
        <v>0</v>
      </c>
      <c r="K1343" s="4" t="n">
        <v>45</v>
      </c>
      <c r="L1343" s="4" t="n">
        <f aca="false">IF(O1343="Delivered",I1343-J1343+K1343,0)</f>
        <v>336</v>
      </c>
      <c r="M1343" s="0" t="n">
        <v>39</v>
      </c>
      <c r="N1343" s="0" t="n">
        <v>3.8</v>
      </c>
      <c r="O1343" s="3" t="s">
        <v>17</v>
      </c>
    </row>
    <row r="1344" customFormat="false" ht="15" hidden="false" customHeight="false" outlineLevel="0" collapsed="false">
      <c r="A1344" s="0" t="s">
        <v>1564</v>
      </c>
      <c r="B1344" s="2" t="n">
        <v>45992</v>
      </c>
      <c r="C1344" s="0" t="str">
        <f aca="false">TEXT(B1344,"mmm")</f>
        <v>Dec</v>
      </c>
      <c r="D1344" s="0" t="str">
        <f aca="false">TEXT(B1344,"ddd")</f>
        <v>Mon</v>
      </c>
      <c r="E1344" s="3" t="s">
        <v>40</v>
      </c>
      <c r="F1344" s="3" t="s">
        <v>28</v>
      </c>
      <c r="G1344" s="3" t="s">
        <v>21</v>
      </c>
      <c r="H1344" s="3" t="s">
        <v>22</v>
      </c>
      <c r="I1344" s="4" t="n">
        <v>353</v>
      </c>
      <c r="J1344" s="4" t="n">
        <v>0</v>
      </c>
      <c r="K1344" s="4" t="n">
        <v>20</v>
      </c>
      <c r="L1344" s="4" t="n">
        <f aca="false">IF(O1344="Delivered",I1344-J1344+K1344,0)</f>
        <v>0</v>
      </c>
      <c r="O1344" s="3" t="s">
        <v>68</v>
      </c>
    </row>
    <row r="1345" customFormat="false" ht="15" hidden="false" customHeight="false" outlineLevel="0" collapsed="false">
      <c r="A1345" s="0" t="s">
        <v>153</v>
      </c>
      <c r="B1345" s="2" t="n">
        <v>45994</v>
      </c>
      <c r="C1345" s="0" t="str">
        <f aca="false">TEXT(B1345,"mmm")</f>
        <v>Dec</v>
      </c>
      <c r="D1345" s="0" t="str">
        <f aca="false">TEXT(B1345,"ddd")</f>
        <v>Wed</v>
      </c>
      <c r="E1345" s="3" t="s">
        <v>51</v>
      </c>
      <c r="F1345" s="3" t="s">
        <v>78</v>
      </c>
      <c r="G1345" s="3" t="s">
        <v>21</v>
      </c>
      <c r="H1345" s="3" t="s">
        <v>16</v>
      </c>
      <c r="I1345" s="4" t="n">
        <v>488</v>
      </c>
      <c r="J1345" s="4" t="n">
        <v>53</v>
      </c>
      <c r="K1345" s="4" t="n">
        <v>30</v>
      </c>
      <c r="L1345" s="4" t="n">
        <f aca="false">IF(O1345="Delivered",I1345-J1345+K1345,0)</f>
        <v>465</v>
      </c>
      <c r="M1345" s="0" t="n">
        <v>31</v>
      </c>
      <c r="N1345" s="0" t="n">
        <v>4.2</v>
      </c>
      <c r="O1345" s="3" t="s">
        <v>17</v>
      </c>
    </row>
    <row r="1346" customFormat="false" ht="15" hidden="false" customHeight="false" outlineLevel="0" collapsed="false">
      <c r="A1346" s="0" t="s">
        <v>664</v>
      </c>
      <c r="B1346" s="2" t="n">
        <v>45994</v>
      </c>
      <c r="C1346" s="0" t="str">
        <f aca="false">TEXT(B1346,"mmm")</f>
        <v>Dec</v>
      </c>
      <c r="D1346" s="0" t="str">
        <f aca="false">TEXT(B1346,"ddd")</f>
        <v>Wed</v>
      </c>
      <c r="E1346" s="3" t="s">
        <v>45</v>
      </c>
      <c r="F1346" s="3" t="s">
        <v>56</v>
      </c>
      <c r="G1346" s="3" t="s">
        <v>15</v>
      </c>
      <c r="H1346" s="3" t="s">
        <v>22</v>
      </c>
      <c r="I1346" s="4" t="n">
        <v>293</v>
      </c>
      <c r="J1346" s="4" t="n">
        <v>62</v>
      </c>
      <c r="K1346" s="4" t="n">
        <v>30</v>
      </c>
      <c r="L1346" s="4" t="n">
        <f aca="false">IF(O1346="Delivered",I1346-J1346+K1346,0)</f>
        <v>261</v>
      </c>
      <c r="M1346" s="0" t="n">
        <v>39</v>
      </c>
      <c r="N1346" s="0" t="n">
        <v>4.2</v>
      </c>
      <c r="O1346" s="3" t="s">
        <v>17</v>
      </c>
    </row>
    <row r="1347" customFormat="false" ht="15" hidden="false" customHeight="false" outlineLevel="0" collapsed="false">
      <c r="A1347" s="0" t="s">
        <v>693</v>
      </c>
      <c r="B1347" s="2" t="n">
        <v>45994</v>
      </c>
      <c r="C1347" s="0" t="str">
        <f aca="false">TEXT(B1347,"mmm")</f>
        <v>Dec</v>
      </c>
      <c r="D1347" s="0" t="str">
        <f aca="false">TEXT(B1347,"ddd")</f>
        <v>Wed</v>
      </c>
      <c r="E1347" s="3" t="s">
        <v>19</v>
      </c>
      <c r="F1347" s="3" t="s">
        <v>14</v>
      </c>
      <c r="G1347" s="3" t="s">
        <v>21</v>
      </c>
      <c r="H1347" s="3" t="s">
        <v>16</v>
      </c>
      <c r="I1347" s="4" t="n">
        <v>399</v>
      </c>
      <c r="J1347" s="4" t="n">
        <v>68</v>
      </c>
      <c r="K1347" s="4" t="n">
        <v>45</v>
      </c>
      <c r="L1347" s="4" t="n">
        <f aca="false">IF(O1347="Delivered",I1347-J1347+K1347,0)</f>
        <v>376</v>
      </c>
      <c r="M1347" s="0" t="n">
        <v>31</v>
      </c>
      <c r="N1347" s="0" t="n">
        <v>4</v>
      </c>
      <c r="O1347" s="3" t="s">
        <v>17</v>
      </c>
    </row>
    <row r="1348" customFormat="false" ht="15" hidden="false" customHeight="false" outlineLevel="0" collapsed="false">
      <c r="A1348" s="0" t="s">
        <v>822</v>
      </c>
      <c r="B1348" s="2" t="n">
        <v>45994</v>
      </c>
      <c r="C1348" s="0" t="str">
        <f aca="false">TEXT(B1348,"mmm")</f>
        <v>Dec</v>
      </c>
      <c r="D1348" s="0" t="str">
        <f aca="false">TEXT(B1348,"ddd")</f>
        <v>Wed</v>
      </c>
      <c r="E1348" s="3" t="s">
        <v>27</v>
      </c>
      <c r="F1348" s="3" t="s">
        <v>28</v>
      </c>
      <c r="G1348" s="3" t="s">
        <v>21</v>
      </c>
      <c r="H1348" s="3" t="s">
        <v>16</v>
      </c>
      <c r="I1348" s="4" t="n">
        <v>254</v>
      </c>
      <c r="J1348" s="4" t="n">
        <v>0</v>
      </c>
      <c r="K1348" s="4" t="n">
        <v>40</v>
      </c>
      <c r="L1348" s="4" t="n">
        <f aca="false">IF(O1348="Delivered",I1348-J1348+K1348,0)</f>
        <v>294</v>
      </c>
      <c r="M1348" s="0" t="n">
        <v>42</v>
      </c>
      <c r="O1348" s="3" t="s">
        <v>17</v>
      </c>
    </row>
    <row r="1349" customFormat="false" ht="15" hidden="false" customHeight="false" outlineLevel="0" collapsed="false">
      <c r="A1349" s="0" t="s">
        <v>1185</v>
      </c>
      <c r="B1349" s="2" t="n">
        <v>45994</v>
      </c>
      <c r="C1349" s="0" t="str">
        <f aca="false">TEXT(B1349,"mmm")</f>
        <v>Dec</v>
      </c>
      <c r="D1349" s="0" t="str">
        <f aca="false">TEXT(B1349,"ddd")</f>
        <v>Wed</v>
      </c>
      <c r="E1349" s="3" t="s">
        <v>40</v>
      </c>
      <c r="F1349" s="3" t="s">
        <v>20</v>
      </c>
      <c r="G1349" s="3" t="s">
        <v>15</v>
      </c>
      <c r="H1349" s="3" t="s">
        <v>22</v>
      </c>
      <c r="I1349" s="4" t="n">
        <v>399</v>
      </c>
      <c r="J1349" s="4" t="n">
        <v>56</v>
      </c>
      <c r="K1349" s="4" t="n">
        <v>40</v>
      </c>
      <c r="L1349" s="4" t="n">
        <f aca="false">IF(O1349="Delivered",I1349-J1349+K1349,0)</f>
        <v>383</v>
      </c>
      <c r="M1349" s="0" t="n">
        <v>42</v>
      </c>
      <c r="N1349" s="0" t="n">
        <v>3.9</v>
      </c>
      <c r="O1349" s="3" t="s">
        <v>17</v>
      </c>
    </row>
    <row r="1350" customFormat="false" ht="15" hidden="false" customHeight="false" outlineLevel="0" collapsed="false">
      <c r="A1350" s="0" t="s">
        <v>513</v>
      </c>
      <c r="B1350" s="2" t="n">
        <v>45995</v>
      </c>
      <c r="C1350" s="0" t="str">
        <f aca="false">TEXT(B1350,"mmm")</f>
        <v>Dec</v>
      </c>
      <c r="D1350" s="0" t="str">
        <f aca="false">TEXT(B1350,"ddd")</f>
        <v>Thu</v>
      </c>
      <c r="E1350" s="3" t="s">
        <v>51</v>
      </c>
      <c r="F1350" s="3" t="s">
        <v>14</v>
      </c>
      <c r="G1350" s="3" t="s">
        <v>21</v>
      </c>
      <c r="H1350" s="3" t="s">
        <v>36</v>
      </c>
      <c r="I1350" s="4" t="n">
        <v>338</v>
      </c>
      <c r="J1350" s="4" t="n">
        <v>68</v>
      </c>
      <c r="K1350" s="4" t="n">
        <v>45</v>
      </c>
      <c r="L1350" s="4" t="n">
        <f aca="false">IF(O1350="Delivered",I1350-J1350+K1350,0)</f>
        <v>315</v>
      </c>
      <c r="M1350" s="0" t="n">
        <v>47</v>
      </c>
      <c r="N1350" s="0" t="n">
        <v>3.9</v>
      </c>
      <c r="O1350" s="3" t="s">
        <v>17</v>
      </c>
    </row>
    <row r="1351" customFormat="false" ht="15" hidden="false" customHeight="false" outlineLevel="0" collapsed="false">
      <c r="A1351" s="0" t="s">
        <v>992</v>
      </c>
      <c r="B1351" s="2" t="n">
        <v>45995</v>
      </c>
      <c r="C1351" s="0" t="str">
        <f aca="false">TEXT(B1351,"mmm")</f>
        <v>Dec</v>
      </c>
      <c r="D1351" s="0" t="str">
        <f aca="false">TEXT(B1351,"ddd")</f>
        <v>Thu</v>
      </c>
      <c r="E1351" s="3" t="s">
        <v>27</v>
      </c>
      <c r="F1351" s="3" t="s">
        <v>56</v>
      </c>
      <c r="G1351" s="3" t="s">
        <v>21</v>
      </c>
      <c r="H1351" s="3" t="s">
        <v>22</v>
      </c>
      <c r="I1351" s="4" t="n">
        <v>344</v>
      </c>
      <c r="J1351" s="4" t="n">
        <v>0</v>
      </c>
      <c r="K1351" s="4" t="n">
        <v>40</v>
      </c>
      <c r="L1351" s="4" t="n">
        <f aca="false">IF(O1351="Delivered",I1351-J1351+K1351,0)</f>
        <v>384</v>
      </c>
      <c r="M1351" s="0" t="n">
        <v>35</v>
      </c>
      <c r="N1351" s="0" t="n">
        <v>3.9</v>
      </c>
      <c r="O1351" s="3" t="s">
        <v>17</v>
      </c>
    </row>
    <row r="1352" customFormat="false" ht="15" hidden="false" customHeight="false" outlineLevel="0" collapsed="false">
      <c r="A1352" s="0" t="s">
        <v>1210</v>
      </c>
      <c r="B1352" s="2" t="n">
        <v>45995</v>
      </c>
      <c r="C1352" s="0" t="str">
        <f aca="false">TEXT(B1352,"mmm")</f>
        <v>Dec</v>
      </c>
      <c r="D1352" s="0" t="str">
        <f aca="false">TEXT(B1352,"ddd")</f>
        <v>Thu</v>
      </c>
      <c r="E1352" s="3" t="s">
        <v>40</v>
      </c>
      <c r="F1352" s="3" t="s">
        <v>25</v>
      </c>
      <c r="G1352" s="3" t="s">
        <v>15</v>
      </c>
      <c r="H1352" s="3" t="s">
        <v>36</v>
      </c>
      <c r="I1352" s="4" t="n">
        <v>273</v>
      </c>
      <c r="J1352" s="4" t="n">
        <v>40</v>
      </c>
      <c r="K1352" s="4" t="n">
        <v>20</v>
      </c>
      <c r="L1352" s="4" t="n">
        <f aca="false">IF(O1352="Delivered",I1352-J1352+K1352,0)</f>
        <v>253</v>
      </c>
      <c r="M1352" s="0" t="n">
        <v>32</v>
      </c>
      <c r="N1352" s="0" t="n">
        <v>4.1</v>
      </c>
      <c r="O1352" s="3" t="s">
        <v>17</v>
      </c>
    </row>
    <row r="1353" customFormat="false" ht="15" hidden="false" customHeight="false" outlineLevel="0" collapsed="false">
      <c r="A1353" s="0" t="s">
        <v>1237</v>
      </c>
      <c r="B1353" s="2" t="n">
        <v>45995</v>
      </c>
      <c r="C1353" s="0" t="str">
        <f aca="false">TEXT(B1353,"mmm")</f>
        <v>Dec</v>
      </c>
      <c r="D1353" s="0" t="str">
        <f aca="false">TEXT(B1353,"ddd")</f>
        <v>Thu</v>
      </c>
      <c r="E1353" s="3" t="s">
        <v>30</v>
      </c>
      <c r="F1353" s="3" t="s">
        <v>25</v>
      </c>
      <c r="G1353" s="3" t="s">
        <v>21</v>
      </c>
      <c r="H1353" s="3" t="s">
        <v>36</v>
      </c>
      <c r="I1353" s="4" t="n">
        <v>635</v>
      </c>
      <c r="J1353" s="4" t="n">
        <v>124</v>
      </c>
      <c r="K1353" s="4" t="n">
        <v>0</v>
      </c>
      <c r="L1353" s="4" t="n">
        <f aca="false">IF(O1353="Delivered",I1353-J1353+K1353,0)</f>
        <v>0</v>
      </c>
      <c r="O1353" s="3" t="s">
        <v>68</v>
      </c>
    </row>
    <row r="1354" customFormat="false" ht="15" hidden="false" customHeight="false" outlineLevel="0" collapsed="false">
      <c r="A1354" s="0" t="s">
        <v>1627</v>
      </c>
      <c r="B1354" s="2" t="n">
        <v>45995</v>
      </c>
      <c r="C1354" s="0" t="str">
        <f aca="false">TEXT(B1354,"mmm")</f>
        <v>Dec</v>
      </c>
      <c r="D1354" s="0" t="str">
        <f aca="false">TEXT(B1354,"ddd")</f>
        <v>Thu</v>
      </c>
      <c r="E1354" s="3" t="s">
        <v>24</v>
      </c>
      <c r="F1354" s="3" t="s">
        <v>56</v>
      </c>
      <c r="G1354" s="3" t="s">
        <v>15</v>
      </c>
      <c r="H1354" s="3" t="s">
        <v>34</v>
      </c>
      <c r="I1354" s="4" t="n">
        <v>446</v>
      </c>
      <c r="J1354" s="4" t="n">
        <v>91</v>
      </c>
      <c r="K1354" s="4" t="n">
        <v>45</v>
      </c>
      <c r="L1354" s="4" t="n">
        <f aca="false">IF(O1354="Delivered",I1354-J1354+K1354,0)</f>
        <v>400</v>
      </c>
      <c r="M1354" s="0" t="n">
        <v>32</v>
      </c>
      <c r="N1354" s="0" t="n">
        <v>4.4</v>
      </c>
      <c r="O1354" s="3" t="s">
        <v>17</v>
      </c>
    </row>
    <row r="1355" customFormat="false" ht="15" hidden="false" customHeight="false" outlineLevel="0" collapsed="false">
      <c r="A1355" s="0" t="s">
        <v>224</v>
      </c>
      <c r="B1355" s="2" t="n">
        <v>45996</v>
      </c>
      <c r="C1355" s="0" t="str">
        <f aca="false">TEXT(B1355,"mmm")</f>
        <v>Dec</v>
      </c>
      <c r="D1355" s="0" t="str">
        <f aca="false">TEXT(B1355,"ddd")</f>
        <v>Fri</v>
      </c>
      <c r="E1355" s="3" t="s">
        <v>13</v>
      </c>
      <c r="F1355" s="3" t="s">
        <v>78</v>
      </c>
      <c r="G1355" s="3" t="s">
        <v>21</v>
      </c>
      <c r="H1355" s="3" t="s">
        <v>16</v>
      </c>
      <c r="I1355" s="4" t="n">
        <v>407</v>
      </c>
      <c r="J1355" s="4" t="n">
        <v>0</v>
      </c>
      <c r="K1355" s="4" t="n">
        <v>30</v>
      </c>
      <c r="L1355" s="4" t="n">
        <f aca="false">IF(O1355="Delivered",I1355-J1355+K1355,0)</f>
        <v>437</v>
      </c>
      <c r="M1355" s="0" t="n">
        <v>31</v>
      </c>
      <c r="N1355" s="0" t="n">
        <v>5</v>
      </c>
      <c r="O1355" s="3" t="s">
        <v>17</v>
      </c>
    </row>
    <row r="1356" customFormat="false" ht="15" hidden="false" customHeight="false" outlineLevel="0" collapsed="false">
      <c r="A1356" s="0" t="s">
        <v>402</v>
      </c>
      <c r="B1356" s="2" t="n">
        <v>45996</v>
      </c>
      <c r="C1356" s="0" t="str">
        <f aca="false">TEXT(B1356,"mmm")</f>
        <v>Dec</v>
      </c>
      <c r="D1356" s="0" t="str">
        <f aca="false">TEXT(B1356,"ddd")</f>
        <v>Fri</v>
      </c>
      <c r="E1356" s="3" t="s">
        <v>51</v>
      </c>
      <c r="F1356" s="3" t="s">
        <v>31</v>
      </c>
      <c r="G1356" s="3" t="s">
        <v>21</v>
      </c>
      <c r="H1356" s="3" t="s">
        <v>22</v>
      </c>
      <c r="I1356" s="4" t="n">
        <v>419</v>
      </c>
      <c r="J1356" s="4" t="n">
        <v>0</v>
      </c>
      <c r="K1356" s="4" t="n">
        <v>30</v>
      </c>
      <c r="L1356" s="4" t="n">
        <f aca="false">IF(O1356="Delivered",I1356-J1356+K1356,0)</f>
        <v>449</v>
      </c>
      <c r="M1356" s="0" t="n">
        <v>33</v>
      </c>
      <c r="O1356" s="3" t="s">
        <v>17</v>
      </c>
    </row>
    <row r="1357" customFormat="false" ht="15" hidden="false" customHeight="false" outlineLevel="0" collapsed="false">
      <c r="A1357" s="0" t="s">
        <v>801</v>
      </c>
      <c r="B1357" s="2" t="n">
        <v>45996</v>
      </c>
      <c r="C1357" s="0" t="str">
        <f aca="false">TEXT(B1357,"mmm")</f>
        <v>Dec</v>
      </c>
      <c r="D1357" s="0" t="str">
        <f aca="false">TEXT(B1357,"ddd")</f>
        <v>Fri</v>
      </c>
      <c r="E1357" s="3" t="s">
        <v>27</v>
      </c>
      <c r="F1357" s="3" t="s">
        <v>25</v>
      </c>
      <c r="G1357" s="3" t="s">
        <v>15</v>
      </c>
      <c r="H1357" s="3" t="s">
        <v>16</v>
      </c>
      <c r="I1357" s="4" t="n">
        <v>378</v>
      </c>
      <c r="J1357" s="4" t="n">
        <v>60</v>
      </c>
      <c r="K1357" s="4" t="n">
        <v>45</v>
      </c>
      <c r="L1357" s="4" t="n">
        <f aca="false">IF(O1357="Delivered",I1357-J1357+K1357,0)</f>
        <v>363</v>
      </c>
      <c r="M1357" s="0" t="n">
        <v>45</v>
      </c>
      <c r="N1357" s="0" t="n">
        <v>4.6</v>
      </c>
      <c r="O1357" s="3" t="s">
        <v>17</v>
      </c>
    </row>
    <row r="1358" customFormat="false" ht="15" hidden="false" customHeight="false" outlineLevel="0" collapsed="false">
      <c r="A1358" s="0" t="s">
        <v>1574</v>
      </c>
      <c r="B1358" s="2" t="n">
        <v>45996</v>
      </c>
      <c r="C1358" s="0" t="str">
        <f aca="false">TEXT(B1358,"mmm")</f>
        <v>Dec</v>
      </c>
      <c r="D1358" s="0" t="str">
        <f aca="false">TEXT(B1358,"ddd")</f>
        <v>Fri</v>
      </c>
      <c r="E1358" s="3" t="s">
        <v>24</v>
      </c>
      <c r="F1358" s="3" t="s">
        <v>28</v>
      </c>
      <c r="G1358" s="3" t="s">
        <v>21</v>
      </c>
      <c r="H1358" s="3" t="s">
        <v>22</v>
      </c>
      <c r="I1358" s="4" t="n">
        <v>341</v>
      </c>
      <c r="J1358" s="4" t="n">
        <v>51</v>
      </c>
      <c r="K1358" s="4" t="n">
        <v>45</v>
      </c>
      <c r="L1358" s="4" t="n">
        <f aca="false">IF(O1358="Delivered",I1358-J1358+K1358,0)</f>
        <v>335</v>
      </c>
      <c r="M1358" s="0" t="n">
        <v>32</v>
      </c>
      <c r="N1358" s="0" t="n">
        <v>3.7</v>
      </c>
      <c r="O1358" s="3" t="s">
        <v>17</v>
      </c>
    </row>
    <row r="1359" customFormat="false" ht="15" hidden="false" customHeight="false" outlineLevel="0" collapsed="false">
      <c r="A1359" s="0" t="s">
        <v>495</v>
      </c>
      <c r="B1359" s="2" t="n">
        <v>45997</v>
      </c>
      <c r="C1359" s="0" t="str">
        <f aca="false">TEXT(B1359,"mmm")</f>
        <v>Dec</v>
      </c>
      <c r="D1359" s="0" t="str">
        <f aca="false">TEXT(B1359,"ddd")</f>
        <v>Sat</v>
      </c>
      <c r="E1359" s="3" t="s">
        <v>40</v>
      </c>
      <c r="F1359" s="3" t="s">
        <v>14</v>
      </c>
      <c r="G1359" s="3" t="s">
        <v>15</v>
      </c>
      <c r="H1359" s="3" t="s">
        <v>22</v>
      </c>
      <c r="I1359" s="4" t="n">
        <v>315</v>
      </c>
      <c r="J1359" s="4" t="n">
        <v>0</v>
      </c>
      <c r="K1359" s="4" t="n">
        <v>30</v>
      </c>
      <c r="L1359" s="4" t="n">
        <f aca="false">IF(O1359="Delivered",I1359-J1359+K1359,0)</f>
        <v>345</v>
      </c>
      <c r="M1359" s="0" t="n">
        <v>48</v>
      </c>
      <c r="N1359" s="0" t="n">
        <v>3.5</v>
      </c>
      <c r="O1359" s="3" t="s">
        <v>17</v>
      </c>
    </row>
    <row r="1360" customFormat="false" ht="15" hidden="false" customHeight="false" outlineLevel="0" collapsed="false">
      <c r="A1360" s="0" t="s">
        <v>703</v>
      </c>
      <c r="B1360" s="2" t="n">
        <v>45997</v>
      </c>
      <c r="C1360" s="0" t="str">
        <f aca="false">TEXT(B1360,"mmm")</f>
        <v>Dec</v>
      </c>
      <c r="D1360" s="0" t="str">
        <f aca="false">TEXT(B1360,"ddd")</f>
        <v>Sat</v>
      </c>
      <c r="E1360" s="3" t="s">
        <v>13</v>
      </c>
      <c r="F1360" s="3" t="s">
        <v>49</v>
      </c>
      <c r="G1360" s="3" t="s">
        <v>21</v>
      </c>
      <c r="H1360" s="3" t="s">
        <v>16</v>
      </c>
      <c r="I1360" s="4" t="n">
        <v>559</v>
      </c>
      <c r="J1360" s="4" t="n">
        <v>78</v>
      </c>
      <c r="K1360" s="4" t="n">
        <v>0</v>
      </c>
      <c r="L1360" s="4" t="n">
        <f aca="false">IF(O1360="Delivered",I1360-J1360+K1360,0)</f>
        <v>481</v>
      </c>
      <c r="M1360" s="0" t="n">
        <v>38</v>
      </c>
      <c r="N1360" s="0" t="n">
        <v>4.7</v>
      </c>
      <c r="O1360" s="3" t="s">
        <v>17</v>
      </c>
    </row>
    <row r="1361" customFormat="false" ht="15" hidden="false" customHeight="false" outlineLevel="0" collapsed="false">
      <c r="A1361" s="0" t="s">
        <v>897</v>
      </c>
      <c r="B1361" s="2" t="n">
        <v>45997</v>
      </c>
      <c r="C1361" s="0" t="str">
        <f aca="false">TEXT(B1361,"mmm")</f>
        <v>Dec</v>
      </c>
      <c r="D1361" s="0" t="str">
        <f aca="false">TEXT(B1361,"ddd")</f>
        <v>Sat</v>
      </c>
      <c r="E1361" s="3" t="s">
        <v>27</v>
      </c>
      <c r="F1361" s="3" t="s">
        <v>31</v>
      </c>
      <c r="G1361" s="3" t="s">
        <v>21</v>
      </c>
      <c r="H1361" s="3" t="s">
        <v>22</v>
      </c>
      <c r="I1361" s="4" t="n">
        <v>510</v>
      </c>
      <c r="J1361" s="4" t="n">
        <v>0</v>
      </c>
      <c r="K1361" s="4" t="n">
        <v>0</v>
      </c>
      <c r="L1361" s="4" t="n">
        <f aca="false">IF(O1361="Delivered",I1361-J1361+K1361,0)</f>
        <v>510</v>
      </c>
      <c r="M1361" s="0" t="n">
        <v>33</v>
      </c>
      <c r="N1361" s="0" t="n">
        <v>4.3</v>
      </c>
      <c r="O1361" s="3" t="s">
        <v>17</v>
      </c>
    </row>
    <row r="1362" customFormat="false" ht="15" hidden="false" customHeight="false" outlineLevel="0" collapsed="false">
      <c r="A1362" s="0" t="s">
        <v>915</v>
      </c>
      <c r="B1362" s="2" t="n">
        <v>45997</v>
      </c>
      <c r="C1362" s="0" t="str">
        <f aca="false">TEXT(B1362,"mmm")</f>
        <v>Dec</v>
      </c>
      <c r="D1362" s="0" t="str">
        <f aca="false">TEXT(B1362,"ddd")</f>
        <v>Sat</v>
      </c>
      <c r="E1362" s="3" t="s">
        <v>40</v>
      </c>
      <c r="F1362" s="3" t="s">
        <v>14</v>
      </c>
      <c r="G1362" s="3" t="s">
        <v>15</v>
      </c>
      <c r="H1362" s="3" t="s">
        <v>22</v>
      </c>
      <c r="I1362" s="4" t="n">
        <v>360</v>
      </c>
      <c r="J1362" s="4" t="n">
        <v>70</v>
      </c>
      <c r="K1362" s="4" t="n">
        <v>40</v>
      </c>
      <c r="L1362" s="4" t="n">
        <f aca="false">IF(O1362="Delivered",I1362-J1362+K1362,0)</f>
        <v>330</v>
      </c>
      <c r="M1362" s="0" t="n">
        <v>42</v>
      </c>
      <c r="N1362" s="0" t="n">
        <v>4.1</v>
      </c>
      <c r="O1362" s="3" t="s">
        <v>17</v>
      </c>
    </row>
    <row r="1363" customFormat="false" ht="15" hidden="false" customHeight="false" outlineLevel="0" collapsed="false">
      <c r="A1363" s="0" t="s">
        <v>1123</v>
      </c>
      <c r="B1363" s="2" t="n">
        <v>45997</v>
      </c>
      <c r="C1363" s="0" t="str">
        <f aca="false">TEXT(B1363,"mmm")</f>
        <v>Dec</v>
      </c>
      <c r="D1363" s="0" t="str">
        <f aca="false">TEXT(B1363,"ddd")</f>
        <v>Sat</v>
      </c>
      <c r="E1363" s="3" t="s">
        <v>27</v>
      </c>
      <c r="F1363" s="3" t="s">
        <v>31</v>
      </c>
      <c r="G1363" s="3" t="s">
        <v>15</v>
      </c>
      <c r="H1363" s="3" t="s">
        <v>54</v>
      </c>
      <c r="I1363" s="4" t="n">
        <v>451</v>
      </c>
      <c r="J1363" s="4" t="n">
        <v>94</v>
      </c>
      <c r="K1363" s="4" t="n">
        <v>20</v>
      </c>
      <c r="L1363" s="4" t="n">
        <f aca="false">IF(O1363="Delivered",I1363-J1363+K1363,0)</f>
        <v>377</v>
      </c>
      <c r="M1363" s="0" t="n">
        <v>29</v>
      </c>
      <c r="N1363" s="0" t="n">
        <v>4.1</v>
      </c>
      <c r="O1363" s="3" t="s">
        <v>17</v>
      </c>
    </row>
    <row r="1364" customFormat="false" ht="15" hidden="false" customHeight="false" outlineLevel="0" collapsed="false">
      <c r="A1364" s="0" t="s">
        <v>338</v>
      </c>
      <c r="B1364" s="2" t="n">
        <v>45998</v>
      </c>
      <c r="C1364" s="0" t="str">
        <f aca="false">TEXT(B1364,"mmm")</f>
        <v>Dec</v>
      </c>
      <c r="D1364" s="0" t="str">
        <f aca="false">TEXT(B1364,"ddd")</f>
        <v>Sun</v>
      </c>
      <c r="E1364" s="3" t="s">
        <v>40</v>
      </c>
      <c r="F1364" s="3" t="s">
        <v>25</v>
      </c>
      <c r="G1364" s="3" t="s">
        <v>21</v>
      </c>
      <c r="H1364" s="3" t="s">
        <v>16</v>
      </c>
      <c r="I1364" s="4" t="n">
        <v>432</v>
      </c>
      <c r="J1364" s="4" t="n">
        <v>0</v>
      </c>
      <c r="K1364" s="4" t="n">
        <v>30</v>
      </c>
      <c r="L1364" s="4" t="n">
        <f aca="false">IF(O1364="Delivered",I1364-J1364+K1364,0)</f>
        <v>462</v>
      </c>
      <c r="M1364" s="0" t="n">
        <v>54</v>
      </c>
      <c r="N1364" s="0" t="n">
        <v>4.9</v>
      </c>
      <c r="O1364" s="3" t="s">
        <v>17</v>
      </c>
    </row>
    <row r="1365" customFormat="false" ht="15" hidden="false" customHeight="false" outlineLevel="0" collapsed="false">
      <c r="A1365" s="0" t="s">
        <v>611</v>
      </c>
      <c r="B1365" s="2" t="n">
        <v>45998</v>
      </c>
      <c r="C1365" s="0" t="str">
        <f aca="false">TEXT(B1365,"mmm")</f>
        <v>Dec</v>
      </c>
      <c r="D1365" s="0" t="str">
        <f aca="false">TEXT(B1365,"ddd")</f>
        <v>Sun</v>
      </c>
      <c r="E1365" s="3" t="s">
        <v>51</v>
      </c>
      <c r="F1365" s="3" t="s">
        <v>31</v>
      </c>
      <c r="G1365" s="3" t="s">
        <v>21</v>
      </c>
      <c r="H1365" s="3" t="s">
        <v>34</v>
      </c>
      <c r="I1365" s="4" t="n">
        <v>557</v>
      </c>
      <c r="J1365" s="4" t="n">
        <v>0</v>
      </c>
      <c r="K1365" s="4" t="n">
        <v>0</v>
      </c>
      <c r="L1365" s="4" t="n">
        <f aca="false">IF(O1365="Delivered",I1365-J1365+K1365,0)</f>
        <v>557</v>
      </c>
      <c r="M1365" s="0" t="n">
        <v>23</v>
      </c>
      <c r="N1365" s="0" t="n">
        <v>4.8</v>
      </c>
      <c r="O1365" s="3" t="s">
        <v>17</v>
      </c>
    </row>
    <row r="1366" customFormat="false" ht="15" hidden="false" customHeight="false" outlineLevel="0" collapsed="false">
      <c r="A1366" s="0" t="s">
        <v>1135</v>
      </c>
      <c r="B1366" s="2" t="n">
        <v>45998</v>
      </c>
      <c r="C1366" s="0" t="str">
        <f aca="false">TEXT(B1366,"mmm")</f>
        <v>Dec</v>
      </c>
      <c r="D1366" s="0" t="str">
        <f aca="false">TEXT(B1366,"ddd")</f>
        <v>Sun</v>
      </c>
      <c r="E1366" s="3" t="s">
        <v>24</v>
      </c>
      <c r="F1366" s="3" t="s">
        <v>31</v>
      </c>
      <c r="G1366" s="3" t="s">
        <v>21</v>
      </c>
      <c r="H1366" s="3" t="s">
        <v>34</v>
      </c>
      <c r="I1366" s="4" t="n">
        <v>640</v>
      </c>
      <c r="J1366" s="4" t="n">
        <v>0</v>
      </c>
      <c r="K1366" s="4" t="n">
        <v>0</v>
      </c>
      <c r="L1366" s="4" t="n">
        <f aca="false">IF(O1366="Delivered",I1366-J1366+K1366,0)</f>
        <v>640</v>
      </c>
      <c r="M1366" s="0" t="n">
        <v>34</v>
      </c>
      <c r="N1366" s="0" t="n">
        <v>4.3</v>
      </c>
      <c r="O1366" s="3" t="s">
        <v>17</v>
      </c>
    </row>
    <row r="1367" customFormat="false" ht="15" hidden="false" customHeight="false" outlineLevel="0" collapsed="false">
      <c r="A1367" s="0" t="s">
        <v>1144</v>
      </c>
      <c r="B1367" s="2" t="n">
        <v>45998</v>
      </c>
      <c r="C1367" s="0" t="str">
        <f aca="false">TEXT(B1367,"mmm")</f>
        <v>Dec</v>
      </c>
      <c r="D1367" s="0" t="str">
        <f aca="false">TEXT(B1367,"ddd")</f>
        <v>Sun</v>
      </c>
      <c r="E1367" s="3" t="s">
        <v>45</v>
      </c>
      <c r="F1367" s="3" t="s">
        <v>25</v>
      </c>
      <c r="G1367" s="3" t="s">
        <v>21</v>
      </c>
      <c r="H1367" s="3" t="s">
        <v>36</v>
      </c>
      <c r="I1367" s="4" t="n">
        <v>437</v>
      </c>
      <c r="J1367" s="4" t="n">
        <v>0</v>
      </c>
      <c r="K1367" s="4" t="n">
        <v>20</v>
      </c>
      <c r="L1367" s="4" t="n">
        <f aca="false">IF(O1367="Delivered",I1367-J1367+K1367,0)</f>
        <v>457</v>
      </c>
      <c r="M1367" s="0" t="n">
        <v>25</v>
      </c>
      <c r="N1367" s="0" t="n">
        <v>4.9</v>
      </c>
      <c r="O1367" s="3" t="s">
        <v>17</v>
      </c>
    </row>
    <row r="1368" customFormat="false" ht="15" hidden="false" customHeight="false" outlineLevel="0" collapsed="false">
      <c r="A1368" s="0" t="s">
        <v>1158</v>
      </c>
      <c r="B1368" s="2" t="n">
        <v>45998</v>
      </c>
      <c r="C1368" s="0" t="str">
        <f aca="false">TEXT(B1368,"mmm")</f>
        <v>Dec</v>
      </c>
      <c r="D1368" s="0" t="str">
        <f aca="false">TEXT(B1368,"ddd")</f>
        <v>Sun</v>
      </c>
      <c r="E1368" s="3" t="s">
        <v>51</v>
      </c>
      <c r="F1368" s="3" t="s">
        <v>56</v>
      </c>
      <c r="G1368" s="3" t="s">
        <v>15</v>
      </c>
      <c r="H1368" s="3" t="s">
        <v>36</v>
      </c>
      <c r="I1368" s="4" t="n">
        <v>297</v>
      </c>
      <c r="J1368" s="4" t="n">
        <v>0</v>
      </c>
      <c r="K1368" s="4" t="n">
        <v>20</v>
      </c>
      <c r="L1368" s="4" t="n">
        <f aca="false">IF(O1368="Delivered",I1368-J1368+K1368,0)</f>
        <v>317</v>
      </c>
      <c r="M1368" s="0" t="n">
        <v>41</v>
      </c>
      <c r="N1368" s="0" t="n">
        <v>4.4</v>
      </c>
      <c r="O1368" s="3" t="s">
        <v>17</v>
      </c>
    </row>
    <row r="1369" customFormat="false" ht="15" hidden="false" customHeight="false" outlineLevel="0" collapsed="false">
      <c r="A1369" s="0" t="s">
        <v>1238</v>
      </c>
      <c r="B1369" s="2" t="n">
        <v>45998</v>
      </c>
      <c r="C1369" s="0" t="str">
        <f aca="false">TEXT(B1369,"mmm")</f>
        <v>Dec</v>
      </c>
      <c r="D1369" s="0" t="str">
        <f aca="false">TEXT(B1369,"ddd")</f>
        <v>Sun</v>
      </c>
      <c r="E1369" s="3" t="s">
        <v>40</v>
      </c>
      <c r="F1369" s="3" t="s">
        <v>28</v>
      </c>
      <c r="G1369" s="3" t="s">
        <v>15</v>
      </c>
      <c r="H1369" s="3" t="s">
        <v>36</v>
      </c>
      <c r="I1369" s="4" t="n">
        <v>346</v>
      </c>
      <c r="J1369" s="4" t="n">
        <v>70</v>
      </c>
      <c r="K1369" s="4" t="n">
        <v>40</v>
      </c>
      <c r="L1369" s="4" t="n">
        <f aca="false">IF(O1369="Delivered",I1369-J1369+K1369,0)</f>
        <v>316</v>
      </c>
      <c r="M1369" s="0" t="n">
        <v>36</v>
      </c>
      <c r="N1369" s="0" t="n">
        <v>5</v>
      </c>
      <c r="O1369" s="3" t="s">
        <v>17</v>
      </c>
    </row>
    <row r="1370" customFormat="false" ht="15" hidden="false" customHeight="false" outlineLevel="0" collapsed="false">
      <c r="A1370" s="0" t="s">
        <v>189</v>
      </c>
      <c r="B1370" s="2" t="n">
        <v>45999</v>
      </c>
      <c r="C1370" s="0" t="str">
        <f aca="false">TEXT(B1370,"mmm")</f>
        <v>Dec</v>
      </c>
      <c r="D1370" s="0" t="str">
        <f aca="false">TEXT(B1370,"ddd")</f>
        <v>Mon</v>
      </c>
      <c r="E1370" s="3" t="s">
        <v>45</v>
      </c>
      <c r="F1370" s="3" t="s">
        <v>49</v>
      </c>
      <c r="G1370" s="3" t="s">
        <v>21</v>
      </c>
      <c r="H1370" s="3" t="s">
        <v>34</v>
      </c>
      <c r="I1370" s="4" t="n">
        <v>595</v>
      </c>
      <c r="J1370" s="4" t="n">
        <v>77</v>
      </c>
      <c r="K1370" s="4" t="n">
        <v>0</v>
      </c>
      <c r="L1370" s="4" t="n">
        <f aca="false">IF(O1370="Delivered",I1370-J1370+K1370,0)</f>
        <v>518</v>
      </c>
      <c r="M1370" s="0" t="n">
        <v>30</v>
      </c>
      <c r="N1370" s="0" t="n">
        <v>4.2</v>
      </c>
      <c r="O1370" s="3" t="s">
        <v>17</v>
      </c>
    </row>
    <row r="1371" customFormat="false" ht="15" hidden="false" customHeight="false" outlineLevel="0" collapsed="false">
      <c r="A1371" s="0" t="s">
        <v>297</v>
      </c>
      <c r="B1371" s="2" t="n">
        <v>45999</v>
      </c>
      <c r="C1371" s="0" t="str">
        <f aca="false">TEXT(B1371,"mmm")</f>
        <v>Dec</v>
      </c>
      <c r="D1371" s="0" t="str">
        <f aca="false">TEXT(B1371,"ddd")</f>
        <v>Mon</v>
      </c>
      <c r="E1371" s="3" t="s">
        <v>40</v>
      </c>
      <c r="F1371" s="3" t="s">
        <v>14</v>
      </c>
      <c r="G1371" s="3" t="s">
        <v>15</v>
      </c>
      <c r="H1371" s="3" t="s">
        <v>22</v>
      </c>
      <c r="I1371" s="4" t="n">
        <v>394</v>
      </c>
      <c r="J1371" s="4" t="n">
        <v>41</v>
      </c>
      <c r="K1371" s="4" t="n">
        <v>20</v>
      </c>
      <c r="L1371" s="4" t="n">
        <f aca="false">IF(O1371="Delivered",I1371-J1371+K1371,0)</f>
        <v>373</v>
      </c>
      <c r="M1371" s="0" t="n">
        <v>29</v>
      </c>
      <c r="N1371" s="0" t="n">
        <v>4.8</v>
      </c>
      <c r="O1371" s="3" t="s">
        <v>17</v>
      </c>
    </row>
    <row r="1372" customFormat="false" ht="15" hidden="false" customHeight="false" outlineLevel="0" collapsed="false">
      <c r="A1372" s="0" t="s">
        <v>370</v>
      </c>
      <c r="B1372" s="2" t="n">
        <v>45999</v>
      </c>
      <c r="C1372" s="0" t="str">
        <f aca="false">TEXT(B1372,"mmm")</f>
        <v>Dec</v>
      </c>
      <c r="D1372" s="0" t="str">
        <f aca="false">TEXT(B1372,"ddd")</f>
        <v>Mon</v>
      </c>
      <c r="E1372" s="3" t="s">
        <v>24</v>
      </c>
      <c r="F1372" s="3" t="s">
        <v>20</v>
      </c>
      <c r="G1372" s="3" t="s">
        <v>15</v>
      </c>
      <c r="H1372" s="3" t="s">
        <v>54</v>
      </c>
      <c r="I1372" s="4" t="n">
        <v>448</v>
      </c>
      <c r="J1372" s="4" t="n">
        <v>0</v>
      </c>
      <c r="K1372" s="4" t="n">
        <v>30</v>
      </c>
      <c r="L1372" s="4" t="n">
        <f aca="false">IF(O1372="Delivered",I1372-J1372+K1372,0)</f>
        <v>478</v>
      </c>
      <c r="M1372" s="0" t="n">
        <v>34</v>
      </c>
      <c r="N1372" s="0" t="n">
        <v>4</v>
      </c>
      <c r="O1372" s="3" t="s">
        <v>17</v>
      </c>
    </row>
    <row r="1373" customFormat="false" ht="15" hidden="false" customHeight="false" outlineLevel="0" collapsed="false">
      <c r="A1373" s="0" t="s">
        <v>752</v>
      </c>
      <c r="B1373" s="2" t="n">
        <v>45999</v>
      </c>
      <c r="C1373" s="0" t="str">
        <f aca="false">TEXT(B1373,"mmm")</f>
        <v>Dec</v>
      </c>
      <c r="D1373" s="0" t="str">
        <f aca="false">TEXT(B1373,"ddd")</f>
        <v>Mon</v>
      </c>
      <c r="E1373" s="3" t="s">
        <v>24</v>
      </c>
      <c r="F1373" s="3" t="s">
        <v>31</v>
      </c>
      <c r="G1373" s="3" t="s">
        <v>15</v>
      </c>
      <c r="H1373" s="3" t="s">
        <v>36</v>
      </c>
      <c r="I1373" s="4" t="n">
        <v>301</v>
      </c>
      <c r="J1373" s="4" t="n">
        <v>0</v>
      </c>
      <c r="K1373" s="4" t="n">
        <v>20</v>
      </c>
      <c r="L1373" s="4" t="n">
        <f aca="false">IF(O1373="Delivered",I1373-J1373+K1373,0)</f>
        <v>321</v>
      </c>
      <c r="M1373" s="0" t="n">
        <v>33</v>
      </c>
      <c r="N1373" s="0" t="n">
        <v>4.5</v>
      </c>
      <c r="O1373" s="3" t="s">
        <v>17</v>
      </c>
    </row>
    <row r="1374" customFormat="false" ht="15" hidden="false" customHeight="false" outlineLevel="0" collapsed="false">
      <c r="A1374" s="0" t="s">
        <v>1480</v>
      </c>
      <c r="B1374" s="2" t="n">
        <v>45999</v>
      </c>
      <c r="C1374" s="0" t="str">
        <f aca="false">TEXT(B1374,"mmm")</f>
        <v>Dec</v>
      </c>
      <c r="D1374" s="0" t="str">
        <f aca="false">TEXT(B1374,"ddd")</f>
        <v>Mon</v>
      </c>
      <c r="E1374" s="3" t="s">
        <v>45</v>
      </c>
      <c r="F1374" s="3" t="s">
        <v>14</v>
      </c>
      <c r="G1374" s="3" t="s">
        <v>15</v>
      </c>
      <c r="H1374" s="3" t="s">
        <v>22</v>
      </c>
      <c r="I1374" s="4" t="n">
        <v>291</v>
      </c>
      <c r="J1374" s="4" t="n">
        <v>44</v>
      </c>
      <c r="K1374" s="4" t="n">
        <v>30</v>
      </c>
      <c r="L1374" s="4" t="n">
        <f aca="false">IF(O1374="Delivered",I1374-J1374+K1374,0)</f>
        <v>277</v>
      </c>
      <c r="M1374" s="0" t="n">
        <v>42</v>
      </c>
      <c r="N1374" s="0" t="n">
        <v>3.9</v>
      </c>
      <c r="O1374" s="3" t="s">
        <v>17</v>
      </c>
    </row>
    <row r="1375" customFormat="false" ht="15" hidden="false" customHeight="false" outlineLevel="0" collapsed="false">
      <c r="A1375" s="0" t="s">
        <v>41</v>
      </c>
      <c r="B1375" s="2" t="n">
        <v>46000</v>
      </c>
      <c r="C1375" s="0" t="str">
        <f aca="false">TEXT(B1375,"mmm")</f>
        <v>Dec</v>
      </c>
      <c r="D1375" s="0" t="str">
        <f aca="false">TEXT(B1375,"ddd")</f>
        <v>Tue</v>
      </c>
      <c r="E1375" s="3" t="s">
        <v>40</v>
      </c>
      <c r="F1375" s="3" t="s">
        <v>14</v>
      </c>
      <c r="G1375" s="3" t="s">
        <v>21</v>
      </c>
      <c r="H1375" s="3" t="s">
        <v>36</v>
      </c>
      <c r="I1375" s="4" t="n">
        <v>421</v>
      </c>
      <c r="J1375" s="4" t="n">
        <v>98</v>
      </c>
      <c r="K1375" s="4" t="n">
        <v>45</v>
      </c>
      <c r="L1375" s="4" t="n">
        <f aca="false">IF(O1375="Delivered",I1375-J1375+K1375,0)</f>
        <v>368</v>
      </c>
      <c r="M1375" s="0" t="n">
        <v>46</v>
      </c>
      <c r="N1375" s="0" t="n">
        <v>3.3</v>
      </c>
      <c r="O1375" s="3" t="s">
        <v>17</v>
      </c>
    </row>
    <row r="1376" customFormat="false" ht="15" hidden="false" customHeight="false" outlineLevel="0" collapsed="false">
      <c r="A1376" s="0" t="s">
        <v>288</v>
      </c>
      <c r="B1376" s="2" t="n">
        <v>46000</v>
      </c>
      <c r="C1376" s="0" t="str">
        <f aca="false">TEXT(B1376,"mmm")</f>
        <v>Dec</v>
      </c>
      <c r="D1376" s="0" t="str">
        <f aca="false">TEXT(B1376,"ddd")</f>
        <v>Tue</v>
      </c>
      <c r="E1376" s="3" t="s">
        <v>13</v>
      </c>
      <c r="F1376" s="3" t="s">
        <v>25</v>
      </c>
      <c r="G1376" s="3" t="s">
        <v>21</v>
      </c>
      <c r="H1376" s="3" t="s">
        <v>22</v>
      </c>
      <c r="I1376" s="4" t="n">
        <v>348</v>
      </c>
      <c r="J1376" s="4" t="n">
        <v>77</v>
      </c>
      <c r="K1376" s="4" t="n">
        <v>20</v>
      </c>
      <c r="L1376" s="4" t="n">
        <f aca="false">IF(O1376="Delivered",I1376-J1376+K1376,0)</f>
        <v>291</v>
      </c>
      <c r="M1376" s="0" t="n">
        <v>19</v>
      </c>
      <c r="N1376" s="0" t="n">
        <v>5</v>
      </c>
      <c r="O1376" s="3" t="s">
        <v>17</v>
      </c>
    </row>
    <row r="1377" customFormat="false" ht="15" hidden="false" customHeight="false" outlineLevel="0" collapsed="false">
      <c r="A1377" s="0" t="s">
        <v>525</v>
      </c>
      <c r="B1377" s="2" t="n">
        <v>46000</v>
      </c>
      <c r="C1377" s="0" t="str">
        <f aca="false">TEXT(B1377,"mmm")</f>
        <v>Dec</v>
      </c>
      <c r="D1377" s="0" t="str">
        <f aca="false">TEXT(B1377,"ddd")</f>
        <v>Tue</v>
      </c>
      <c r="E1377" s="3" t="s">
        <v>13</v>
      </c>
      <c r="F1377" s="3" t="s">
        <v>20</v>
      </c>
      <c r="G1377" s="3" t="s">
        <v>21</v>
      </c>
      <c r="H1377" s="3" t="s">
        <v>22</v>
      </c>
      <c r="I1377" s="4" t="n">
        <v>712</v>
      </c>
      <c r="J1377" s="4" t="n">
        <v>0</v>
      </c>
      <c r="K1377" s="4" t="n">
        <v>0</v>
      </c>
      <c r="L1377" s="4" t="n">
        <f aca="false">IF(O1377="Delivered",I1377-J1377+K1377,0)</f>
        <v>712</v>
      </c>
      <c r="M1377" s="0" t="n">
        <v>32</v>
      </c>
      <c r="N1377" s="0" t="n">
        <v>4.6</v>
      </c>
      <c r="O1377" s="3" t="s">
        <v>17</v>
      </c>
    </row>
    <row r="1378" customFormat="false" ht="15" hidden="false" customHeight="false" outlineLevel="0" collapsed="false">
      <c r="A1378" s="0" t="s">
        <v>710</v>
      </c>
      <c r="B1378" s="2" t="n">
        <v>46000</v>
      </c>
      <c r="C1378" s="0" t="str">
        <f aca="false">TEXT(B1378,"mmm")</f>
        <v>Dec</v>
      </c>
      <c r="D1378" s="0" t="str">
        <f aca="false">TEXT(B1378,"ddd")</f>
        <v>Tue</v>
      </c>
      <c r="E1378" s="3" t="s">
        <v>24</v>
      </c>
      <c r="F1378" s="3" t="s">
        <v>14</v>
      </c>
      <c r="G1378" s="3" t="s">
        <v>21</v>
      </c>
      <c r="H1378" s="3" t="s">
        <v>22</v>
      </c>
      <c r="I1378" s="4" t="n">
        <v>247</v>
      </c>
      <c r="J1378" s="4" t="n">
        <v>0</v>
      </c>
      <c r="K1378" s="4" t="n">
        <v>20</v>
      </c>
      <c r="L1378" s="4" t="n">
        <f aca="false">IF(O1378="Delivered",I1378-J1378+K1378,0)</f>
        <v>267</v>
      </c>
      <c r="M1378" s="0" t="n">
        <v>43</v>
      </c>
      <c r="N1378" s="0" t="n">
        <v>4.6</v>
      </c>
      <c r="O1378" s="3" t="s">
        <v>17</v>
      </c>
    </row>
    <row r="1379" customFormat="false" ht="15" hidden="false" customHeight="false" outlineLevel="0" collapsed="false">
      <c r="A1379" s="0" t="s">
        <v>1453</v>
      </c>
      <c r="B1379" s="2" t="n">
        <v>46000</v>
      </c>
      <c r="C1379" s="0" t="str">
        <f aca="false">TEXT(B1379,"mmm")</f>
        <v>Dec</v>
      </c>
      <c r="D1379" s="0" t="str">
        <f aca="false">TEXT(B1379,"ddd")</f>
        <v>Tue</v>
      </c>
      <c r="E1379" s="3" t="s">
        <v>24</v>
      </c>
      <c r="F1379" s="3" t="s">
        <v>49</v>
      </c>
      <c r="G1379" s="3" t="s">
        <v>15</v>
      </c>
      <c r="H1379" s="3" t="s">
        <v>54</v>
      </c>
      <c r="I1379" s="4" t="n">
        <v>362</v>
      </c>
      <c r="J1379" s="4" t="n">
        <v>0</v>
      </c>
      <c r="K1379" s="4" t="n">
        <v>40</v>
      </c>
      <c r="L1379" s="4" t="n">
        <f aca="false">IF(O1379="Delivered",I1379-J1379+K1379,0)</f>
        <v>402</v>
      </c>
      <c r="M1379" s="0" t="n">
        <v>29</v>
      </c>
      <c r="N1379" s="0" t="n">
        <v>4.3</v>
      </c>
      <c r="O1379" s="3" t="s">
        <v>17</v>
      </c>
    </row>
    <row r="1380" customFormat="false" ht="15" hidden="false" customHeight="false" outlineLevel="0" collapsed="false">
      <c r="A1380" s="0" t="s">
        <v>1474</v>
      </c>
      <c r="B1380" s="2" t="n">
        <v>46000</v>
      </c>
      <c r="C1380" s="0" t="str">
        <f aca="false">TEXT(B1380,"mmm")</f>
        <v>Dec</v>
      </c>
      <c r="D1380" s="0" t="str">
        <f aca="false">TEXT(B1380,"ddd")</f>
        <v>Tue</v>
      </c>
      <c r="E1380" s="3" t="s">
        <v>24</v>
      </c>
      <c r="F1380" s="3" t="s">
        <v>31</v>
      </c>
      <c r="G1380" s="3" t="s">
        <v>21</v>
      </c>
      <c r="H1380" s="3" t="s">
        <v>16</v>
      </c>
      <c r="I1380" s="4" t="n">
        <v>479</v>
      </c>
      <c r="J1380" s="4" t="n">
        <v>0</v>
      </c>
      <c r="K1380" s="4" t="n">
        <v>30</v>
      </c>
      <c r="L1380" s="4" t="n">
        <f aca="false">IF(O1380="Delivered",I1380-J1380+K1380,0)</f>
        <v>509</v>
      </c>
      <c r="M1380" s="0" t="n">
        <v>29</v>
      </c>
      <c r="N1380" s="0" t="n">
        <v>4.2</v>
      </c>
      <c r="O1380" s="3" t="s">
        <v>17</v>
      </c>
    </row>
    <row r="1381" customFormat="false" ht="15" hidden="false" customHeight="false" outlineLevel="0" collapsed="false">
      <c r="A1381" s="0" t="s">
        <v>448</v>
      </c>
      <c r="B1381" s="2" t="n">
        <v>46001</v>
      </c>
      <c r="C1381" s="0" t="str">
        <f aca="false">TEXT(B1381,"mmm")</f>
        <v>Dec</v>
      </c>
      <c r="D1381" s="0" t="str">
        <f aca="false">TEXT(B1381,"ddd")</f>
        <v>Wed</v>
      </c>
      <c r="E1381" s="3" t="s">
        <v>27</v>
      </c>
      <c r="F1381" s="3" t="s">
        <v>25</v>
      </c>
      <c r="G1381" s="3" t="s">
        <v>21</v>
      </c>
      <c r="H1381" s="3" t="s">
        <v>22</v>
      </c>
      <c r="I1381" s="4" t="n">
        <v>315</v>
      </c>
      <c r="J1381" s="4" t="n">
        <v>0</v>
      </c>
      <c r="K1381" s="4" t="n">
        <v>40</v>
      </c>
      <c r="L1381" s="4" t="n">
        <f aca="false">IF(O1381="Delivered",I1381-J1381+K1381,0)</f>
        <v>355</v>
      </c>
      <c r="M1381" s="0" t="n">
        <v>43</v>
      </c>
      <c r="N1381" s="0" t="n">
        <v>3.6</v>
      </c>
      <c r="O1381" s="3" t="s">
        <v>17</v>
      </c>
    </row>
    <row r="1382" customFormat="false" ht="15" hidden="false" customHeight="false" outlineLevel="0" collapsed="false">
      <c r="A1382" s="0" t="s">
        <v>889</v>
      </c>
      <c r="B1382" s="2" t="n">
        <v>46001</v>
      </c>
      <c r="C1382" s="0" t="str">
        <f aca="false">TEXT(B1382,"mmm")</f>
        <v>Dec</v>
      </c>
      <c r="D1382" s="0" t="str">
        <f aca="false">TEXT(B1382,"ddd")</f>
        <v>Wed</v>
      </c>
      <c r="E1382" s="3" t="s">
        <v>30</v>
      </c>
      <c r="F1382" s="3" t="s">
        <v>25</v>
      </c>
      <c r="G1382" s="3" t="s">
        <v>21</v>
      </c>
      <c r="H1382" s="3" t="s">
        <v>54</v>
      </c>
      <c r="I1382" s="4" t="n">
        <v>380</v>
      </c>
      <c r="J1382" s="4" t="n">
        <v>90</v>
      </c>
      <c r="K1382" s="4" t="n">
        <v>40</v>
      </c>
      <c r="L1382" s="4" t="n">
        <f aca="false">IF(O1382="Delivered",I1382-J1382+K1382,0)</f>
        <v>0</v>
      </c>
      <c r="O1382" s="3" t="s">
        <v>68</v>
      </c>
    </row>
    <row r="1383" customFormat="false" ht="15" hidden="false" customHeight="false" outlineLevel="0" collapsed="false">
      <c r="A1383" s="0" t="s">
        <v>1417</v>
      </c>
      <c r="B1383" s="2" t="n">
        <v>46001</v>
      </c>
      <c r="C1383" s="0" t="str">
        <f aca="false">TEXT(B1383,"mmm")</f>
        <v>Dec</v>
      </c>
      <c r="D1383" s="0" t="str">
        <f aca="false">TEXT(B1383,"ddd")</f>
        <v>Wed</v>
      </c>
      <c r="E1383" s="3" t="s">
        <v>40</v>
      </c>
      <c r="F1383" s="3" t="s">
        <v>14</v>
      </c>
      <c r="G1383" s="3" t="s">
        <v>21</v>
      </c>
      <c r="H1383" s="3" t="s">
        <v>34</v>
      </c>
      <c r="I1383" s="4" t="n">
        <v>403</v>
      </c>
      <c r="J1383" s="4" t="n">
        <v>0</v>
      </c>
      <c r="K1383" s="4" t="n">
        <v>45</v>
      </c>
      <c r="L1383" s="4" t="n">
        <f aca="false">IF(O1383="Delivered",I1383-J1383+K1383,0)</f>
        <v>448</v>
      </c>
      <c r="M1383" s="0" t="n">
        <v>40</v>
      </c>
      <c r="N1383" s="0" t="n">
        <v>4.2</v>
      </c>
      <c r="O1383" s="3" t="s">
        <v>17</v>
      </c>
    </row>
    <row r="1384" customFormat="false" ht="15" hidden="false" customHeight="false" outlineLevel="0" collapsed="false">
      <c r="A1384" s="0" t="s">
        <v>1611</v>
      </c>
      <c r="B1384" s="2" t="n">
        <v>46001</v>
      </c>
      <c r="C1384" s="0" t="str">
        <f aca="false">TEXT(B1384,"mmm")</f>
        <v>Dec</v>
      </c>
      <c r="D1384" s="0" t="str">
        <f aca="false">TEXT(B1384,"ddd")</f>
        <v>Wed</v>
      </c>
      <c r="E1384" s="3" t="s">
        <v>27</v>
      </c>
      <c r="F1384" s="3" t="s">
        <v>25</v>
      </c>
      <c r="G1384" s="3" t="s">
        <v>21</v>
      </c>
      <c r="H1384" s="3" t="s">
        <v>36</v>
      </c>
      <c r="I1384" s="4" t="n">
        <v>448</v>
      </c>
      <c r="J1384" s="4" t="n">
        <v>111</v>
      </c>
      <c r="K1384" s="4" t="n">
        <v>20</v>
      </c>
      <c r="L1384" s="4" t="n">
        <f aca="false">IF(O1384="Delivered",I1384-J1384+K1384,0)</f>
        <v>357</v>
      </c>
      <c r="M1384" s="0" t="n">
        <v>40</v>
      </c>
      <c r="N1384" s="0" t="n">
        <v>3.5</v>
      </c>
      <c r="O1384" s="3" t="s">
        <v>17</v>
      </c>
    </row>
    <row r="1385" customFormat="false" ht="15" hidden="false" customHeight="false" outlineLevel="0" collapsed="false">
      <c r="A1385" s="0" t="s">
        <v>306</v>
      </c>
      <c r="B1385" s="2" t="n">
        <v>46002</v>
      </c>
      <c r="C1385" s="0" t="str">
        <f aca="false">TEXT(B1385,"mmm")</f>
        <v>Dec</v>
      </c>
      <c r="D1385" s="0" t="str">
        <f aca="false">TEXT(B1385,"ddd")</f>
        <v>Thu</v>
      </c>
      <c r="E1385" s="3" t="s">
        <v>45</v>
      </c>
      <c r="F1385" s="3" t="s">
        <v>31</v>
      </c>
      <c r="G1385" s="3" t="s">
        <v>21</v>
      </c>
      <c r="H1385" s="3" t="s">
        <v>22</v>
      </c>
      <c r="I1385" s="4" t="n">
        <v>559</v>
      </c>
      <c r="J1385" s="4" t="n">
        <v>0</v>
      </c>
      <c r="K1385" s="4" t="n">
        <v>0</v>
      </c>
      <c r="L1385" s="4" t="n">
        <f aca="false">IF(O1385="Delivered",I1385-J1385+K1385,0)</f>
        <v>559</v>
      </c>
      <c r="M1385" s="0" t="n">
        <v>29</v>
      </c>
      <c r="N1385" s="0" t="n">
        <v>4.8</v>
      </c>
      <c r="O1385" s="3" t="s">
        <v>17</v>
      </c>
    </row>
    <row r="1386" customFormat="false" ht="15" hidden="false" customHeight="false" outlineLevel="0" collapsed="false">
      <c r="A1386" s="0" t="s">
        <v>1270</v>
      </c>
      <c r="B1386" s="2" t="n">
        <v>46002</v>
      </c>
      <c r="C1386" s="0" t="str">
        <f aca="false">TEXT(B1386,"mmm")</f>
        <v>Dec</v>
      </c>
      <c r="D1386" s="0" t="str">
        <f aca="false">TEXT(B1386,"ddd")</f>
        <v>Thu</v>
      </c>
      <c r="E1386" s="3" t="s">
        <v>30</v>
      </c>
      <c r="F1386" s="3" t="s">
        <v>56</v>
      </c>
      <c r="G1386" s="3" t="s">
        <v>21</v>
      </c>
      <c r="H1386" s="3" t="s">
        <v>16</v>
      </c>
      <c r="I1386" s="4" t="n">
        <v>249</v>
      </c>
      <c r="J1386" s="4" t="n">
        <v>48</v>
      </c>
      <c r="K1386" s="4" t="n">
        <v>45</v>
      </c>
      <c r="L1386" s="4" t="n">
        <f aca="false">IF(O1386="Delivered",I1386-J1386+K1386,0)</f>
        <v>246</v>
      </c>
      <c r="M1386" s="0" t="n">
        <v>39</v>
      </c>
      <c r="O1386" s="3" t="s">
        <v>17</v>
      </c>
    </row>
    <row r="1387" customFormat="false" ht="15" hidden="false" customHeight="false" outlineLevel="0" collapsed="false">
      <c r="A1387" s="0" t="s">
        <v>1454</v>
      </c>
      <c r="B1387" s="2" t="n">
        <v>46002</v>
      </c>
      <c r="C1387" s="0" t="str">
        <f aca="false">TEXT(B1387,"mmm")</f>
        <v>Dec</v>
      </c>
      <c r="D1387" s="0" t="str">
        <f aca="false">TEXT(B1387,"ddd")</f>
        <v>Thu</v>
      </c>
      <c r="E1387" s="3" t="s">
        <v>13</v>
      </c>
      <c r="F1387" s="3" t="s">
        <v>31</v>
      </c>
      <c r="G1387" s="3" t="s">
        <v>21</v>
      </c>
      <c r="H1387" s="3" t="s">
        <v>54</v>
      </c>
      <c r="I1387" s="4" t="n">
        <v>551</v>
      </c>
      <c r="J1387" s="4" t="n">
        <v>0</v>
      </c>
      <c r="K1387" s="4" t="n">
        <v>0</v>
      </c>
      <c r="L1387" s="4" t="n">
        <f aca="false">IF(O1387="Delivered",I1387-J1387+K1387,0)</f>
        <v>551</v>
      </c>
      <c r="M1387" s="0" t="n">
        <v>33</v>
      </c>
      <c r="N1387" s="0" t="n">
        <v>4.7</v>
      </c>
      <c r="O1387" s="3" t="s">
        <v>17</v>
      </c>
    </row>
    <row r="1388" customFormat="false" ht="15" hidden="false" customHeight="false" outlineLevel="0" collapsed="false">
      <c r="A1388" s="0" t="s">
        <v>201</v>
      </c>
      <c r="B1388" s="2" t="n">
        <v>46003</v>
      </c>
      <c r="C1388" s="0" t="str">
        <f aca="false">TEXT(B1388,"mmm")</f>
        <v>Dec</v>
      </c>
      <c r="D1388" s="0" t="str">
        <f aca="false">TEXT(B1388,"ddd")</f>
        <v>Fri</v>
      </c>
      <c r="E1388" s="3" t="s">
        <v>27</v>
      </c>
      <c r="F1388" s="3" t="s">
        <v>78</v>
      </c>
      <c r="G1388" s="3" t="s">
        <v>21</v>
      </c>
      <c r="H1388" s="3" t="s">
        <v>22</v>
      </c>
      <c r="I1388" s="4" t="n">
        <v>246</v>
      </c>
      <c r="J1388" s="4" t="n">
        <v>51</v>
      </c>
      <c r="K1388" s="4" t="n">
        <v>40</v>
      </c>
      <c r="L1388" s="4" t="n">
        <f aca="false">IF(O1388="Delivered",I1388-J1388+K1388,0)</f>
        <v>235</v>
      </c>
      <c r="M1388" s="0" t="n">
        <v>44</v>
      </c>
      <c r="N1388" s="0" t="n">
        <v>4</v>
      </c>
      <c r="O1388" s="3" t="s">
        <v>17</v>
      </c>
    </row>
    <row r="1389" customFormat="false" ht="15" hidden="false" customHeight="false" outlineLevel="0" collapsed="false">
      <c r="A1389" s="0" t="s">
        <v>238</v>
      </c>
      <c r="B1389" s="2" t="n">
        <v>46003</v>
      </c>
      <c r="C1389" s="0" t="str">
        <f aca="false">TEXT(B1389,"mmm")</f>
        <v>Dec</v>
      </c>
      <c r="D1389" s="0" t="str">
        <f aca="false">TEXT(B1389,"ddd")</f>
        <v>Fri</v>
      </c>
      <c r="E1389" s="3" t="s">
        <v>40</v>
      </c>
      <c r="F1389" s="3" t="s">
        <v>78</v>
      </c>
      <c r="G1389" s="3" t="s">
        <v>15</v>
      </c>
      <c r="H1389" s="3" t="s">
        <v>16</v>
      </c>
      <c r="I1389" s="4" t="n">
        <v>310</v>
      </c>
      <c r="J1389" s="4" t="n">
        <v>37</v>
      </c>
      <c r="K1389" s="4" t="n">
        <v>45</v>
      </c>
      <c r="L1389" s="4" t="n">
        <f aca="false">IF(O1389="Delivered",I1389-J1389+K1389,0)</f>
        <v>318</v>
      </c>
      <c r="M1389" s="0" t="n">
        <v>26</v>
      </c>
      <c r="N1389" s="0" t="n">
        <v>5</v>
      </c>
      <c r="O1389" s="3" t="s">
        <v>17</v>
      </c>
    </row>
    <row r="1390" customFormat="false" ht="15" hidden="false" customHeight="false" outlineLevel="0" collapsed="false">
      <c r="A1390" s="0" t="s">
        <v>257</v>
      </c>
      <c r="B1390" s="2" t="n">
        <v>46003</v>
      </c>
      <c r="C1390" s="0" t="str">
        <f aca="false">TEXT(B1390,"mmm")</f>
        <v>Dec</v>
      </c>
      <c r="D1390" s="0" t="str">
        <f aca="false">TEXT(B1390,"ddd")</f>
        <v>Fri</v>
      </c>
      <c r="E1390" s="3" t="s">
        <v>30</v>
      </c>
      <c r="F1390" s="3" t="s">
        <v>31</v>
      </c>
      <c r="G1390" s="3" t="s">
        <v>21</v>
      </c>
      <c r="H1390" s="3" t="s">
        <v>36</v>
      </c>
      <c r="I1390" s="4" t="n">
        <v>638</v>
      </c>
      <c r="J1390" s="4" t="n">
        <v>0</v>
      </c>
      <c r="K1390" s="4" t="n">
        <v>0</v>
      </c>
      <c r="L1390" s="4" t="n">
        <f aca="false">IF(O1390="Delivered",I1390-J1390+K1390,0)</f>
        <v>638</v>
      </c>
      <c r="M1390" s="0" t="n">
        <v>25</v>
      </c>
      <c r="N1390" s="0" t="n">
        <v>4.4</v>
      </c>
      <c r="O1390" s="3" t="s">
        <v>17</v>
      </c>
    </row>
    <row r="1391" customFormat="false" ht="15" hidden="false" customHeight="false" outlineLevel="0" collapsed="false">
      <c r="A1391" s="0" t="s">
        <v>425</v>
      </c>
      <c r="B1391" s="2" t="n">
        <v>46003</v>
      </c>
      <c r="C1391" s="0" t="str">
        <f aca="false">TEXT(B1391,"mmm")</f>
        <v>Dec</v>
      </c>
      <c r="D1391" s="0" t="str">
        <f aca="false">TEXT(B1391,"ddd")</f>
        <v>Fri</v>
      </c>
      <c r="E1391" s="3" t="s">
        <v>13</v>
      </c>
      <c r="F1391" s="3" t="s">
        <v>56</v>
      </c>
      <c r="G1391" s="3" t="s">
        <v>15</v>
      </c>
      <c r="H1391" s="3" t="s">
        <v>36</v>
      </c>
      <c r="I1391" s="4" t="n">
        <v>462</v>
      </c>
      <c r="J1391" s="4" t="n">
        <v>61</v>
      </c>
      <c r="K1391" s="4" t="n">
        <v>40</v>
      </c>
      <c r="L1391" s="4" t="n">
        <f aca="false">IF(O1391="Delivered",I1391-J1391+K1391,0)</f>
        <v>441</v>
      </c>
      <c r="M1391" s="0" t="n">
        <v>44</v>
      </c>
      <c r="N1391" s="0" t="n">
        <v>3.8</v>
      </c>
      <c r="O1391" s="3" t="s">
        <v>17</v>
      </c>
    </row>
    <row r="1392" customFormat="false" ht="15" hidden="false" customHeight="false" outlineLevel="0" collapsed="false">
      <c r="A1392" s="0" t="s">
        <v>466</v>
      </c>
      <c r="B1392" s="2" t="n">
        <v>46003</v>
      </c>
      <c r="C1392" s="0" t="str">
        <f aca="false">TEXT(B1392,"mmm")</f>
        <v>Dec</v>
      </c>
      <c r="D1392" s="0" t="str">
        <f aca="false">TEXT(B1392,"ddd")</f>
        <v>Fri</v>
      </c>
      <c r="E1392" s="3" t="s">
        <v>24</v>
      </c>
      <c r="F1392" s="3" t="s">
        <v>31</v>
      </c>
      <c r="G1392" s="3" t="s">
        <v>15</v>
      </c>
      <c r="H1392" s="3" t="s">
        <v>22</v>
      </c>
      <c r="I1392" s="4" t="n">
        <v>590</v>
      </c>
      <c r="J1392" s="4" t="n">
        <v>78</v>
      </c>
      <c r="K1392" s="4" t="n">
        <v>0</v>
      </c>
      <c r="L1392" s="4" t="n">
        <f aca="false">IF(O1392="Delivered",I1392-J1392+K1392,0)</f>
        <v>512</v>
      </c>
      <c r="M1392" s="0" t="n">
        <v>36</v>
      </c>
      <c r="N1392" s="0" t="n">
        <v>4.6</v>
      </c>
      <c r="O1392" s="3" t="s">
        <v>17</v>
      </c>
    </row>
    <row r="1393" customFormat="false" ht="15" hidden="false" customHeight="false" outlineLevel="0" collapsed="false">
      <c r="A1393" s="0" t="s">
        <v>471</v>
      </c>
      <c r="B1393" s="2" t="n">
        <v>46003</v>
      </c>
      <c r="C1393" s="0" t="str">
        <f aca="false">TEXT(B1393,"mmm")</f>
        <v>Dec</v>
      </c>
      <c r="D1393" s="0" t="str">
        <f aca="false">TEXT(B1393,"ddd")</f>
        <v>Fri</v>
      </c>
      <c r="E1393" s="3" t="s">
        <v>13</v>
      </c>
      <c r="F1393" s="3" t="s">
        <v>14</v>
      </c>
      <c r="G1393" s="3" t="s">
        <v>21</v>
      </c>
      <c r="H1393" s="3" t="s">
        <v>54</v>
      </c>
      <c r="I1393" s="4" t="n">
        <v>258</v>
      </c>
      <c r="J1393" s="4" t="n">
        <v>46</v>
      </c>
      <c r="K1393" s="4" t="n">
        <v>40</v>
      </c>
      <c r="L1393" s="4" t="n">
        <f aca="false">IF(O1393="Delivered",I1393-J1393+K1393,0)</f>
        <v>252</v>
      </c>
      <c r="M1393" s="0" t="n">
        <v>34</v>
      </c>
      <c r="N1393" s="0" t="n">
        <v>5</v>
      </c>
      <c r="O1393" s="3" t="s">
        <v>17</v>
      </c>
    </row>
    <row r="1394" customFormat="false" ht="15" hidden="false" customHeight="false" outlineLevel="0" collapsed="false">
      <c r="A1394" s="0" t="s">
        <v>1024</v>
      </c>
      <c r="B1394" s="2" t="n">
        <v>46003</v>
      </c>
      <c r="C1394" s="0" t="str">
        <f aca="false">TEXT(B1394,"mmm")</f>
        <v>Dec</v>
      </c>
      <c r="D1394" s="0" t="str">
        <f aca="false">TEXT(B1394,"ddd")</f>
        <v>Fri</v>
      </c>
      <c r="E1394" s="3" t="s">
        <v>40</v>
      </c>
      <c r="F1394" s="3" t="s">
        <v>28</v>
      </c>
      <c r="G1394" s="3" t="s">
        <v>21</v>
      </c>
      <c r="H1394" s="3" t="s">
        <v>22</v>
      </c>
      <c r="I1394" s="4" t="n">
        <v>571</v>
      </c>
      <c r="J1394" s="4" t="n">
        <v>0</v>
      </c>
      <c r="K1394" s="4" t="n">
        <v>0</v>
      </c>
      <c r="L1394" s="4" t="n">
        <f aca="false">IF(O1394="Delivered",I1394-J1394+K1394,0)</f>
        <v>571</v>
      </c>
      <c r="M1394" s="0" t="n">
        <v>47</v>
      </c>
      <c r="N1394" s="0" t="n">
        <v>4.5</v>
      </c>
      <c r="O1394" s="3" t="s">
        <v>17</v>
      </c>
    </row>
    <row r="1395" customFormat="false" ht="15" hidden="false" customHeight="false" outlineLevel="0" collapsed="false">
      <c r="A1395" s="0" t="s">
        <v>1228</v>
      </c>
      <c r="B1395" s="2" t="n">
        <v>46003</v>
      </c>
      <c r="C1395" s="0" t="str">
        <f aca="false">TEXT(B1395,"mmm")</f>
        <v>Dec</v>
      </c>
      <c r="D1395" s="0" t="str">
        <f aca="false">TEXT(B1395,"ddd")</f>
        <v>Fri</v>
      </c>
      <c r="E1395" s="3" t="s">
        <v>30</v>
      </c>
      <c r="F1395" s="3" t="s">
        <v>31</v>
      </c>
      <c r="G1395" s="3" t="s">
        <v>21</v>
      </c>
      <c r="H1395" s="3" t="s">
        <v>16</v>
      </c>
      <c r="I1395" s="4" t="n">
        <v>604</v>
      </c>
      <c r="J1395" s="4" t="n">
        <v>0</v>
      </c>
      <c r="K1395" s="4" t="n">
        <v>0</v>
      </c>
      <c r="L1395" s="4" t="n">
        <f aca="false">IF(O1395="Delivered",I1395-J1395+K1395,0)</f>
        <v>604</v>
      </c>
      <c r="M1395" s="0" t="n">
        <v>23</v>
      </c>
      <c r="N1395" s="0" t="n">
        <v>4.4</v>
      </c>
      <c r="O1395" s="3" t="s">
        <v>17</v>
      </c>
    </row>
    <row r="1396" customFormat="false" ht="15" hidden="false" customHeight="false" outlineLevel="0" collapsed="false">
      <c r="A1396" s="0" t="s">
        <v>1393</v>
      </c>
      <c r="B1396" s="2" t="n">
        <v>46003</v>
      </c>
      <c r="C1396" s="0" t="str">
        <f aca="false">TEXT(B1396,"mmm")</f>
        <v>Dec</v>
      </c>
      <c r="D1396" s="0" t="str">
        <f aca="false">TEXT(B1396,"ddd")</f>
        <v>Fri</v>
      </c>
      <c r="E1396" s="3" t="s">
        <v>24</v>
      </c>
      <c r="F1396" s="3" t="s">
        <v>20</v>
      </c>
      <c r="G1396" s="3" t="s">
        <v>21</v>
      </c>
      <c r="H1396" s="3" t="s">
        <v>22</v>
      </c>
      <c r="I1396" s="4" t="n">
        <v>690</v>
      </c>
      <c r="J1396" s="4" t="n">
        <v>0</v>
      </c>
      <c r="K1396" s="4" t="n">
        <v>0</v>
      </c>
      <c r="L1396" s="4" t="n">
        <f aca="false">IF(O1396="Delivered",I1396-J1396+K1396,0)</f>
        <v>690</v>
      </c>
      <c r="M1396" s="0" t="n">
        <v>36</v>
      </c>
      <c r="N1396" s="0" t="n">
        <v>4.6</v>
      </c>
      <c r="O1396" s="3" t="s">
        <v>17</v>
      </c>
    </row>
    <row r="1397" customFormat="false" ht="15" hidden="false" customHeight="false" outlineLevel="0" collapsed="false">
      <c r="A1397" s="0" t="s">
        <v>1566</v>
      </c>
      <c r="B1397" s="2" t="n">
        <v>46003</v>
      </c>
      <c r="C1397" s="0" t="str">
        <f aca="false">TEXT(B1397,"mmm")</f>
        <v>Dec</v>
      </c>
      <c r="D1397" s="0" t="str">
        <f aca="false">TEXT(B1397,"ddd")</f>
        <v>Fri</v>
      </c>
      <c r="E1397" s="3" t="s">
        <v>40</v>
      </c>
      <c r="F1397" s="3" t="s">
        <v>25</v>
      </c>
      <c r="G1397" s="3" t="s">
        <v>21</v>
      </c>
      <c r="H1397" s="3" t="s">
        <v>22</v>
      </c>
      <c r="I1397" s="4" t="n">
        <v>509</v>
      </c>
      <c r="J1397" s="4" t="n">
        <v>0</v>
      </c>
      <c r="K1397" s="4" t="n">
        <v>0</v>
      </c>
      <c r="L1397" s="4" t="n">
        <f aca="false">IF(O1397="Delivered",I1397-J1397+K1397,0)</f>
        <v>509</v>
      </c>
      <c r="M1397" s="0" t="n">
        <v>48</v>
      </c>
      <c r="N1397" s="0" t="n">
        <v>3.4</v>
      </c>
      <c r="O1397" s="3" t="s">
        <v>17</v>
      </c>
    </row>
    <row r="1398" customFormat="false" ht="15" hidden="false" customHeight="false" outlineLevel="0" collapsed="false">
      <c r="A1398" s="0" t="s">
        <v>1619</v>
      </c>
      <c r="B1398" s="2" t="n">
        <v>46003</v>
      </c>
      <c r="C1398" s="0" t="str">
        <f aca="false">TEXT(B1398,"mmm")</f>
        <v>Dec</v>
      </c>
      <c r="D1398" s="0" t="str">
        <f aca="false">TEXT(B1398,"ddd")</f>
        <v>Fri</v>
      </c>
      <c r="E1398" s="3" t="s">
        <v>24</v>
      </c>
      <c r="F1398" s="3" t="s">
        <v>25</v>
      </c>
      <c r="G1398" s="3" t="s">
        <v>21</v>
      </c>
      <c r="H1398" s="3" t="s">
        <v>22</v>
      </c>
      <c r="I1398" s="4" t="n">
        <v>360</v>
      </c>
      <c r="J1398" s="4" t="n">
        <v>44</v>
      </c>
      <c r="K1398" s="4" t="n">
        <v>45</v>
      </c>
      <c r="L1398" s="4" t="n">
        <f aca="false">IF(O1398="Delivered",I1398-J1398+K1398,0)</f>
        <v>361</v>
      </c>
      <c r="M1398" s="0" t="n">
        <v>28</v>
      </c>
      <c r="N1398" s="0" t="n">
        <v>4.7</v>
      </c>
      <c r="O1398" s="3" t="s">
        <v>17</v>
      </c>
    </row>
    <row r="1399" customFormat="false" ht="15" hidden="false" customHeight="false" outlineLevel="0" collapsed="false">
      <c r="A1399" s="0" t="s">
        <v>1654</v>
      </c>
      <c r="B1399" s="2" t="n">
        <v>46003</v>
      </c>
      <c r="C1399" s="0" t="str">
        <f aca="false">TEXT(B1399,"mmm")</f>
        <v>Dec</v>
      </c>
      <c r="D1399" s="0" t="str">
        <f aca="false">TEXT(B1399,"ddd")</f>
        <v>Fri</v>
      </c>
      <c r="E1399" s="3" t="s">
        <v>27</v>
      </c>
      <c r="F1399" s="3" t="s">
        <v>49</v>
      </c>
      <c r="G1399" s="3" t="s">
        <v>21</v>
      </c>
      <c r="H1399" s="3" t="s">
        <v>22</v>
      </c>
      <c r="I1399" s="4" t="n">
        <v>398</v>
      </c>
      <c r="J1399" s="4" t="n">
        <v>0</v>
      </c>
      <c r="K1399" s="4" t="n">
        <v>40</v>
      </c>
      <c r="L1399" s="4" t="n">
        <f aca="false">IF(O1399="Delivered",I1399-J1399+K1399,0)</f>
        <v>438</v>
      </c>
      <c r="M1399" s="0" t="n">
        <v>46</v>
      </c>
      <c r="N1399" s="0" t="n">
        <v>3.8</v>
      </c>
      <c r="O1399" s="3" t="s">
        <v>17</v>
      </c>
    </row>
    <row r="1400" customFormat="false" ht="15" hidden="false" customHeight="false" outlineLevel="0" collapsed="false">
      <c r="A1400" s="0" t="s">
        <v>568</v>
      </c>
      <c r="B1400" s="2" t="n">
        <v>46004</v>
      </c>
      <c r="C1400" s="0" t="str">
        <f aca="false">TEXT(B1400,"mmm")</f>
        <v>Dec</v>
      </c>
      <c r="D1400" s="0" t="str">
        <f aca="false">TEXT(B1400,"ddd")</f>
        <v>Sat</v>
      </c>
      <c r="E1400" s="3" t="s">
        <v>45</v>
      </c>
      <c r="F1400" s="3" t="s">
        <v>25</v>
      </c>
      <c r="G1400" s="3" t="s">
        <v>15</v>
      </c>
      <c r="H1400" s="3" t="s">
        <v>36</v>
      </c>
      <c r="I1400" s="4" t="n">
        <v>546</v>
      </c>
      <c r="J1400" s="4" t="n">
        <v>113</v>
      </c>
      <c r="K1400" s="4" t="n">
        <v>0</v>
      </c>
      <c r="L1400" s="4" t="n">
        <f aca="false">IF(O1400="Delivered",I1400-J1400+K1400,0)</f>
        <v>433</v>
      </c>
      <c r="M1400" s="0" t="n">
        <v>38</v>
      </c>
      <c r="N1400" s="0" t="n">
        <v>3.1</v>
      </c>
      <c r="O1400" s="3" t="s">
        <v>17</v>
      </c>
    </row>
    <row r="1401" customFormat="false" ht="15" hidden="false" customHeight="false" outlineLevel="0" collapsed="false">
      <c r="A1401" s="0" t="s">
        <v>1082</v>
      </c>
      <c r="B1401" s="2" t="n">
        <v>46004</v>
      </c>
      <c r="C1401" s="0" t="str">
        <f aca="false">TEXT(B1401,"mmm")</f>
        <v>Dec</v>
      </c>
      <c r="D1401" s="0" t="str">
        <f aca="false">TEXT(B1401,"ddd")</f>
        <v>Sat</v>
      </c>
      <c r="E1401" s="3" t="s">
        <v>27</v>
      </c>
      <c r="F1401" s="3" t="s">
        <v>25</v>
      </c>
      <c r="G1401" s="3" t="s">
        <v>21</v>
      </c>
      <c r="H1401" s="3" t="s">
        <v>54</v>
      </c>
      <c r="I1401" s="4" t="n">
        <v>616</v>
      </c>
      <c r="J1401" s="4" t="n">
        <v>0</v>
      </c>
      <c r="K1401" s="4" t="n">
        <v>0</v>
      </c>
      <c r="L1401" s="4" t="n">
        <f aca="false">IF(O1401="Delivered",I1401-J1401+K1401,0)</f>
        <v>616</v>
      </c>
      <c r="M1401" s="0" t="n">
        <v>38</v>
      </c>
      <c r="N1401" s="0" t="n">
        <v>4.7</v>
      </c>
      <c r="O1401" s="3" t="s">
        <v>17</v>
      </c>
    </row>
    <row r="1402" customFormat="false" ht="15" hidden="false" customHeight="false" outlineLevel="0" collapsed="false">
      <c r="A1402" s="0" t="s">
        <v>1102</v>
      </c>
      <c r="B1402" s="2" t="n">
        <v>46004</v>
      </c>
      <c r="C1402" s="0" t="str">
        <f aca="false">TEXT(B1402,"mmm")</f>
        <v>Dec</v>
      </c>
      <c r="D1402" s="0" t="str">
        <f aca="false">TEXT(B1402,"ddd")</f>
        <v>Sat</v>
      </c>
      <c r="E1402" s="3" t="s">
        <v>13</v>
      </c>
      <c r="F1402" s="3" t="s">
        <v>31</v>
      </c>
      <c r="G1402" s="3" t="s">
        <v>21</v>
      </c>
      <c r="H1402" s="3" t="s">
        <v>36</v>
      </c>
      <c r="I1402" s="4" t="n">
        <v>383</v>
      </c>
      <c r="J1402" s="4" t="n">
        <v>68</v>
      </c>
      <c r="K1402" s="4" t="n">
        <v>45</v>
      </c>
      <c r="L1402" s="4" t="n">
        <f aca="false">IF(O1402="Delivered",I1402-J1402+K1402,0)</f>
        <v>360</v>
      </c>
      <c r="M1402" s="0" t="n">
        <v>35</v>
      </c>
      <c r="N1402" s="0" t="n">
        <v>4.4</v>
      </c>
      <c r="O1402" s="3" t="s">
        <v>17</v>
      </c>
    </row>
    <row r="1403" customFormat="false" ht="15" hidden="false" customHeight="false" outlineLevel="0" collapsed="false">
      <c r="A1403" s="0" t="s">
        <v>432</v>
      </c>
      <c r="B1403" s="2" t="n">
        <v>46005</v>
      </c>
      <c r="C1403" s="0" t="str">
        <f aca="false">TEXT(B1403,"mmm")</f>
        <v>Dec</v>
      </c>
      <c r="D1403" s="0" t="str">
        <f aca="false">TEXT(B1403,"ddd")</f>
        <v>Sun</v>
      </c>
      <c r="E1403" s="3" t="s">
        <v>24</v>
      </c>
      <c r="F1403" s="3" t="s">
        <v>14</v>
      </c>
      <c r="G1403" s="3" t="s">
        <v>15</v>
      </c>
      <c r="H1403" s="3" t="s">
        <v>54</v>
      </c>
      <c r="I1403" s="4" t="n">
        <v>372</v>
      </c>
      <c r="J1403" s="4" t="n">
        <v>58</v>
      </c>
      <c r="K1403" s="4" t="n">
        <v>20</v>
      </c>
      <c r="L1403" s="4" t="n">
        <f aca="false">IF(O1403="Delivered",I1403-J1403+K1403,0)</f>
        <v>334</v>
      </c>
      <c r="M1403" s="0" t="n">
        <v>35</v>
      </c>
      <c r="N1403" s="0" t="n">
        <v>4.4</v>
      </c>
      <c r="O1403" s="3" t="s">
        <v>17</v>
      </c>
    </row>
    <row r="1404" customFormat="false" ht="15" hidden="false" customHeight="false" outlineLevel="0" collapsed="false">
      <c r="A1404" s="0" t="s">
        <v>562</v>
      </c>
      <c r="B1404" s="2" t="n">
        <v>46005</v>
      </c>
      <c r="C1404" s="0" t="str">
        <f aca="false">TEXT(B1404,"mmm")</f>
        <v>Dec</v>
      </c>
      <c r="D1404" s="0" t="str">
        <f aca="false">TEXT(B1404,"ddd")</f>
        <v>Sun</v>
      </c>
      <c r="E1404" s="3" t="s">
        <v>27</v>
      </c>
      <c r="F1404" s="3" t="s">
        <v>31</v>
      </c>
      <c r="G1404" s="3" t="s">
        <v>21</v>
      </c>
      <c r="H1404" s="3" t="s">
        <v>36</v>
      </c>
      <c r="I1404" s="4" t="n">
        <v>705</v>
      </c>
      <c r="J1404" s="4" t="n">
        <v>81</v>
      </c>
      <c r="K1404" s="4" t="n">
        <v>0</v>
      </c>
      <c r="L1404" s="4" t="n">
        <f aca="false">IF(O1404="Delivered",I1404-J1404+K1404,0)</f>
        <v>624</v>
      </c>
      <c r="M1404" s="0" t="n">
        <v>41</v>
      </c>
      <c r="N1404" s="0" t="n">
        <v>4.6</v>
      </c>
      <c r="O1404" s="3" t="s">
        <v>17</v>
      </c>
    </row>
    <row r="1405" customFormat="false" ht="15" hidden="false" customHeight="false" outlineLevel="0" collapsed="false">
      <c r="A1405" s="0" t="s">
        <v>1478</v>
      </c>
      <c r="B1405" s="2" t="n">
        <v>46005</v>
      </c>
      <c r="C1405" s="0" t="str">
        <f aca="false">TEXT(B1405,"mmm")</f>
        <v>Dec</v>
      </c>
      <c r="D1405" s="0" t="str">
        <f aca="false">TEXT(B1405,"ddd")</f>
        <v>Sun</v>
      </c>
      <c r="E1405" s="3" t="s">
        <v>40</v>
      </c>
      <c r="F1405" s="3" t="s">
        <v>20</v>
      </c>
      <c r="G1405" s="3" t="s">
        <v>21</v>
      </c>
      <c r="H1405" s="3" t="s">
        <v>22</v>
      </c>
      <c r="I1405" s="4" t="n">
        <v>745</v>
      </c>
      <c r="J1405" s="4" t="n">
        <v>103</v>
      </c>
      <c r="K1405" s="4" t="n">
        <v>0</v>
      </c>
      <c r="L1405" s="4" t="n">
        <f aca="false">IF(O1405="Delivered",I1405-J1405+K1405,0)</f>
        <v>0</v>
      </c>
      <c r="O1405" s="3" t="s">
        <v>68</v>
      </c>
    </row>
    <row r="1406" customFormat="false" ht="15" hidden="false" customHeight="false" outlineLevel="0" collapsed="false">
      <c r="A1406" s="0" t="s">
        <v>1593</v>
      </c>
      <c r="B1406" s="2" t="n">
        <v>46005</v>
      </c>
      <c r="C1406" s="0" t="str">
        <f aca="false">TEXT(B1406,"mmm")</f>
        <v>Dec</v>
      </c>
      <c r="D1406" s="0" t="str">
        <f aca="false">TEXT(B1406,"ddd")</f>
        <v>Sun</v>
      </c>
      <c r="E1406" s="3" t="s">
        <v>13</v>
      </c>
      <c r="F1406" s="3" t="s">
        <v>31</v>
      </c>
      <c r="G1406" s="3" t="s">
        <v>15</v>
      </c>
      <c r="H1406" s="3" t="s">
        <v>34</v>
      </c>
      <c r="I1406" s="4" t="n">
        <v>427</v>
      </c>
      <c r="J1406" s="4" t="n">
        <v>0</v>
      </c>
      <c r="K1406" s="4" t="n">
        <v>20</v>
      </c>
      <c r="L1406" s="4" t="n">
        <f aca="false">IF(O1406="Delivered",I1406-J1406+K1406,0)</f>
        <v>447</v>
      </c>
      <c r="M1406" s="0" t="n">
        <v>23</v>
      </c>
      <c r="N1406" s="0" t="n">
        <v>3.5</v>
      </c>
      <c r="O1406" s="3" t="s">
        <v>17</v>
      </c>
    </row>
    <row r="1407" customFormat="false" ht="15" hidden="false" customHeight="false" outlineLevel="0" collapsed="false">
      <c r="A1407" s="0" t="s">
        <v>1641</v>
      </c>
      <c r="B1407" s="2" t="n">
        <v>46005</v>
      </c>
      <c r="C1407" s="0" t="str">
        <f aca="false">TEXT(B1407,"mmm")</f>
        <v>Dec</v>
      </c>
      <c r="D1407" s="0" t="str">
        <f aca="false">TEXT(B1407,"ddd")</f>
        <v>Sun</v>
      </c>
      <c r="E1407" s="3" t="s">
        <v>24</v>
      </c>
      <c r="F1407" s="3" t="s">
        <v>31</v>
      </c>
      <c r="G1407" s="3" t="s">
        <v>21</v>
      </c>
      <c r="H1407" s="3" t="s">
        <v>22</v>
      </c>
      <c r="I1407" s="4" t="n">
        <v>606</v>
      </c>
      <c r="J1407" s="4" t="n">
        <v>0</v>
      </c>
      <c r="K1407" s="4" t="n">
        <v>0</v>
      </c>
      <c r="L1407" s="4" t="n">
        <f aca="false">IF(O1407="Delivered",I1407-J1407+K1407,0)</f>
        <v>606</v>
      </c>
      <c r="M1407" s="0" t="n">
        <v>41</v>
      </c>
      <c r="N1407" s="0" t="n">
        <v>4.2</v>
      </c>
      <c r="O1407" s="3" t="s">
        <v>17</v>
      </c>
    </row>
    <row r="1408" customFormat="false" ht="15" hidden="false" customHeight="false" outlineLevel="0" collapsed="false">
      <c r="A1408" s="0" t="s">
        <v>401</v>
      </c>
      <c r="B1408" s="2" t="n">
        <v>46006</v>
      </c>
      <c r="C1408" s="0" t="str">
        <f aca="false">TEXT(B1408,"mmm")</f>
        <v>Dec</v>
      </c>
      <c r="D1408" s="0" t="str">
        <f aca="false">TEXT(B1408,"ddd")</f>
        <v>Mon</v>
      </c>
      <c r="E1408" s="3" t="s">
        <v>27</v>
      </c>
      <c r="F1408" s="3" t="s">
        <v>25</v>
      </c>
      <c r="G1408" s="3" t="s">
        <v>21</v>
      </c>
      <c r="H1408" s="3" t="s">
        <v>34</v>
      </c>
      <c r="I1408" s="4" t="n">
        <v>513</v>
      </c>
      <c r="J1408" s="4" t="n">
        <v>97</v>
      </c>
      <c r="K1408" s="4" t="n">
        <v>0</v>
      </c>
      <c r="L1408" s="4" t="n">
        <f aca="false">IF(O1408="Delivered",I1408-J1408+K1408,0)</f>
        <v>416</v>
      </c>
      <c r="M1408" s="0" t="n">
        <v>45</v>
      </c>
      <c r="N1408" s="0" t="n">
        <v>3.9</v>
      </c>
      <c r="O1408" s="3" t="s">
        <v>17</v>
      </c>
    </row>
    <row r="1409" customFormat="false" ht="15" hidden="false" customHeight="false" outlineLevel="0" collapsed="false">
      <c r="A1409" s="0" t="s">
        <v>1178</v>
      </c>
      <c r="B1409" s="2" t="n">
        <v>46006</v>
      </c>
      <c r="C1409" s="0" t="str">
        <f aca="false">TEXT(B1409,"mmm")</f>
        <v>Dec</v>
      </c>
      <c r="D1409" s="0" t="str">
        <f aca="false">TEXT(B1409,"ddd")</f>
        <v>Mon</v>
      </c>
      <c r="E1409" s="3" t="s">
        <v>51</v>
      </c>
      <c r="F1409" s="3" t="s">
        <v>20</v>
      </c>
      <c r="G1409" s="3" t="s">
        <v>15</v>
      </c>
      <c r="H1409" s="3" t="s">
        <v>34</v>
      </c>
      <c r="I1409" s="4" t="n">
        <v>501</v>
      </c>
      <c r="J1409" s="4" t="n">
        <v>0</v>
      </c>
      <c r="K1409" s="4" t="n">
        <v>0</v>
      </c>
      <c r="L1409" s="4" t="n">
        <f aca="false">IF(O1409="Delivered",I1409-J1409+K1409,0)</f>
        <v>501</v>
      </c>
      <c r="M1409" s="0" t="n">
        <v>37</v>
      </c>
      <c r="N1409" s="0" t="n">
        <v>3.3</v>
      </c>
      <c r="O1409" s="3" t="s">
        <v>17</v>
      </c>
    </row>
    <row r="1410" customFormat="false" ht="15" hidden="false" customHeight="false" outlineLevel="0" collapsed="false">
      <c r="A1410" s="0" t="s">
        <v>1432</v>
      </c>
      <c r="B1410" s="2" t="n">
        <v>46006</v>
      </c>
      <c r="C1410" s="0" t="str">
        <f aca="false">TEXT(B1410,"mmm")</f>
        <v>Dec</v>
      </c>
      <c r="D1410" s="0" t="str">
        <f aca="false">TEXT(B1410,"ddd")</f>
        <v>Mon</v>
      </c>
      <c r="E1410" s="3" t="s">
        <v>24</v>
      </c>
      <c r="F1410" s="3" t="s">
        <v>14</v>
      </c>
      <c r="G1410" s="3" t="s">
        <v>21</v>
      </c>
      <c r="H1410" s="3" t="s">
        <v>22</v>
      </c>
      <c r="I1410" s="4" t="n">
        <v>381</v>
      </c>
      <c r="J1410" s="4" t="n">
        <v>78</v>
      </c>
      <c r="K1410" s="4" t="n">
        <v>30</v>
      </c>
      <c r="L1410" s="4" t="n">
        <f aca="false">IF(O1410="Delivered",I1410-J1410+K1410,0)</f>
        <v>333</v>
      </c>
      <c r="M1410" s="0" t="n">
        <v>45</v>
      </c>
      <c r="N1410" s="0" t="n">
        <v>3</v>
      </c>
      <c r="O1410" s="3" t="s">
        <v>17</v>
      </c>
    </row>
    <row r="1411" customFormat="false" ht="15" hidden="false" customHeight="false" outlineLevel="0" collapsed="false">
      <c r="A1411" s="0" t="s">
        <v>1546</v>
      </c>
      <c r="B1411" s="2" t="n">
        <v>46006</v>
      </c>
      <c r="C1411" s="0" t="str">
        <f aca="false">TEXT(B1411,"mmm")</f>
        <v>Dec</v>
      </c>
      <c r="D1411" s="0" t="str">
        <f aca="false">TEXT(B1411,"ddd")</f>
        <v>Mon</v>
      </c>
      <c r="E1411" s="3" t="s">
        <v>27</v>
      </c>
      <c r="F1411" s="3" t="s">
        <v>31</v>
      </c>
      <c r="G1411" s="3" t="s">
        <v>15</v>
      </c>
      <c r="H1411" s="3" t="s">
        <v>36</v>
      </c>
      <c r="I1411" s="4" t="n">
        <v>495</v>
      </c>
      <c r="J1411" s="4" t="n">
        <v>107</v>
      </c>
      <c r="K1411" s="4" t="n">
        <v>30</v>
      </c>
      <c r="L1411" s="4" t="n">
        <f aca="false">IF(O1411="Delivered",I1411-J1411+K1411,0)</f>
        <v>418</v>
      </c>
      <c r="M1411" s="0" t="n">
        <v>44</v>
      </c>
      <c r="N1411" s="0" t="n">
        <v>4.3</v>
      </c>
      <c r="O1411" s="3" t="s">
        <v>17</v>
      </c>
    </row>
    <row r="1412" customFormat="false" ht="15" hidden="false" customHeight="false" outlineLevel="0" collapsed="false">
      <c r="A1412" s="0" t="s">
        <v>1635</v>
      </c>
      <c r="B1412" s="2" t="n">
        <v>46006</v>
      </c>
      <c r="C1412" s="0" t="str">
        <f aca="false">TEXT(B1412,"mmm")</f>
        <v>Dec</v>
      </c>
      <c r="D1412" s="0" t="str">
        <f aca="false">TEXT(B1412,"ddd")</f>
        <v>Mon</v>
      </c>
      <c r="E1412" s="3" t="s">
        <v>51</v>
      </c>
      <c r="F1412" s="3" t="s">
        <v>28</v>
      </c>
      <c r="G1412" s="3" t="s">
        <v>15</v>
      </c>
      <c r="H1412" s="3" t="s">
        <v>34</v>
      </c>
      <c r="I1412" s="4" t="n">
        <v>447</v>
      </c>
      <c r="J1412" s="4" t="n">
        <v>90</v>
      </c>
      <c r="K1412" s="4" t="n">
        <v>30</v>
      </c>
      <c r="L1412" s="4" t="n">
        <f aca="false">IF(O1412="Delivered",I1412-J1412+K1412,0)</f>
        <v>387</v>
      </c>
      <c r="M1412" s="0" t="n">
        <v>38</v>
      </c>
      <c r="N1412" s="0" t="n">
        <v>4.1</v>
      </c>
      <c r="O1412" s="3" t="s">
        <v>17</v>
      </c>
    </row>
    <row r="1413" customFormat="false" ht="15" hidden="false" customHeight="false" outlineLevel="0" collapsed="false">
      <c r="A1413" s="0" t="s">
        <v>478</v>
      </c>
      <c r="B1413" s="2" t="n">
        <v>46007</v>
      </c>
      <c r="C1413" s="0" t="str">
        <f aca="false">TEXT(B1413,"mmm")</f>
        <v>Dec</v>
      </c>
      <c r="D1413" s="0" t="str">
        <f aca="false">TEXT(B1413,"ddd")</f>
        <v>Tue</v>
      </c>
      <c r="E1413" s="3" t="s">
        <v>40</v>
      </c>
      <c r="F1413" s="3" t="s">
        <v>49</v>
      </c>
      <c r="G1413" s="3" t="s">
        <v>21</v>
      </c>
      <c r="H1413" s="3" t="s">
        <v>22</v>
      </c>
      <c r="I1413" s="4" t="n">
        <v>523</v>
      </c>
      <c r="J1413" s="4" t="n">
        <v>0</v>
      </c>
      <c r="K1413" s="4" t="n">
        <v>0</v>
      </c>
      <c r="L1413" s="4" t="n">
        <f aca="false">IF(O1413="Delivered",I1413-J1413+K1413,0)</f>
        <v>0</v>
      </c>
      <c r="O1413" s="3" t="s">
        <v>68</v>
      </c>
    </row>
    <row r="1414" customFormat="false" ht="15" hidden="false" customHeight="false" outlineLevel="0" collapsed="false">
      <c r="A1414" s="0" t="s">
        <v>1165</v>
      </c>
      <c r="B1414" s="2" t="n">
        <v>46007</v>
      </c>
      <c r="C1414" s="0" t="str">
        <f aca="false">TEXT(B1414,"mmm")</f>
        <v>Dec</v>
      </c>
      <c r="D1414" s="0" t="str">
        <f aca="false">TEXT(B1414,"ddd")</f>
        <v>Tue</v>
      </c>
      <c r="E1414" s="3" t="s">
        <v>40</v>
      </c>
      <c r="F1414" s="3" t="s">
        <v>31</v>
      </c>
      <c r="G1414" s="3" t="s">
        <v>15</v>
      </c>
      <c r="H1414" s="3" t="s">
        <v>36</v>
      </c>
      <c r="I1414" s="4" t="n">
        <v>510</v>
      </c>
      <c r="J1414" s="4" t="n">
        <v>0</v>
      </c>
      <c r="K1414" s="4" t="n">
        <v>0</v>
      </c>
      <c r="L1414" s="4" t="n">
        <f aca="false">IF(O1414="Delivered",I1414-J1414+K1414,0)</f>
        <v>510</v>
      </c>
      <c r="M1414" s="0" t="n">
        <v>38</v>
      </c>
      <c r="N1414" s="0" t="n">
        <v>4.8</v>
      </c>
      <c r="O1414" s="3" t="s">
        <v>17</v>
      </c>
    </row>
    <row r="1415" customFormat="false" ht="15" hidden="false" customHeight="false" outlineLevel="0" collapsed="false">
      <c r="A1415" s="0" t="s">
        <v>233</v>
      </c>
      <c r="B1415" s="2" t="n">
        <v>46008</v>
      </c>
      <c r="C1415" s="0" t="str">
        <f aca="false">TEXT(B1415,"mmm")</f>
        <v>Dec</v>
      </c>
      <c r="D1415" s="0" t="str">
        <f aca="false">TEXT(B1415,"ddd")</f>
        <v>Wed</v>
      </c>
      <c r="E1415" s="3" t="s">
        <v>45</v>
      </c>
      <c r="F1415" s="3" t="s">
        <v>20</v>
      </c>
      <c r="G1415" s="3" t="s">
        <v>15</v>
      </c>
      <c r="H1415" s="3" t="s">
        <v>36</v>
      </c>
      <c r="I1415" s="4" t="n">
        <v>650</v>
      </c>
      <c r="J1415" s="4" t="n">
        <v>0</v>
      </c>
      <c r="K1415" s="4" t="n">
        <v>0</v>
      </c>
      <c r="L1415" s="4" t="n">
        <f aca="false">IF(O1415="Delivered",I1415-J1415+K1415,0)</f>
        <v>650</v>
      </c>
      <c r="M1415" s="0" t="n">
        <v>15</v>
      </c>
      <c r="N1415" s="0" t="n">
        <v>5</v>
      </c>
      <c r="O1415" s="3" t="s">
        <v>17</v>
      </c>
    </row>
    <row r="1416" customFormat="false" ht="15" hidden="false" customHeight="false" outlineLevel="0" collapsed="false">
      <c r="A1416" s="0" t="s">
        <v>1033</v>
      </c>
      <c r="B1416" s="2" t="n">
        <v>46008</v>
      </c>
      <c r="C1416" s="0" t="str">
        <f aca="false">TEXT(B1416,"mmm")</f>
        <v>Dec</v>
      </c>
      <c r="D1416" s="0" t="str">
        <f aca="false">TEXT(B1416,"ddd")</f>
        <v>Wed</v>
      </c>
      <c r="E1416" s="3" t="s">
        <v>13</v>
      </c>
      <c r="F1416" s="3" t="s">
        <v>28</v>
      </c>
      <c r="G1416" s="3" t="s">
        <v>21</v>
      </c>
      <c r="H1416" s="3" t="s">
        <v>22</v>
      </c>
      <c r="I1416" s="4" t="n">
        <v>529</v>
      </c>
      <c r="J1416" s="4" t="n">
        <v>0</v>
      </c>
      <c r="K1416" s="4" t="n">
        <v>0</v>
      </c>
      <c r="L1416" s="4" t="n">
        <f aca="false">IF(O1416="Delivered",I1416-J1416+K1416,0)</f>
        <v>529</v>
      </c>
      <c r="M1416" s="0" t="n">
        <v>35</v>
      </c>
      <c r="N1416" s="0" t="n">
        <v>3.6</v>
      </c>
      <c r="O1416" s="3" t="s">
        <v>17</v>
      </c>
    </row>
    <row r="1417" customFormat="false" ht="15" hidden="false" customHeight="false" outlineLevel="0" collapsed="false">
      <c r="A1417" s="0" t="s">
        <v>1058</v>
      </c>
      <c r="B1417" s="2" t="n">
        <v>46008</v>
      </c>
      <c r="C1417" s="0" t="str">
        <f aca="false">TEXT(B1417,"mmm")</f>
        <v>Dec</v>
      </c>
      <c r="D1417" s="0" t="str">
        <f aca="false">TEXT(B1417,"ddd")</f>
        <v>Wed</v>
      </c>
      <c r="E1417" s="3" t="s">
        <v>40</v>
      </c>
      <c r="F1417" s="3" t="s">
        <v>25</v>
      </c>
      <c r="G1417" s="3" t="s">
        <v>21</v>
      </c>
      <c r="H1417" s="3" t="s">
        <v>54</v>
      </c>
      <c r="I1417" s="4" t="n">
        <v>487</v>
      </c>
      <c r="J1417" s="4" t="n">
        <v>0</v>
      </c>
      <c r="K1417" s="4" t="n">
        <v>45</v>
      </c>
      <c r="L1417" s="4" t="n">
        <f aca="false">IF(O1417="Delivered",I1417-J1417+K1417,0)</f>
        <v>532</v>
      </c>
      <c r="M1417" s="0" t="n">
        <v>26</v>
      </c>
      <c r="O1417" s="3" t="s">
        <v>17</v>
      </c>
    </row>
    <row r="1418" customFormat="false" ht="15" hidden="false" customHeight="false" outlineLevel="0" collapsed="false">
      <c r="A1418" s="0" t="s">
        <v>1114</v>
      </c>
      <c r="B1418" s="2" t="n">
        <v>46008</v>
      </c>
      <c r="C1418" s="0" t="str">
        <f aca="false">TEXT(B1418,"mmm")</f>
        <v>Dec</v>
      </c>
      <c r="D1418" s="0" t="str">
        <f aca="false">TEXT(B1418,"ddd")</f>
        <v>Wed</v>
      </c>
      <c r="E1418" s="3" t="s">
        <v>24</v>
      </c>
      <c r="F1418" s="3" t="s">
        <v>25</v>
      </c>
      <c r="G1418" s="3" t="s">
        <v>15</v>
      </c>
      <c r="H1418" s="3" t="s">
        <v>22</v>
      </c>
      <c r="I1418" s="4" t="n">
        <v>401</v>
      </c>
      <c r="J1418" s="4" t="n">
        <v>0</v>
      </c>
      <c r="K1418" s="4" t="n">
        <v>40</v>
      </c>
      <c r="L1418" s="4" t="n">
        <f aca="false">IF(O1418="Delivered",I1418-J1418+K1418,0)</f>
        <v>441</v>
      </c>
      <c r="M1418" s="0" t="n">
        <v>37</v>
      </c>
      <c r="N1418" s="0" t="n">
        <v>4.2</v>
      </c>
      <c r="O1418" s="3" t="s">
        <v>17</v>
      </c>
    </row>
    <row r="1419" customFormat="false" ht="15" hidden="false" customHeight="false" outlineLevel="0" collapsed="false">
      <c r="A1419" s="0" t="s">
        <v>1116</v>
      </c>
      <c r="B1419" s="2" t="n">
        <v>46008</v>
      </c>
      <c r="C1419" s="0" t="str">
        <f aca="false">TEXT(B1419,"mmm")</f>
        <v>Dec</v>
      </c>
      <c r="D1419" s="0" t="str">
        <f aca="false">TEXT(B1419,"ddd")</f>
        <v>Wed</v>
      </c>
      <c r="E1419" s="3" t="s">
        <v>30</v>
      </c>
      <c r="F1419" s="3" t="s">
        <v>56</v>
      </c>
      <c r="G1419" s="3" t="s">
        <v>21</v>
      </c>
      <c r="H1419" s="3" t="s">
        <v>16</v>
      </c>
      <c r="I1419" s="4" t="n">
        <v>246</v>
      </c>
      <c r="J1419" s="4" t="n">
        <v>0</v>
      </c>
      <c r="K1419" s="4" t="n">
        <v>30</v>
      </c>
      <c r="L1419" s="4" t="n">
        <f aca="false">IF(O1419="Delivered",I1419-J1419+K1419,0)</f>
        <v>276</v>
      </c>
      <c r="M1419" s="0" t="n">
        <v>32</v>
      </c>
      <c r="N1419" s="0" t="n">
        <v>4.1</v>
      </c>
      <c r="O1419" s="3" t="s">
        <v>17</v>
      </c>
    </row>
    <row r="1420" customFormat="false" ht="15" hidden="false" customHeight="false" outlineLevel="0" collapsed="false">
      <c r="A1420" s="0" t="s">
        <v>1215</v>
      </c>
      <c r="B1420" s="2" t="n">
        <v>46008</v>
      </c>
      <c r="C1420" s="0" t="str">
        <f aca="false">TEXT(B1420,"mmm")</f>
        <v>Dec</v>
      </c>
      <c r="D1420" s="0" t="str">
        <f aca="false">TEXT(B1420,"ddd")</f>
        <v>Wed</v>
      </c>
      <c r="E1420" s="3" t="s">
        <v>27</v>
      </c>
      <c r="F1420" s="3" t="s">
        <v>78</v>
      </c>
      <c r="G1420" s="3" t="s">
        <v>21</v>
      </c>
      <c r="H1420" s="3" t="s">
        <v>22</v>
      </c>
      <c r="I1420" s="4" t="n">
        <v>335</v>
      </c>
      <c r="J1420" s="4" t="n">
        <v>0</v>
      </c>
      <c r="K1420" s="4" t="n">
        <v>30</v>
      </c>
      <c r="L1420" s="4" t="n">
        <f aca="false">IF(O1420="Delivered",I1420-J1420+K1420,0)</f>
        <v>365</v>
      </c>
      <c r="M1420" s="0" t="n">
        <v>39</v>
      </c>
      <c r="N1420" s="0" t="n">
        <v>4.6</v>
      </c>
      <c r="O1420" s="3" t="s">
        <v>17</v>
      </c>
    </row>
    <row r="1421" customFormat="false" ht="15" hidden="false" customHeight="false" outlineLevel="0" collapsed="false">
      <c r="A1421" s="0" t="s">
        <v>295</v>
      </c>
      <c r="B1421" s="2" t="n">
        <v>46009</v>
      </c>
      <c r="C1421" s="0" t="str">
        <f aca="false">TEXT(B1421,"mmm")</f>
        <v>Dec</v>
      </c>
      <c r="D1421" s="0" t="str">
        <f aca="false">TEXT(B1421,"ddd")</f>
        <v>Thu</v>
      </c>
      <c r="E1421" s="3" t="s">
        <v>27</v>
      </c>
      <c r="F1421" s="3" t="s">
        <v>28</v>
      </c>
      <c r="G1421" s="3" t="s">
        <v>21</v>
      </c>
      <c r="H1421" s="3" t="s">
        <v>22</v>
      </c>
      <c r="I1421" s="4" t="n">
        <v>423</v>
      </c>
      <c r="J1421" s="4" t="n">
        <v>0</v>
      </c>
      <c r="K1421" s="4" t="n">
        <v>45</v>
      </c>
      <c r="L1421" s="4" t="n">
        <f aca="false">IF(O1421="Delivered",I1421-J1421+K1421,0)</f>
        <v>468</v>
      </c>
      <c r="M1421" s="0" t="n">
        <v>40</v>
      </c>
      <c r="O1421" s="3" t="s">
        <v>17</v>
      </c>
    </row>
    <row r="1422" customFormat="false" ht="15" hidden="false" customHeight="false" outlineLevel="0" collapsed="false">
      <c r="A1422" s="0" t="s">
        <v>848</v>
      </c>
      <c r="B1422" s="2" t="n">
        <v>46009</v>
      </c>
      <c r="C1422" s="0" t="str">
        <f aca="false">TEXT(B1422,"mmm")</f>
        <v>Dec</v>
      </c>
      <c r="D1422" s="0" t="str">
        <f aca="false">TEXT(B1422,"ddd")</f>
        <v>Thu</v>
      </c>
      <c r="E1422" s="3" t="s">
        <v>24</v>
      </c>
      <c r="F1422" s="3" t="s">
        <v>56</v>
      </c>
      <c r="G1422" s="3" t="s">
        <v>15</v>
      </c>
      <c r="H1422" s="3" t="s">
        <v>16</v>
      </c>
      <c r="I1422" s="4" t="n">
        <v>325</v>
      </c>
      <c r="J1422" s="4" t="n">
        <v>49</v>
      </c>
      <c r="K1422" s="4" t="n">
        <v>20</v>
      </c>
      <c r="L1422" s="4" t="n">
        <f aca="false">IF(O1422="Delivered",I1422-J1422+K1422,0)</f>
        <v>296</v>
      </c>
      <c r="M1422" s="0" t="n">
        <v>38</v>
      </c>
      <c r="N1422" s="0" t="n">
        <v>3.8</v>
      </c>
      <c r="O1422" s="3" t="s">
        <v>17</v>
      </c>
    </row>
    <row r="1423" customFormat="false" ht="15" hidden="false" customHeight="false" outlineLevel="0" collapsed="false">
      <c r="A1423" s="0" t="s">
        <v>427</v>
      </c>
      <c r="B1423" s="2" t="n">
        <v>46010</v>
      </c>
      <c r="C1423" s="0" t="str">
        <f aca="false">TEXT(B1423,"mmm")</f>
        <v>Dec</v>
      </c>
      <c r="D1423" s="0" t="str">
        <f aca="false">TEXT(B1423,"ddd")</f>
        <v>Fri</v>
      </c>
      <c r="E1423" s="3" t="s">
        <v>27</v>
      </c>
      <c r="F1423" s="3" t="s">
        <v>14</v>
      </c>
      <c r="G1423" s="3" t="s">
        <v>21</v>
      </c>
      <c r="H1423" s="3" t="s">
        <v>54</v>
      </c>
      <c r="I1423" s="4" t="n">
        <v>382</v>
      </c>
      <c r="J1423" s="4" t="n">
        <v>52</v>
      </c>
      <c r="K1423" s="4" t="n">
        <v>40</v>
      </c>
      <c r="L1423" s="4" t="n">
        <f aca="false">IF(O1423="Delivered",I1423-J1423+K1423,0)</f>
        <v>370</v>
      </c>
      <c r="M1423" s="0" t="n">
        <v>51</v>
      </c>
      <c r="N1423" s="0" t="n">
        <v>4.3</v>
      </c>
      <c r="O1423" s="3" t="s">
        <v>17</v>
      </c>
    </row>
    <row r="1424" customFormat="false" ht="15" hidden="false" customHeight="false" outlineLevel="0" collapsed="false">
      <c r="A1424" s="0" t="s">
        <v>635</v>
      </c>
      <c r="B1424" s="2" t="n">
        <v>46010</v>
      </c>
      <c r="C1424" s="0" t="str">
        <f aca="false">TEXT(B1424,"mmm")</f>
        <v>Dec</v>
      </c>
      <c r="D1424" s="0" t="str">
        <f aca="false">TEXT(B1424,"ddd")</f>
        <v>Fri</v>
      </c>
      <c r="E1424" s="3" t="s">
        <v>30</v>
      </c>
      <c r="F1424" s="3" t="s">
        <v>31</v>
      </c>
      <c r="G1424" s="3" t="s">
        <v>21</v>
      </c>
      <c r="H1424" s="3" t="s">
        <v>22</v>
      </c>
      <c r="I1424" s="4" t="n">
        <v>493</v>
      </c>
      <c r="J1424" s="4" t="n">
        <v>0</v>
      </c>
      <c r="K1424" s="4" t="n">
        <v>30</v>
      </c>
      <c r="L1424" s="4" t="n">
        <f aca="false">IF(O1424="Delivered",I1424-J1424+K1424,0)</f>
        <v>523</v>
      </c>
      <c r="M1424" s="0" t="n">
        <v>26</v>
      </c>
      <c r="N1424" s="0" t="n">
        <v>4.2</v>
      </c>
      <c r="O1424" s="3" t="s">
        <v>17</v>
      </c>
    </row>
    <row r="1425" customFormat="false" ht="15" hidden="false" customHeight="false" outlineLevel="0" collapsed="false">
      <c r="A1425" s="0" t="s">
        <v>815</v>
      </c>
      <c r="B1425" s="2" t="n">
        <v>46010</v>
      </c>
      <c r="C1425" s="0" t="str">
        <f aca="false">TEXT(B1425,"mmm")</f>
        <v>Dec</v>
      </c>
      <c r="D1425" s="0" t="str">
        <f aca="false">TEXT(B1425,"ddd")</f>
        <v>Fri</v>
      </c>
      <c r="E1425" s="3" t="s">
        <v>27</v>
      </c>
      <c r="F1425" s="3" t="s">
        <v>78</v>
      </c>
      <c r="G1425" s="3" t="s">
        <v>21</v>
      </c>
      <c r="H1425" s="3" t="s">
        <v>54</v>
      </c>
      <c r="I1425" s="4" t="n">
        <v>284</v>
      </c>
      <c r="J1425" s="4" t="n">
        <v>0</v>
      </c>
      <c r="K1425" s="4" t="n">
        <v>45</v>
      </c>
      <c r="L1425" s="4" t="n">
        <f aca="false">IF(O1425="Delivered",I1425-J1425+K1425,0)</f>
        <v>329</v>
      </c>
      <c r="M1425" s="0" t="n">
        <v>31</v>
      </c>
      <c r="N1425" s="0" t="n">
        <v>4.7</v>
      </c>
      <c r="O1425" s="3" t="s">
        <v>17</v>
      </c>
    </row>
    <row r="1426" customFormat="false" ht="15" hidden="false" customHeight="false" outlineLevel="0" collapsed="false">
      <c r="A1426" s="0" t="s">
        <v>852</v>
      </c>
      <c r="B1426" s="2" t="n">
        <v>46010</v>
      </c>
      <c r="C1426" s="0" t="str">
        <f aca="false">TEXT(B1426,"mmm")</f>
        <v>Dec</v>
      </c>
      <c r="D1426" s="0" t="str">
        <f aca="false">TEXT(B1426,"ddd")</f>
        <v>Fri</v>
      </c>
      <c r="E1426" s="3" t="s">
        <v>40</v>
      </c>
      <c r="F1426" s="3" t="s">
        <v>56</v>
      </c>
      <c r="G1426" s="3" t="s">
        <v>15</v>
      </c>
      <c r="H1426" s="3" t="s">
        <v>22</v>
      </c>
      <c r="I1426" s="4" t="n">
        <v>411</v>
      </c>
      <c r="J1426" s="4" t="n">
        <v>0</v>
      </c>
      <c r="K1426" s="4" t="n">
        <v>20</v>
      </c>
      <c r="L1426" s="4" t="n">
        <f aca="false">IF(O1426="Delivered",I1426-J1426+K1426,0)</f>
        <v>431</v>
      </c>
      <c r="M1426" s="0" t="n">
        <v>26</v>
      </c>
      <c r="N1426" s="0" t="n">
        <v>5</v>
      </c>
      <c r="O1426" s="3" t="s">
        <v>17</v>
      </c>
    </row>
    <row r="1427" customFormat="false" ht="15" hidden="false" customHeight="false" outlineLevel="0" collapsed="false">
      <c r="A1427" s="0" t="s">
        <v>1047</v>
      </c>
      <c r="B1427" s="2" t="n">
        <v>46010</v>
      </c>
      <c r="C1427" s="0" t="str">
        <f aca="false">TEXT(B1427,"mmm")</f>
        <v>Dec</v>
      </c>
      <c r="D1427" s="0" t="str">
        <f aca="false">TEXT(B1427,"ddd")</f>
        <v>Fri</v>
      </c>
      <c r="E1427" s="3" t="s">
        <v>30</v>
      </c>
      <c r="F1427" s="3" t="s">
        <v>56</v>
      </c>
      <c r="G1427" s="3" t="s">
        <v>21</v>
      </c>
      <c r="H1427" s="3" t="s">
        <v>16</v>
      </c>
      <c r="I1427" s="4" t="n">
        <v>408</v>
      </c>
      <c r="J1427" s="4" t="n">
        <v>0</v>
      </c>
      <c r="K1427" s="4" t="n">
        <v>40</v>
      </c>
      <c r="L1427" s="4" t="n">
        <f aca="false">IF(O1427="Delivered",I1427-J1427+K1427,0)</f>
        <v>448</v>
      </c>
      <c r="M1427" s="0" t="n">
        <v>31</v>
      </c>
      <c r="N1427" s="0" t="n">
        <v>4.1</v>
      </c>
      <c r="O1427" s="3" t="s">
        <v>17</v>
      </c>
    </row>
    <row r="1428" customFormat="false" ht="15" hidden="false" customHeight="false" outlineLevel="0" collapsed="false">
      <c r="A1428" s="0" t="s">
        <v>1560</v>
      </c>
      <c r="B1428" s="2" t="n">
        <v>46010</v>
      </c>
      <c r="C1428" s="0" t="str">
        <f aca="false">TEXT(B1428,"mmm")</f>
        <v>Dec</v>
      </c>
      <c r="D1428" s="0" t="str">
        <f aca="false">TEXT(B1428,"ddd")</f>
        <v>Fri</v>
      </c>
      <c r="E1428" s="3" t="s">
        <v>27</v>
      </c>
      <c r="F1428" s="3" t="s">
        <v>14</v>
      </c>
      <c r="G1428" s="3" t="s">
        <v>21</v>
      </c>
      <c r="H1428" s="3" t="s">
        <v>22</v>
      </c>
      <c r="I1428" s="4" t="n">
        <v>202</v>
      </c>
      <c r="J1428" s="4" t="n">
        <v>0</v>
      </c>
      <c r="K1428" s="4" t="n">
        <v>30</v>
      </c>
      <c r="L1428" s="4" t="n">
        <f aca="false">IF(O1428="Delivered",I1428-J1428+K1428,0)</f>
        <v>232</v>
      </c>
      <c r="M1428" s="0" t="n">
        <v>42</v>
      </c>
      <c r="N1428" s="0" t="n">
        <v>3.8</v>
      </c>
      <c r="O1428" s="3" t="s">
        <v>17</v>
      </c>
    </row>
    <row r="1429" customFormat="false" ht="15" hidden="false" customHeight="false" outlineLevel="0" collapsed="false">
      <c r="A1429" s="0" t="s">
        <v>152</v>
      </c>
      <c r="B1429" s="2" t="n">
        <v>46011</v>
      </c>
      <c r="C1429" s="0" t="str">
        <f aca="false">TEXT(B1429,"mmm")</f>
        <v>Dec</v>
      </c>
      <c r="D1429" s="0" t="str">
        <f aca="false">TEXT(B1429,"ddd")</f>
        <v>Sat</v>
      </c>
      <c r="E1429" s="3" t="s">
        <v>24</v>
      </c>
      <c r="F1429" s="3" t="s">
        <v>31</v>
      </c>
      <c r="G1429" s="3" t="s">
        <v>21</v>
      </c>
      <c r="H1429" s="3" t="s">
        <v>22</v>
      </c>
      <c r="I1429" s="4" t="n">
        <v>515</v>
      </c>
      <c r="J1429" s="4" t="n">
        <v>126</v>
      </c>
      <c r="K1429" s="4" t="n">
        <v>0</v>
      </c>
      <c r="L1429" s="4" t="n">
        <f aca="false">IF(O1429="Delivered",I1429-J1429+K1429,0)</f>
        <v>389</v>
      </c>
      <c r="M1429" s="0" t="n">
        <v>42</v>
      </c>
      <c r="N1429" s="0" t="n">
        <v>3.8</v>
      </c>
      <c r="O1429" s="3" t="s">
        <v>17</v>
      </c>
    </row>
    <row r="1430" customFormat="false" ht="15" hidden="false" customHeight="false" outlineLevel="0" collapsed="false">
      <c r="A1430" s="0" t="s">
        <v>726</v>
      </c>
      <c r="B1430" s="2" t="n">
        <v>46011</v>
      </c>
      <c r="C1430" s="0" t="str">
        <f aca="false">TEXT(B1430,"mmm")</f>
        <v>Dec</v>
      </c>
      <c r="D1430" s="0" t="str">
        <f aca="false">TEXT(B1430,"ddd")</f>
        <v>Sat</v>
      </c>
      <c r="E1430" s="3" t="s">
        <v>27</v>
      </c>
      <c r="F1430" s="3" t="s">
        <v>49</v>
      </c>
      <c r="G1430" s="3" t="s">
        <v>21</v>
      </c>
      <c r="H1430" s="3" t="s">
        <v>36</v>
      </c>
      <c r="I1430" s="4" t="n">
        <v>379</v>
      </c>
      <c r="J1430" s="4" t="n">
        <v>0</v>
      </c>
      <c r="K1430" s="4" t="n">
        <v>20</v>
      </c>
      <c r="L1430" s="4" t="n">
        <f aca="false">IF(O1430="Delivered",I1430-J1430+K1430,0)</f>
        <v>399</v>
      </c>
      <c r="M1430" s="0" t="n">
        <v>40</v>
      </c>
      <c r="N1430" s="0" t="n">
        <v>2.9</v>
      </c>
      <c r="O1430" s="3" t="s">
        <v>17</v>
      </c>
    </row>
    <row r="1431" customFormat="false" ht="15" hidden="false" customHeight="false" outlineLevel="0" collapsed="false">
      <c r="A1431" s="0" t="s">
        <v>988</v>
      </c>
      <c r="B1431" s="2" t="n">
        <v>46011</v>
      </c>
      <c r="C1431" s="0" t="str">
        <f aca="false">TEXT(B1431,"mmm")</f>
        <v>Dec</v>
      </c>
      <c r="D1431" s="0" t="str">
        <f aca="false">TEXT(B1431,"ddd")</f>
        <v>Sat</v>
      </c>
      <c r="E1431" s="3" t="s">
        <v>40</v>
      </c>
      <c r="F1431" s="3" t="s">
        <v>25</v>
      </c>
      <c r="G1431" s="3" t="s">
        <v>15</v>
      </c>
      <c r="H1431" s="3" t="s">
        <v>54</v>
      </c>
      <c r="I1431" s="4" t="n">
        <v>539</v>
      </c>
      <c r="J1431" s="4" t="n">
        <v>0</v>
      </c>
      <c r="K1431" s="4" t="n">
        <v>0</v>
      </c>
      <c r="L1431" s="4" t="n">
        <f aca="false">IF(O1431="Delivered",I1431-J1431+K1431,0)</f>
        <v>539</v>
      </c>
      <c r="M1431" s="0" t="n">
        <v>39</v>
      </c>
      <c r="N1431" s="0" t="n">
        <v>4.1</v>
      </c>
      <c r="O1431" s="3" t="s">
        <v>17</v>
      </c>
    </row>
    <row r="1432" customFormat="false" ht="15" hidden="false" customHeight="false" outlineLevel="0" collapsed="false">
      <c r="A1432" s="0" t="s">
        <v>1507</v>
      </c>
      <c r="B1432" s="2" t="n">
        <v>46011</v>
      </c>
      <c r="C1432" s="0" t="str">
        <f aca="false">TEXT(B1432,"mmm")</f>
        <v>Dec</v>
      </c>
      <c r="D1432" s="0" t="str">
        <f aca="false">TEXT(B1432,"ddd")</f>
        <v>Sat</v>
      </c>
      <c r="E1432" s="3" t="s">
        <v>13</v>
      </c>
      <c r="F1432" s="3" t="s">
        <v>14</v>
      </c>
      <c r="G1432" s="3" t="s">
        <v>21</v>
      </c>
      <c r="H1432" s="3" t="s">
        <v>22</v>
      </c>
      <c r="I1432" s="4" t="n">
        <v>334</v>
      </c>
      <c r="J1432" s="4" t="n">
        <v>0</v>
      </c>
      <c r="K1432" s="4" t="n">
        <v>45</v>
      </c>
      <c r="L1432" s="4" t="n">
        <f aca="false">IF(O1432="Delivered",I1432-J1432+K1432,0)</f>
        <v>379</v>
      </c>
      <c r="M1432" s="0" t="n">
        <v>28</v>
      </c>
      <c r="N1432" s="0" t="n">
        <v>3.6</v>
      </c>
      <c r="O1432" s="3" t="s">
        <v>17</v>
      </c>
    </row>
    <row r="1433" customFormat="false" ht="15" hidden="false" customHeight="false" outlineLevel="0" collapsed="false">
      <c r="A1433" s="0" t="s">
        <v>1585</v>
      </c>
      <c r="B1433" s="2" t="n">
        <v>46011</v>
      </c>
      <c r="C1433" s="0" t="str">
        <f aca="false">TEXT(B1433,"mmm")</f>
        <v>Dec</v>
      </c>
      <c r="D1433" s="0" t="str">
        <f aca="false">TEXT(B1433,"ddd")</f>
        <v>Sat</v>
      </c>
      <c r="E1433" s="3" t="s">
        <v>19</v>
      </c>
      <c r="F1433" s="3" t="s">
        <v>49</v>
      </c>
      <c r="G1433" s="3" t="s">
        <v>21</v>
      </c>
      <c r="H1433" s="3" t="s">
        <v>54</v>
      </c>
      <c r="I1433" s="4" t="n">
        <v>519</v>
      </c>
      <c r="J1433" s="4" t="n">
        <v>0</v>
      </c>
      <c r="K1433" s="4" t="n">
        <v>0</v>
      </c>
      <c r="L1433" s="4" t="n">
        <f aca="false">IF(O1433="Delivered",I1433-J1433+K1433,0)</f>
        <v>519</v>
      </c>
      <c r="M1433" s="0" t="n">
        <v>24</v>
      </c>
      <c r="N1433" s="0" t="n">
        <v>5</v>
      </c>
      <c r="O1433" s="3" t="s">
        <v>17</v>
      </c>
    </row>
    <row r="1434" customFormat="false" ht="15" hidden="false" customHeight="false" outlineLevel="0" collapsed="false">
      <c r="A1434" s="0" t="s">
        <v>73</v>
      </c>
      <c r="B1434" s="2" t="n">
        <v>46012</v>
      </c>
      <c r="C1434" s="0" t="str">
        <f aca="false">TEXT(B1434,"mmm")</f>
        <v>Dec</v>
      </c>
      <c r="D1434" s="0" t="str">
        <f aca="false">TEXT(B1434,"ddd")</f>
        <v>Sun</v>
      </c>
      <c r="E1434" s="3" t="s">
        <v>40</v>
      </c>
      <c r="F1434" s="3" t="s">
        <v>31</v>
      </c>
      <c r="G1434" s="3" t="s">
        <v>15</v>
      </c>
      <c r="H1434" s="3" t="s">
        <v>16</v>
      </c>
      <c r="I1434" s="4" t="n">
        <v>351</v>
      </c>
      <c r="J1434" s="4" t="n">
        <v>67</v>
      </c>
      <c r="K1434" s="4" t="n">
        <v>20</v>
      </c>
      <c r="L1434" s="4" t="n">
        <f aca="false">IF(O1434="Delivered",I1434-J1434+K1434,0)</f>
        <v>304</v>
      </c>
      <c r="M1434" s="0" t="n">
        <v>35</v>
      </c>
      <c r="N1434" s="0" t="n">
        <v>4.8</v>
      </c>
      <c r="O1434" s="3" t="s">
        <v>17</v>
      </c>
    </row>
    <row r="1435" customFormat="false" ht="15" hidden="false" customHeight="false" outlineLevel="0" collapsed="false">
      <c r="A1435" s="0" t="s">
        <v>304</v>
      </c>
      <c r="B1435" s="2" t="n">
        <v>46012</v>
      </c>
      <c r="C1435" s="0" t="str">
        <f aca="false">TEXT(B1435,"mmm")</f>
        <v>Dec</v>
      </c>
      <c r="D1435" s="0" t="str">
        <f aca="false">TEXT(B1435,"ddd")</f>
        <v>Sun</v>
      </c>
      <c r="E1435" s="3" t="s">
        <v>13</v>
      </c>
      <c r="F1435" s="3" t="s">
        <v>56</v>
      </c>
      <c r="G1435" s="3" t="s">
        <v>15</v>
      </c>
      <c r="H1435" s="3" t="s">
        <v>36</v>
      </c>
      <c r="I1435" s="4" t="n">
        <v>258</v>
      </c>
      <c r="J1435" s="4" t="n">
        <v>0</v>
      </c>
      <c r="K1435" s="4" t="n">
        <v>20</v>
      </c>
      <c r="L1435" s="4" t="n">
        <f aca="false">IF(O1435="Delivered",I1435-J1435+K1435,0)</f>
        <v>278</v>
      </c>
      <c r="M1435" s="0" t="n">
        <v>20</v>
      </c>
      <c r="N1435" s="0" t="n">
        <v>4.2</v>
      </c>
      <c r="O1435" s="3" t="s">
        <v>17</v>
      </c>
    </row>
    <row r="1436" customFormat="false" ht="15" hidden="false" customHeight="false" outlineLevel="0" collapsed="false">
      <c r="A1436" s="0" t="s">
        <v>1506</v>
      </c>
      <c r="B1436" s="2" t="n">
        <v>46012</v>
      </c>
      <c r="C1436" s="0" t="str">
        <f aca="false">TEXT(B1436,"mmm")</f>
        <v>Dec</v>
      </c>
      <c r="D1436" s="0" t="str">
        <f aca="false">TEXT(B1436,"ddd")</f>
        <v>Sun</v>
      </c>
      <c r="E1436" s="3" t="s">
        <v>30</v>
      </c>
      <c r="F1436" s="3" t="s">
        <v>56</v>
      </c>
      <c r="G1436" s="3" t="s">
        <v>21</v>
      </c>
      <c r="H1436" s="3" t="s">
        <v>34</v>
      </c>
      <c r="I1436" s="4" t="n">
        <v>365</v>
      </c>
      <c r="J1436" s="4" t="n">
        <v>0</v>
      </c>
      <c r="K1436" s="4" t="n">
        <v>45</v>
      </c>
      <c r="L1436" s="4" t="n">
        <f aca="false">IF(O1436="Delivered",I1436-J1436+K1436,0)</f>
        <v>410</v>
      </c>
      <c r="M1436" s="0" t="n">
        <v>27</v>
      </c>
      <c r="N1436" s="0" t="n">
        <v>5</v>
      </c>
      <c r="O1436" s="3" t="s">
        <v>17</v>
      </c>
    </row>
    <row r="1437" customFormat="false" ht="15" hidden="false" customHeight="false" outlineLevel="0" collapsed="false">
      <c r="A1437" s="0" t="s">
        <v>1580</v>
      </c>
      <c r="B1437" s="2" t="n">
        <v>46012</v>
      </c>
      <c r="C1437" s="0" t="str">
        <f aca="false">TEXT(B1437,"mmm")</f>
        <v>Dec</v>
      </c>
      <c r="D1437" s="0" t="str">
        <f aca="false">TEXT(B1437,"ddd")</f>
        <v>Sun</v>
      </c>
      <c r="E1437" s="3" t="s">
        <v>40</v>
      </c>
      <c r="F1437" s="3" t="s">
        <v>31</v>
      </c>
      <c r="G1437" s="3" t="s">
        <v>15</v>
      </c>
      <c r="H1437" s="3" t="s">
        <v>22</v>
      </c>
      <c r="I1437" s="4" t="n">
        <v>537</v>
      </c>
      <c r="J1437" s="4" t="n">
        <v>62</v>
      </c>
      <c r="K1437" s="4" t="n">
        <v>0</v>
      </c>
      <c r="L1437" s="4" t="n">
        <f aca="false">IF(O1437="Delivered",I1437-J1437+K1437,0)</f>
        <v>475</v>
      </c>
      <c r="M1437" s="0" t="n">
        <v>40</v>
      </c>
      <c r="N1437" s="0" t="n">
        <v>4.4</v>
      </c>
      <c r="O1437" s="3" t="s">
        <v>17</v>
      </c>
    </row>
    <row r="1438" customFormat="false" ht="15" hidden="false" customHeight="false" outlineLevel="0" collapsed="false">
      <c r="A1438" s="0" t="s">
        <v>59</v>
      </c>
      <c r="B1438" s="2" t="n">
        <v>46013</v>
      </c>
      <c r="C1438" s="0" t="str">
        <f aca="false">TEXT(B1438,"mmm")</f>
        <v>Dec</v>
      </c>
      <c r="D1438" s="0" t="str">
        <f aca="false">TEXT(B1438,"ddd")</f>
        <v>Mon</v>
      </c>
      <c r="E1438" s="3" t="s">
        <v>45</v>
      </c>
      <c r="F1438" s="3" t="s">
        <v>56</v>
      </c>
      <c r="G1438" s="3" t="s">
        <v>21</v>
      </c>
      <c r="H1438" s="3" t="s">
        <v>22</v>
      </c>
      <c r="I1438" s="4" t="n">
        <v>220</v>
      </c>
      <c r="J1438" s="4" t="n">
        <v>0</v>
      </c>
      <c r="K1438" s="4" t="n">
        <v>40</v>
      </c>
      <c r="L1438" s="4" t="n">
        <f aca="false">IF(O1438="Delivered",I1438-J1438+K1438,0)</f>
        <v>260</v>
      </c>
      <c r="M1438" s="0" t="n">
        <v>27</v>
      </c>
      <c r="N1438" s="0" t="n">
        <v>4.3</v>
      </c>
      <c r="O1438" s="3" t="s">
        <v>17</v>
      </c>
    </row>
    <row r="1439" customFormat="false" ht="15" hidden="false" customHeight="false" outlineLevel="0" collapsed="false">
      <c r="A1439" s="0" t="s">
        <v>156</v>
      </c>
      <c r="B1439" s="2" t="n">
        <v>46013</v>
      </c>
      <c r="C1439" s="0" t="str">
        <f aca="false">TEXT(B1439,"mmm")</f>
        <v>Dec</v>
      </c>
      <c r="D1439" s="0" t="str">
        <f aca="false">TEXT(B1439,"ddd")</f>
        <v>Mon</v>
      </c>
      <c r="E1439" s="3" t="s">
        <v>30</v>
      </c>
      <c r="F1439" s="3" t="s">
        <v>28</v>
      </c>
      <c r="G1439" s="3" t="s">
        <v>21</v>
      </c>
      <c r="H1439" s="3" t="s">
        <v>36</v>
      </c>
      <c r="I1439" s="4" t="n">
        <v>458</v>
      </c>
      <c r="J1439" s="4" t="n">
        <v>56</v>
      </c>
      <c r="K1439" s="4" t="n">
        <v>40</v>
      </c>
      <c r="L1439" s="4" t="n">
        <f aca="false">IF(O1439="Delivered",I1439-J1439+K1439,0)</f>
        <v>442</v>
      </c>
      <c r="M1439" s="0" t="n">
        <v>34</v>
      </c>
      <c r="O1439" s="3" t="s">
        <v>17</v>
      </c>
    </row>
    <row r="1440" customFormat="false" ht="15" hidden="false" customHeight="false" outlineLevel="0" collapsed="false">
      <c r="A1440" s="0" t="s">
        <v>734</v>
      </c>
      <c r="B1440" s="2" t="n">
        <v>46013</v>
      </c>
      <c r="C1440" s="0" t="str">
        <f aca="false">TEXT(B1440,"mmm")</f>
        <v>Dec</v>
      </c>
      <c r="D1440" s="0" t="str">
        <f aca="false">TEXT(B1440,"ddd")</f>
        <v>Mon</v>
      </c>
      <c r="E1440" s="3" t="s">
        <v>40</v>
      </c>
      <c r="F1440" s="3" t="s">
        <v>20</v>
      </c>
      <c r="G1440" s="3" t="s">
        <v>21</v>
      </c>
      <c r="H1440" s="3" t="s">
        <v>16</v>
      </c>
      <c r="I1440" s="4" t="n">
        <v>494</v>
      </c>
      <c r="J1440" s="4" t="n">
        <v>111</v>
      </c>
      <c r="K1440" s="4" t="n">
        <v>45</v>
      </c>
      <c r="L1440" s="4" t="n">
        <f aca="false">IF(O1440="Delivered",I1440-J1440+K1440,0)</f>
        <v>428</v>
      </c>
      <c r="M1440" s="0" t="n">
        <v>42</v>
      </c>
      <c r="N1440" s="0" t="n">
        <v>5</v>
      </c>
      <c r="O1440" s="3" t="s">
        <v>17</v>
      </c>
    </row>
    <row r="1441" customFormat="false" ht="15" hidden="false" customHeight="false" outlineLevel="0" collapsed="false">
      <c r="A1441" s="0" t="s">
        <v>1439</v>
      </c>
      <c r="B1441" s="2" t="n">
        <v>46013</v>
      </c>
      <c r="C1441" s="0" t="str">
        <f aca="false">TEXT(B1441,"mmm")</f>
        <v>Dec</v>
      </c>
      <c r="D1441" s="0" t="str">
        <f aca="false">TEXT(B1441,"ddd")</f>
        <v>Mon</v>
      </c>
      <c r="E1441" s="3" t="s">
        <v>40</v>
      </c>
      <c r="F1441" s="3" t="s">
        <v>78</v>
      </c>
      <c r="G1441" s="3" t="s">
        <v>21</v>
      </c>
      <c r="H1441" s="3" t="s">
        <v>36</v>
      </c>
      <c r="I1441" s="4" t="n">
        <v>404</v>
      </c>
      <c r="J1441" s="4" t="n">
        <v>0</v>
      </c>
      <c r="K1441" s="4" t="n">
        <v>30</v>
      </c>
      <c r="L1441" s="4" t="n">
        <f aca="false">IF(O1441="Delivered",I1441-J1441+K1441,0)</f>
        <v>434</v>
      </c>
      <c r="M1441" s="0" t="n">
        <v>39</v>
      </c>
      <c r="N1441" s="0" t="n">
        <v>4.3</v>
      </c>
      <c r="O1441" s="3" t="s">
        <v>17</v>
      </c>
    </row>
    <row r="1442" customFormat="false" ht="15" hidden="false" customHeight="false" outlineLevel="0" collapsed="false">
      <c r="A1442" s="0" t="s">
        <v>269</v>
      </c>
      <c r="B1442" s="2" t="n">
        <v>46014</v>
      </c>
      <c r="C1442" s="0" t="str">
        <f aca="false">TEXT(B1442,"mmm")</f>
        <v>Dec</v>
      </c>
      <c r="D1442" s="0" t="str">
        <f aca="false">TEXT(B1442,"ddd")</f>
        <v>Tue</v>
      </c>
      <c r="E1442" s="3" t="s">
        <v>19</v>
      </c>
      <c r="F1442" s="3" t="s">
        <v>49</v>
      </c>
      <c r="G1442" s="3" t="s">
        <v>21</v>
      </c>
      <c r="H1442" s="3" t="s">
        <v>16</v>
      </c>
      <c r="I1442" s="4" t="n">
        <v>555</v>
      </c>
      <c r="J1442" s="4" t="n">
        <v>0</v>
      </c>
      <c r="K1442" s="4" t="n">
        <v>0</v>
      </c>
      <c r="L1442" s="4" t="n">
        <f aca="false">IF(O1442="Delivered",I1442-J1442+K1442,0)</f>
        <v>555</v>
      </c>
      <c r="M1442" s="0" t="n">
        <v>13</v>
      </c>
      <c r="N1442" s="0" t="n">
        <v>5</v>
      </c>
      <c r="O1442" s="3" t="s">
        <v>17</v>
      </c>
    </row>
    <row r="1443" customFormat="false" ht="15" hidden="false" customHeight="false" outlineLevel="0" collapsed="false">
      <c r="A1443" s="0" t="s">
        <v>1549</v>
      </c>
      <c r="B1443" s="2" t="n">
        <v>46014</v>
      </c>
      <c r="C1443" s="0" t="str">
        <f aca="false">TEXT(B1443,"mmm")</f>
        <v>Dec</v>
      </c>
      <c r="D1443" s="0" t="str">
        <f aca="false">TEXT(B1443,"ddd")</f>
        <v>Tue</v>
      </c>
      <c r="E1443" s="3" t="s">
        <v>40</v>
      </c>
      <c r="F1443" s="3" t="s">
        <v>20</v>
      </c>
      <c r="G1443" s="3" t="s">
        <v>15</v>
      </c>
      <c r="H1443" s="3" t="s">
        <v>16</v>
      </c>
      <c r="I1443" s="4" t="n">
        <v>459</v>
      </c>
      <c r="J1443" s="4" t="n">
        <v>0</v>
      </c>
      <c r="K1443" s="4" t="n">
        <v>45</v>
      </c>
      <c r="L1443" s="4" t="n">
        <f aca="false">IF(O1443="Delivered",I1443-J1443+K1443,0)</f>
        <v>504</v>
      </c>
      <c r="M1443" s="0" t="n">
        <v>54</v>
      </c>
      <c r="N1443" s="0" t="n">
        <v>4.1</v>
      </c>
      <c r="O1443" s="3" t="s">
        <v>17</v>
      </c>
    </row>
    <row r="1444" customFormat="false" ht="15" hidden="false" customHeight="false" outlineLevel="0" collapsed="false">
      <c r="A1444" s="0" t="s">
        <v>1599</v>
      </c>
      <c r="B1444" s="2" t="n">
        <v>46014</v>
      </c>
      <c r="C1444" s="0" t="str">
        <f aca="false">TEXT(B1444,"mmm")</f>
        <v>Dec</v>
      </c>
      <c r="D1444" s="0" t="str">
        <f aca="false">TEXT(B1444,"ddd")</f>
        <v>Tue</v>
      </c>
      <c r="E1444" s="3" t="s">
        <v>13</v>
      </c>
      <c r="F1444" s="3" t="s">
        <v>56</v>
      </c>
      <c r="G1444" s="3" t="s">
        <v>15</v>
      </c>
      <c r="H1444" s="3" t="s">
        <v>22</v>
      </c>
      <c r="I1444" s="4" t="n">
        <v>479</v>
      </c>
      <c r="J1444" s="4" t="n">
        <v>0</v>
      </c>
      <c r="K1444" s="4" t="n">
        <v>30</v>
      </c>
      <c r="L1444" s="4" t="n">
        <f aca="false">IF(O1444="Delivered",I1444-J1444+K1444,0)</f>
        <v>509</v>
      </c>
      <c r="M1444" s="0" t="n">
        <v>27</v>
      </c>
      <c r="N1444" s="0" t="n">
        <v>4.6</v>
      </c>
      <c r="O1444" s="3" t="s">
        <v>17</v>
      </c>
    </row>
    <row r="1445" customFormat="false" ht="15" hidden="false" customHeight="false" outlineLevel="0" collapsed="false">
      <c r="A1445" s="0" t="s">
        <v>32</v>
      </c>
      <c r="B1445" s="2" t="n">
        <v>46015</v>
      </c>
      <c r="C1445" s="0" t="str">
        <f aca="false">TEXT(B1445,"mmm")</f>
        <v>Dec</v>
      </c>
      <c r="D1445" s="0" t="str">
        <f aca="false">TEXT(B1445,"ddd")</f>
        <v>Wed</v>
      </c>
      <c r="E1445" s="3" t="s">
        <v>27</v>
      </c>
      <c r="F1445" s="3" t="s">
        <v>28</v>
      </c>
      <c r="G1445" s="3" t="s">
        <v>21</v>
      </c>
      <c r="H1445" s="3" t="s">
        <v>16</v>
      </c>
      <c r="I1445" s="4" t="n">
        <v>540</v>
      </c>
      <c r="J1445" s="4" t="n">
        <v>0</v>
      </c>
      <c r="K1445" s="4" t="n">
        <v>0</v>
      </c>
      <c r="L1445" s="4" t="n">
        <f aca="false">IF(O1445="Delivered",I1445-J1445+K1445,0)</f>
        <v>540</v>
      </c>
      <c r="M1445" s="0" t="n">
        <v>38</v>
      </c>
      <c r="N1445" s="0" t="n">
        <v>3.7</v>
      </c>
      <c r="O1445" s="3" t="s">
        <v>17</v>
      </c>
    </row>
    <row r="1446" customFormat="false" ht="15" hidden="false" customHeight="false" outlineLevel="0" collapsed="false">
      <c r="A1446" s="0" t="s">
        <v>1220</v>
      </c>
      <c r="B1446" s="2" t="n">
        <v>46015</v>
      </c>
      <c r="C1446" s="0" t="str">
        <f aca="false">TEXT(B1446,"mmm")</f>
        <v>Dec</v>
      </c>
      <c r="D1446" s="0" t="str">
        <f aca="false">TEXT(B1446,"ddd")</f>
        <v>Wed</v>
      </c>
      <c r="E1446" s="3" t="s">
        <v>24</v>
      </c>
      <c r="F1446" s="3" t="s">
        <v>28</v>
      </c>
      <c r="G1446" s="3" t="s">
        <v>15</v>
      </c>
      <c r="H1446" s="3" t="s">
        <v>36</v>
      </c>
      <c r="I1446" s="4" t="n">
        <v>402</v>
      </c>
      <c r="J1446" s="4" t="n">
        <v>62</v>
      </c>
      <c r="K1446" s="4" t="n">
        <v>45</v>
      </c>
      <c r="L1446" s="4" t="n">
        <f aca="false">IF(O1446="Delivered",I1446-J1446+K1446,0)</f>
        <v>385</v>
      </c>
      <c r="M1446" s="0" t="n">
        <v>39</v>
      </c>
      <c r="N1446" s="0" t="n">
        <v>4.1</v>
      </c>
      <c r="O1446" s="3" t="s">
        <v>17</v>
      </c>
    </row>
    <row r="1447" customFormat="false" ht="15" hidden="false" customHeight="false" outlineLevel="0" collapsed="false">
      <c r="A1447" s="0" t="s">
        <v>1292</v>
      </c>
      <c r="B1447" s="2" t="n">
        <v>46015</v>
      </c>
      <c r="C1447" s="0" t="str">
        <f aca="false">TEXT(B1447,"mmm")</f>
        <v>Dec</v>
      </c>
      <c r="D1447" s="0" t="str">
        <f aca="false">TEXT(B1447,"ddd")</f>
        <v>Wed</v>
      </c>
      <c r="E1447" s="3" t="s">
        <v>27</v>
      </c>
      <c r="F1447" s="3" t="s">
        <v>56</v>
      </c>
      <c r="G1447" s="3" t="s">
        <v>15</v>
      </c>
      <c r="H1447" s="3" t="s">
        <v>22</v>
      </c>
      <c r="I1447" s="4" t="n">
        <v>507</v>
      </c>
      <c r="J1447" s="4" t="n">
        <v>0</v>
      </c>
      <c r="K1447" s="4" t="n">
        <v>0</v>
      </c>
      <c r="L1447" s="4" t="n">
        <f aca="false">IF(O1447="Delivered",I1447-J1447+K1447,0)</f>
        <v>507</v>
      </c>
      <c r="M1447" s="0" t="n">
        <v>40</v>
      </c>
      <c r="N1447" s="0" t="n">
        <v>5</v>
      </c>
      <c r="O1447" s="3" t="s">
        <v>17</v>
      </c>
    </row>
    <row r="1448" customFormat="false" ht="15" hidden="false" customHeight="false" outlineLevel="0" collapsed="false">
      <c r="A1448" s="0" t="s">
        <v>1357</v>
      </c>
      <c r="B1448" s="2" t="n">
        <v>46015</v>
      </c>
      <c r="C1448" s="0" t="str">
        <f aca="false">TEXT(B1448,"mmm")</f>
        <v>Dec</v>
      </c>
      <c r="D1448" s="0" t="str">
        <f aca="false">TEXT(B1448,"ddd")</f>
        <v>Wed</v>
      </c>
      <c r="E1448" s="3" t="s">
        <v>19</v>
      </c>
      <c r="F1448" s="3" t="s">
        <v>14</v>
      </c>
      <c r="G1448" s="3" t="s">
        <v>21</v>
      </c>
      <c r="H1448" s="3" t="s">
        <v>16</v>
      </c>
      <c r="I1448" s="4" t="n">
        <v>251</v>
      </c>
      <c r="J1448" s="4" t="n">
        <v>0</v>
      </c>
      <c r="K1448" s="4" t="n">
        <v>45</v>
      </c>
      <c r="L1448" s="4" t="n">
        <f aca="false">IF(O1448="Delivered",I1448-J1448+K1448,0)</f>
        <v>296</v>
      </c>
      <c r="M1448" s="0" t="n">
        <v>22</v>
      </c>
      <c r="N1448" s="0" t="n">
        <v>4.9</v>
      </c>
      <c r="O1448" s="3" t="s">
        <v>17</v>
      </c>
    </row>
    <row r="1449" customFormat="false" ht="15" hidden="false" customHeight="false" outlineLevel="0" collapsed="false">
      <c r="A1449" s="0" t="s">
        <v>1591</v>
      </c>
      <c r="B1449" s="2" t="n">
        <v>46015</v>
      </c>
      <c r="C1449" s="0" t="str">
        <f aca="false">TEXT(B1449,"mmm")</f>
        <v>Dec</v>
      </c>
      <c r="D1449" s="0" t="str">
        <f aca="false">TEXT(B1449,"ddd")</f>
        <v>Wed</v>
      </c>
      <c r="E1449" s="3" t="s">
        <v>40</v>
      </c>
      <c r="F1449" s="3" t="s">
        <v>31</v>
      </c>
      <c r="G1449" s="3" t="s">
        <v>15</v>
      </c>
      <c r="H1449" s="3" t="s">
        <v>36</v>
      </c>
      <c r="I1449" s="4" t="n">
        <v>316</v>
      </c>
      <c r="J1449" s="4" t="n">
        <v>0</v>
      </c>
      <c r="K1449" s="4" t="n">
        <v>40</v>
      </c>
      <c r="L1449" s="4" t="n">
        <f aca="false">IF(O1449="Delivered",I1449-J1449+K1449,0)</f>
        <v>356</v>
      </c>
      <c r="M1449" s="0" t="n">
        <v>44</v>
      </c>
      <c r="N1449" s="0" t="n">
        <v>5</v>
      </c>
      <c r="O1449" s="3" t="s">
        <v>17</v>
      </c>
    </row>
    <row r="1450" customFormat="false" ht="15" hidden="false" customHeight="false" outlineLevel="0" collapsed="false">
      <c r="A1450" s="0" t="s">
        <v>1616</v>
      </c>
      <c r="B1450" s="2" t="n">
        <v>46015</v>
      </c>
      <c r="C1450" s="0" t="str">
        <f aca="false">TEXT(B1450,"mmm")</f>
        <v>Dec</v>
      </c>
      <c r="D1450" s="0" t="str">
        <f aca="false">TEXT(B1450,"ddd")</f>
        <v>Wed</v>
      </c>
      <c r="E1450" s="3" t="s">
        <v>27</v>
      </c>
      <c r="F1450" s="3" t="s">
        <v>20</v>
      </c>
      <c r="G1450" s="3" t="s">
        <v>21</v>
      </c>
      <c r="H1450" s="3" t="s">
        <v>16</v>
      </c>
      <c r="I1450" s="4" t="n">
        <v>627</v>
      </c>
      <c r="J1450" s="4" t="n">
        <v>0</v>
      </c>
      <c r="K1450" s="4" t="n">
        <v>0</v>
      </c>
      <c r="L1450" s="4" t="n">
        <f aca="false">IF(O1450="Delivered",I1450-J1450+K1450,0)</f>
        <v>627</v>
      </c>
      <c r="M1450" s="0" t="n">
        <v>39</v>
      </c>
      <c r="N1450" s="0" t="n">
        <v>4.8</v>
      </c>
      <c r="O1450" s="3" t="s">
        <v>17</v>
      </c>
    </row>
    <row r="1451" customFormat="false" ht="15" hidden="false" customHeight="false" outlineLevel="0" collapsed="false">
      <c r="A1451" s="0" t="s">
        <v>1620</v>
      </c>
      <c r="B1451" s="2" t="n">
        <v>46015</v>
      </c>
      <c r="C1451" s="0" t="str">
        <f aca="false">TEXT(B1451,"mmm")</f>
        <v>Dec</v>
      </c>
      <c r="D1451" s="0" t="str">
        <f aca="false">TEXT(B1451,"ddd")</f>
        <v>Wed</v>
      </c>
      <c r="E1451" s="3" t="s">
        <v>40</v>
      </c>
      <c r="F1451" s="3" t="s">
        <v>25</v>
      </c>
      <c r="G1451" s="3" t="s">
        <v>21</v>
      </c>
      <c r="H1451" s="3" t="s">
        <v>54</v>
      </c>
      <c r="I1451" s="4" t="n">
        <v>499</v>
      </c>
      <c r="J1451" s="4" t="n">
        <v>0</v>
      </c>
      <c r="K1451" s="4" t="n">
        <v>20</v>
      </c>
      <c r="L1451" s="4" t="n">
        <f aca="false">IF(O1451="Delivered",I1451-J1451+K1451,0)</f>
        <v>519</v>
      </c>
      <c r="M1451" s="0" t="n">
        <v>37</v>
      </c>
      <c r="N1451" s="0" t="n">
        <v>4.3</v>
      </c>
      <c r="O1451" s="3" t="s">
        <v>17</v>
      </c>
    </row>
    <row r="1452" customFormat="false" ht="15" hidden="false" customHeight="false" outlineLevel="0" collapsed="false">
      <c r="A1452" s="0" t="s">
        <v>374</v>
      </c>
      <c r="B1452" s="2" t="n">
        <v>46016</v>
      </c>
      <c r="C1452" s="0" t="str">
        <f aca="false">TEXT(B1452,"mmm")</f>
        <v>Dec</v>
      </c>
      <c r="D1452" s="0" t="str">
        <f aca="false">TEXT(B1452,"ddd")</f>
        <v>Thu</v>
      </c>
      <c r="E1452" s="3" t="s">
        <v>27</v>
      </c>
      <c r="F1452" s="3" t="s">
        <v>28</v>
      </c>
      <c r="G1452" s="3" t="s">
        <v>15</v>
      </c>
      <c r="H1452" s="3" t="s">
        <v>36</v>
      </c>
      <c r="I1452" s="4" t="n">
        <v>413</v>
      </c>
      <c r="J1452" s="4" t="n">
        <v>0</v>
      </c>
      <c r="K1452" s="4" t="n">
        <v>20</v>
      </c>
      <c r="L1452" s="4" t="n">
        <f aca="false">IF(O1452="Delivered",I1452-J1452+K1452,0)</f>
        <v>433</v>
      </c>
      <c r="M1452" s="0" t="n">
        <v>40</v>
      </c>
      <c r="N1452" s="0" t="n">
        <v>4.1</v>
      </c>
      <c r="O1452" s="3" t="s">
        <v>17</v>
      </c>
    </row>
    <row r="1453" customFormat="false" ht="15" hidden="false" customHeight="false" outlineLevel="0" collapsed="false">
      <c r="A1453" s="0" t="s">
        <v>543</v>
      </c>
      <c r="B1453" s="2" t="n">
        <v>46016</v>
      </c>
      <c r="C1453" s="0" t="str">
        <f aca="false">TEXT(B1453,"mmm")</f>
        <v>Dec</v>
      </c>
      <c r="D1453" s="0" t="str">
        <f aca="false">TEXT(B1453,"ddd")</f>
        <v>Thu</v>
      </c>
      <c r="E1453" s="3" t="s">
        <v>24</v>
      </c>
      <c r="F1453" s="3" t="s">
        <v>28</v>
      </c>
      <c r="G1453" s="3" t="s">
        <v>21</v>
      </c>
      <c r="H1453" s="3" t="s">
        <v>36</v>
      </c>
      <c r="I1453" s="4" t="n">
        <v>478</v>
      </c>
      <c r="J1453" s="4" t="n">
        <v>100</v>
      </c>
      <c r="K1453" s="4" t="n">
        <v>40</v>
      </c>
      <c r="L1453" s="4" t="n">
        <f aca="false">IF(O1453="Delivered",I1453-J1453+K1453,0)</f>
        <v>418</v>
      </c>
      <c r="M1453" s="0" t="n">
        <v>24</v>
      </c>
      <c r="N1453" s="0" t="n">
        <v>4</v>
      </c>
      <c r="O1453" s="3" t="s">
        <v>17</v>
      </c>
    </row>
    <row r="1454" customFormat="false" ht="15" hidden="false" customHeight="false" outlineLevel="0" collapsed="false">
      <c r="A1454" s="0" t="s">
        <v>555</v>
      </c>
      <c r="B1454" s="2" t="n">
        <v>46016</v>
      </c>
      <c r="C1454" s="0" t="str">
        <f aca="false">TEXT(B1454,"mmm")</f>
        <v>Dec</v>
      </c>
      <c r="D1454" s="0" t="str">
        <f aca="false">TEXT(B1454,"ddd")</f>
        <v>Thu</v>
      </c>
      <c r="E1454" s="3" t="s">
        <v>27</v>
      </c>
      <c r="F1454" s="3" t="s">
        <v>49</v>
      </c>
      <c r="G1454" s="3" t="s">
        <v>21</v>
      </c>
      <c r="H1454" s="3" t="s">
        <v>16</v>
      </c>
      <c r="I1454" s="4" t="n">
        <v>450</v>
      </c>
      <c r="J1454" s="4" t="n">
        <v>0</v>
      </c>
      <c r="K1454" s="4" t="n">
        <v>20</v>
      </c>
      <c r="L1454" s="4" t="n">
        <f aca="false">IF(O1454="Delivered",I1454-J1454+K1454,0)</f>
        <v>470</v>
      </c>
      <c r="M1454" s="0" t="n">
        <v>47</v>
      </c>
      <c r="N1454" s="0" t="n">
        <v>3.9</v>
      </c>
      <c r="O1454" s="3" t="s">
        <v>17</v>
      </c>
    </row>
    <row r="1455" customFormat="false" ht="15" hidden="false" customHeight="false" outlineLevel="0" collapsed="false">
      <c r="A1455" s="0" t="s">
        <v>746</v>
      </c>
      <c r="B1455" s="2" t="n">
        <v>46016</v>
      </c>
      <c r="C1455" s="0" t="str">
        <f aca="false">TEXT(B1455,"mmm")</f>
        <v>Dec</v>
      </c>
      <c r="D1455" s="0" t="str">
        <f aca="false">TEXT(B1455,"ddd")</f>
        <v>Thu</v>
      </c>
      <c r="E1455" s="3" t="s">
        <v>24</v>
      </c>
      <c r="F1455" s="3" t="s">
        <v>28</v>
      </c>
      <c r="G1455" s="3" t="s">
        <v>21</v>
      </c>
      <c r="H1455" s="3" t="s">
        <v>22</v>
      </c>
      <c r="I1455" s="4" t="n">
        <v>366</v>
      </c>
      <c r="J1455" s="4" t="n">
        <v>0</v>
      </c>
      <c r="K1455" s="4" t="n">
        <v>30</v>
      </c>
      <c r="L1455" s="4" t="n">
        <f aca="false">IF(O1455="Delivered",I1455-J1455+K1455,0)</f>
        <v>396</v>
      </c>
      <c r="M1455" s="0" t="n">
        <v>41</v>
      </c>
      <c r="N1455" s="0" t="n">
        <v>4.4</v>
      </c>
      <c r="O1455" s="3" t="s">
        <v>17</v>
      </c>
    </row>
    <row r="1456" customFormat="false" ht="15" hidden="false" customHeight="false" outlineLevel="0" collapsed="false">
      <c r="A1456" s="0" t="s">
        <v>1014</v>
      </c>
      <c r="B1456" s="2" t="n">
        <v>46016</v>
      </c>
      <c r="C1456" s="0" t="str">
        <f aca="false">TEXT(B1456,"mmm")</f>
        <v>Dec</v>
      </c>
      <c r="D1456" s="0" t="str">
        <f aca="false">TEXT(B1456,"ddd")</f>
        <v>Thu</v>
      </c>
      <c r="E1456" s="3" t="s">
        <v>24</v>
      </c>
      <c r="F1456" s="3" t="s">
        <v>31</v>
      </c>
      <c r="G1456" s="3" t="s">
        <v>15</v>
      </c>
      <c r="H1456" s="3" t="s">
        <v>16</v>
      </c>
      <c r="I1456" s="4" t="n">
        <v>700</v>
      </c>
      <c r="J1456" s="4" t="n">
        <v>0</v>
      </c>
      <c r="K1456" s="4" t="n">
        <v>0</v>
      </c>
      <c r="L1456" s="4" t="n">
        <f aca="false">IF(O1456="Delivered",I1456-J1456+K1456,0)</f>
        <v>700</v>
      </c>
      <c r="M1456" s="0" t="n">
        <v>29</v>
      </c>
      <c r="N1456" s="0" t="n">
        <v>4.6</v>
      </c>
      <c r="O1456" s="3" t="s">
        <v>17</v>
      </c>
    </row>
    <row r="1457" customFormat="false" ht="15" hidden="false" customHeight="false" outlineLevel="0" collapsed="false">
      <c r="A1457" s="0" t="s">
        <v>1240</v>
      </c>
      <c r="B1457" s="2" t="n">
        <v>46016</v>
      </c>
      <c r="C1457" s="0" t="str">
        <f aca="false">TEXT(B1457,"mmm")</f>
        <v>Dec</v>
      </c>
      <c r="D1457" s="0" t="str">
        <f aca="false">TEXT(B1457,"ddd")</f>
        <v>Thu</v>
      </c>
      <c r="E1457" s="3" t="s">
        <v>40</v>
      </c>
      <c r="F1457" s="3" t="s">
        <v>20</v>
      </c>
      <c r="G1457" s="3" t="s">
        <v>21</v>
      </c>
      <c r="H1457" s="3" t="s">
        <v>34</v>
      </c>
      <c r="I1457" s="4" t="n">
        <v>464</v>
      </c>
      <c r="J1457" s="4" t="n">
        <v>0</v>
      </c>
      <c r="K1457" s="4" t="n">
        <v>30</v>
      </c>
      <c r="L1457" s="4" t="n">
        <f aca="false">IF(O1457="Delivered",I1457-J1457+K1457,0)</f>
        <v>494</v>
      </c>
      <c r="M1457" s="0" t="n">
        <v>46</v>
      </c>
      <c r="N1457" s="0" t="n">
        <v>4.1</v>
      </c>
      <c r="O1457" s="3" t="s">
        <v>17</v>
      </c>
    </row>
    <row r="1458" customFormat="false" ht="15" hidden="false" customHeight="false" outlineLevel="0" collapsed="false">
      <c r="A1458" s="0" t="s">
        <v>1436</v>
      </c>
      <c r="B1458" s="2" t="n">
        <v>46016</v>
      </c>
      <c r="C1458" s="0" t="str">
        <f aca="false">TEXT(B1458,"mmm")</f>
        <v>Dec</v>
      </c>
      <c r="D1458" s="0" t="str">
        <f aca="false">TEXT(B1458,"ddd")</f>
        <v>Thu</v>
      </c>
      <c r="E1458" s="3" t="s">
        <v>13</v>
      </c>
      <c r="F1458" s="3" t="s">
        <v>14</v>
      </c>
      <c r="G1458" s="3" t="s">
        <v>21</v>
      </c>
      <c r="H1458" s="3" t="s">
        <v>34</v>
      </c>
      <c r="I1458" s="4" t="n">
        <v>379</v>
      </c>
      <c r="J1458" s="4" t="n">
        <v>0</v>
      </c>
      <c r="K1458" s="4" t="n">
        <v>20</v>
      </c>
      <c r="L1458" s="4" t="n">
        <f aca="false">IF(O1458="Delivered",I1458-J1458+K1458,0)</f>
        <v>399</v>
      </c>
      <c r="M1458" s="0" t="n">
        <v>46</v>
      </c>
      <c r="N1458" s="0" t="n">
        <v>3.2</v>
      </c>
      <c r="O1458" s="3" t="s">
        <v>17</v>
      </c>
    </row>
    <row r="1459" customFormat="false" ht="15" hidden="false" customHeight="false" outlineLevel="0" collapsed="false">
      <c r="A1459" s="0" t="s">
        <v>720</v>
      </c>
      <c r="B1459" s="2" t="n">
        <v>46017</v>
      </c>
      <c r="C1459" s="0" t="str">
        <f aca="false">TEXT(B1459,"mmm")</f>
        <v>Dec</v>
      </c>
      <c r="D1459" s="0" t="str">
        <f aca="false">TEXT(B1459,"ddd")</f>
        <v>Fri</v>
      </c>
      <c r="E1459" s="3" t="s">
        <v>40</v>
      </c>
      <c r="F1459" s="3" t="s">
        <v>78</v>
      </c>
      <c r="G1459" s="3" t="s">
        <v>21</v>
      </c>
      <c r="H1459" s="3" t="s">
        <v>22</v>
      </c>
      <c r="I1459" s="4" t="n">
        <v>475</v>
      </c>
      <c r="J1459" s="4" t="n">
        <v>0</v>
      </c>
      <c r="K1459" s="4" t="n">
        <v>30</v>
      </c>
      <c r="L1459" s="4" t="n">
        <f aca="false">IF(O1459="Delivered",I1459-J1459+K1459,0)</f>
        <v>505</v>
      </c>
      <c r="M1459" s="0" t="n">
        <v>33</v>
      </c>
      <c r="N1459" s="0" t="n">
        <v>3.7</v>
      </c>
      <c r="O1459" s="3" t="s">
        <v>17</v>
      </c>
    </row>
    <row r="1460" customFormat="false" ht="15" hidden="false" customHeight="false" outlineLevel="0" collapsed="false">
      <c r="A1460" s="0" t="s">
        <v>975</v>
      </c>
      <c r="B1460" s="2" t="n">
        <v>46017</v>
      </c>
      <c r="C1460" s="0" t="str">
        <f aca="false">TEXT(B1460,"mmm")</f>
        <v>Dec</v>
      </c>
      <c r="D1460" s="0" t="str">
        <f aca="false">TEXT(B1460,"ddd")</f>
        <v>Fri</v>
      </c>
      <c r="E1460" s="3" t="s">
        <v>24</v>
      </c>
      <c r="F1460" s="3" t="s">
        <v>31</v>
      </c>
      <c r="G1460" s="3" t="s">
        <v>21</v>
      </c>
      <c r="H1460" s="3" t="s">
        <v>34</v>
      </c>
      <c r="I1460" s="4" t="n">
        <v>379</v>
      </c>
      <c r="J1460" s="4" t="n">
        <v>0</v>
      </c>
      <c r="K1460" s="4" t="n">
        <v>30</v>
      </c>
      <c r="L1460" s="4" t="n">
        <f aca="false">IF(O1460="Delivered",I1460-J1460+K1460,0)</f>
        <v>409</v>
      </c>
      <c r="M1460" s="0" t="n">
        <v>35</v>
      </c>
      <c r="N1460" s="0" t="n">
        <v>5</v>
      </c>
      <c r="O1460" s="3" t="s">
        <v>17</v>
      </c>
    </row>
    <row r="1461" customFormat="false" ht="15" hidden="false" customHeight="false" outlineLevel="0" collapsed="false">
      <c r="A1461" s="0" t="s">
        <v>1057</v>
      </c>
      <c r="B1461" s="2" t="n">
        <v>46017</v>
      </c>
      <c r="C1461" s="0" t="str">
        <f aca="false">TEXT(B1461,"mmm")</f>
        <v>Dec</v>
      </c>
      <c r="D1461" s="0" t="str">
        <f aca="false">TEXT(B1461,"ddd")</f>
        <v>Fri</v>
      </c>
      <c r="E1461" s="3" t="s">
        <v>27</v>
      </c>
      <c r="F1461" s="3" t="s">
        <v>56</v>
      </c>
      <c r="G1461" s="3" t="s">
        <v>21</v>
      </c>
      <c r="H1461" s="3" t="s">
        <v>36</v>
      </c>
      <c r="I1461" s="4" t="n">
        <v>407</v>
      </c>
      <c r="J1461" s="4" t="n">
        <v>45</v>
      </c>
      <c r="K1461" s="4" t="n">
        <v>40</v>
      </c>
      <c r="L1461" s="4" t="n">
        <f aca="false">IF(O1461="Delivered",I1461-J1461+K1461,0)</f>
        <v>402</v>
      </c>
      <c r="M1461" s="0" t="n">
        <v>45</v>
      </c>
      <c r="N1461" s="0" t="n">
        <v>4.3</v>
      </c>
      <c r="O1461" s="3" t="s">
        <v>17</v>
      </c>
    </row>
    <row r="1462" customFormat="false" ht="15" hidden="false" customHeight="false" outlineLevel="0" collapsed="false">
      <c r="A1462" s="0" t="s">
        <v>1271</v>
      </c>
      <c r="B1462" s="2" t="n">
        <v>46017</v>
      </c>
      <c r="C1462" s="0" t="str">
        <f aca="false">TEXT(B1462,"mmm")</f>
        <v>Dec</v>
      </c>
      <c r="D1462" s="0" t="str">
        <f aca="false">TEXT(B1462,"ddd")</f>
        <v>Fri</v>
      </c>
      <c r="E1462" s="3" t="s">
        <v>24</v>
      </c>
      <c r="F1462" s="3" t="s">
        <v>28</v>
      </c>
      <c r="G1462" s="3" t="s">
        <v>21</v>
      </c>
      <c r="H1462" s="3" t="s">
        <v>36</v>
      </c>
      <c r="I1462" s="4" t="n">
        <v>475</v>
      </c>
      <c r="J1462" s="4" t="n">
        <v>0</v>
      </c>
      <c r="K1462" s="4" t="n">
        <v>45</v>
      </c>
      <c r="L1462" s="4" t="n">
        <f aca="false">IF(O1462="Delivered",I1462-J1462+K1462,0)</f>
        <v>520</v>
      </c>
      <c r="M1462" s="0" t="n">
        <v>37</v>
      </c>
      <c r="N1462" s="0" t="n">
        <v>4.9</v>
      </c>
      <c r="O1462" s="3" t="s">
        <v>17</v>
      </c>
    </row>
    <row r="1463" customFormat="false" ht="15" hidden="false" customHeight="false" outlineLevel="0" collapsed="false">
      <c r="A1463" s="0" t="s">
        <v>1518</v>
      </c>
      <c r="B1463" s="2" t="n">
        <v>46017</v>
      </c>
      <c r="C1463" s="0" t="str">
        <f aca="false">TEXT(B1463,"mmm")</f>
        <v>Dec</v>
      </c>
      <c r="D1463" s="0" t="str">
        <f aca="false">TEXT(B1463,"ddd")</f>
        <v>Fri</v>
      </c>
      <c r="E1463" s="3" t="s">
        <v>24</v>
      </c>
      <c r="F1463" s="3" t="s">
        <v>28</v>
      </c>
      <c r="G1463" s="3" t="s">
        <v>21</v>
      </c>
      <c r="H1463" s="3" t="s">
        <v>22</v>
      </c>
      <c r="I1463" s="4" t="n">
        <v>531</v>
      </c>
      <c r="J1463" s="4" t="n">
        <v>103</v>
      </c>
      <c r="K1463" s="4" t="n">
        <v>0</v>
      </c>
      <c r="L1463" s="4" t="n">
        <f aca="false">IF(O1463="Delivered",I1463-J1463+K1463,0)</f>
        <v>428</v>
      </c>
      <c r="M1463" s="0" t="n">
        <v>35</v>
      </c>
      <c r="N1463" s="0" t="n">
        <v>5</v>
      </c>
      <c r="O1463" s="3" t="s">
        <v>17</v>
      </c>
    </row>
    <row r="1464" customFormat="false" ht="15" hidden="false" customHeight="false" outlineLevel="0" collapsed="false">
      <c r="A1464" s="0" t="s">
        <v>1672</v>
      </c>
      <c r="B1464" s="2" t="n">
        <v>46017</v>
      </c>
      <c r="C1464" s="0" t="str">
        <f aca="false">TEXT(B1464,"mmm")</f>
        <v>Dec</v>
      </c>
      <c r="D1464" s="0" t="str">
        <f aca="false">TEXT(B1464,"ddd")</f>
        <v>Fri</v>
      </c>
      <c r="E1464" s="3" t="s">
        <v>40</v>
      </c>
      <c r="F1464" s="3" t="s">
        <v>28</v>
      </c>
      <c r="G1464" s="3" t="s">
        <v>15</v>
      </c>
      <c r="H1464" s="3" t="s">
        <v>22</v>
      </c>
      <c r="I1464" s="4" t="n">
        <v>586</v>
      </c>
      <c r="J1464" s="4" t="n">
        <v>86</v>
      </c>
      <c r="K1464" s="4" t="n">
        <v>0</v>
      </c>
      <c r="L1464" s="4" t="n">
        <f aca="false">IF(O1464="Delivered",I1464-J1464+K1464,0)</f>
        <v>500</v>
      </c>
      <c r="M1464" s="0" t="n">
        <v>26</v>
      </c>
      <c r="N1464" s="0" t="n">
        <v>4.8</v>
      </c>
      <c r="O1464" s="3" t="s">
        <v>17</v>
      </c>
    </row>
    <row r="1465" customFormat="false" ht="15" hidden="false" customHeight="false" outlineLevel="0" collapsed="false">
      <c r="A1465" s="0" t="s">
        <v>475</v>
      </c>
      <c r="B1465" s="2" t="n">
        <v>46018</v>
      </c>
      <c r="C1465" s="0" t="str">
        <f aca="false">TEXT(B1465,"mmm")</f>
        <v>Dec</v>
      </c>
      <c r="D1465" s="0" t="str">
        <f aca="false">TEXT(B1465,"ddd")</f>
        <v>Sat</v>
      </c>
      <c r="E1465" s="3" t="s">
        <v>24</v>
      </c>
      <c r="F1465" s="3" t="s">
        <v>28</v>
      </c>
      <c r="G1465" s="3" t="s">
        <v>21</v>
      </c>
      <c r="H1465" s="3" t="s">
        <v>54</v>
      </c>
      <c r="I1465" s="4" t="n">
        <v>516</v>
      </c>
      <c r="J1465" s="4" t="n">
        <v>91</v>
      </c>
      <c r="K1465" s="4" t="n">
        <v>0</v>
      </c>
      <c r="L1465" s="4" t="n">
        <f aca="false">IF(O1465="Delivered",I1465-J1465+K1465,0)</f>
        <v>425</v>
      </c>
      <c r="M1465" s="0" t="n">
        <v>43</v>
      </c>
      <c r="N1465" s="0" t="n">
        <v>3.7</v>
      </c>
      <c r="O1465" s="3" t="s">
        <v>17</v>
      </c>
    </row>
    <row r="1466" customFormat="false" ht="15" hidden="false" customHeight="false" outlineLevel="0" collapsed="false">
      <c r="A1466" s="0" t="s">
        <v>735</v>
      </c>
      <c r="B1466" s="2" t="n">
        <v>46018</v>
      </c>
      <c r="C1466" s="0" t="str">
        <f aca="false">TEXT(B1466,"mmm")</f>
        <v>Dec</v>
      </c>
      <c r="D1466" s="0" t="str">
        <f aca="false">TEXT(B1466,"ddd")</f>
        <v>Sat</v>
      </c>
      <c r="E1466" s="3" t="s">
        <v>27</v>
      </c>
      <c r="F1466" s="3" t="s">
        <v>49</v>
      </c>
      <c r="G1466" s="3" t="s">
        <v>21</v>
      </c>
      <c r="H1466" s="3" t="s">
        <v>22</v>
      </c>
      <c r="I1466" s="4" t="n">
        <v>410</v>
      </c>
      <c r="J1466" s="4" t="n">
        <v>0</v>
      </c>
      <c r="K1466" s="4" t="n">
        <v>20</v>
      </c>
      <c r="L1466" s="4" t="n">
        <f aca="false">IF(O1466="Delivered",I1466-J1466+K1466,0)</f>
        <v>0</v>
      </c>
      <c r="O1466" s="3" t="s">
        <v>68</v>
      </c>
    </row>
    <row r="1467" customFormat="false" ht="15" hidden="false" customHeight="false" outlineLevel="0" collapsed="false">
      <c r="A1467" s="0" t="s">
        <v>744</v>
      </c>
      <c r="B1467" s="2" t="n">
        <v>46018</v>
      </c>
      <c r="C1467" s="0" t="str">
        <f aca="false">TEXT(B1467,"mmm")</f>
        <v>Dec</v>
      </c>
      <c r="D1467" s="0" t="str">
        <f aca="false">TEXT(B1467,"ddd")</f>
        <v>Sat</v>
      </c>
      <c r="E1467" s="3" t="s">
        <v>24</v>
      </c>
      <c r="F1467" s="3" t="s">
        <v>56</v>
      </c>
      <c r="G1467" s="3" t="s">
        <v>21</v>
      </c>
      <c r="H1467" s="3" t="s">
        <v>22</v>
      </c>
      <c r="I1467" s="4" t="n">
        <v>475</v>
      </c>
      <c r="J1467" s="4" t="n">
        <v>97</v>
      </c>
      <c r="K1467" s="4" t="n">
        <v>45</v>
      </c>
      <c r="L1467" s="4" t="n">
        <f aca="false">IF(O1467="Delivered",I1467-J1467+K1467,0)</f>
        <v>423</v>
      </c>
      <c r="M1467" s="0" t="n">
        <v>40</v>
      </c>
      <c r="N1467" s="0" t="n">
        <v>4.3</v>
      </c>
      <c r="O1467" s="3" t="s">
        <v>17</v>
      </c>
    </row>
    <row r="1468" customFormat="false" ht="15" hidden="false" customHeight="false" outlineLevel="0" collapsed="false">
      <c r="A1468" s="0" t="s">
        <v>918</v>
      </c>
      <c r="B1468" s="2" t="n">
        <v>46018</v>
      </c>
      <c r="C1468" s="0" t="str">
        <f aca="false">TEXT(B1468,"mmm")</f>
        <v>Dec</v>
      </c>
      <c r="D1468" s="0" t="str">
        <f aca="false">TEXT(B1468,"ddd")</f>
        <v>Sat</v>
      </c>
      <c r="E1468" s="3" t="s">
        <v>24</v>
      </c>
      <c r="F1468" s="3" t="s">
        <v>56</v>
      </c>
      <c r="G1468" s="3" t="s">
        <v>15</v>
      </c>
      <c r="H1468" s="3" t="s">
        <v>34</v>
      </c>
      <c r="I1468" s="4" t="n">
        <v>385</v>
      </c>
      <c r="J1468" s="4" t="n">
        <v>57</v>
      </c>
      <c r="K1468" s="4" t="n">
        <v>45</v>
      </c>
      <c r="L1468" s="4" t="n">
        <f aca="false">IF(O1468="Delivered",I1468-J1468+K1468,0)</f>
        <v>373</v>
      </c>
      <c r="M1468" s="0" t="n">
        <v>39</v>
      </c>
      <c r="N1468" s="0" t="n">
        <v>3.9</v>
      </c>
      <c r="O1468" s="3" t="s">
        <v>17</v>
      </c>
    </row>
    <row r="1469" customFormat="false" ht="15" hidden="false" customHeight="false" outlineLevel="0" collapsed="false">
      <c r="A1469" s="0" t="s">
        <v>1056</v>
      </c>
      <c r="B1469" s="2" t="n">
        <v>46018</v>
      </c>
      <c r="C1469" s="0" t="str">
        <f aca="false">TEXT(B1469,"mmm")</f>
        <v>Dec</v>
      </c>
      <c r="D1469" s="0" t="str">
        <f aca="false">TEXT(B1469,"ddd")</f>
        <v>Sat</v>
      </c>
      <c r="E1469" s="3" t="s">
        <v>27</v>
      </c>
      <c r="F1469" s="3" t="s">
        <v>56</v>
      </c>
      <c r="G1469" s="3" t="s">
        <v>15</v>
      </c>
      <c r="H1469" s="3" t="s">
        <v>36</v>
      </c>
      <c r="I1469" s="4" t="n">
        <v>414</v>
      </c>
      <c r="J1469" s="4" t="n">
        <v>0</v>
      </c>
      <c r="K1469" s="4" t="n">
        <v>30</v>
      </c>
      <c r="L1469" s="4" t="n">
        <f aca="false">IF(O1469="Delivered",I1469-J1469+K1469,0)</f>
        <v>444</v>
      </c>
      <c r="M1469" s="0" t="n">
        <v>42</v>
      </c>
      <c r="N1469" s="0" t="n">
        <v>5</v>
      </c>
      <c r="O1469" s="3" t="s">
        <v>17</v>
      </c>
    </row>
    <row r="1470" customFormat="false" ht="15" hidden="false" customHeight="false" outlineLevel="0" collapsed="false">
      <c r="A1470" s="0" t="s">
        <v>650</v>
      </c>
      <c r="B1470" s="2" t="n">
        <v>46019</v>
      </c>
      <c r="C1470" s="0" t="str">
        <f aca="false">TEXT(B1470,"mmm")</f>
        <v>Dec</v>
      </c>
      <c r="D1470" s="0" t="str">
        <f aca="false">TEXT(B1470,"ddd")</f>
        <v>Sun</v>
      </c>
      <c r="E1470" s="3" t="s">
        <v>24</v>
      </c>
      <c r="F1470" s="3" t="s">
        <v>14</v>
      </c>
      <c r="G1470" s="3" t="s">
        <v>15</v>
      </c>
      <c r="H1470" s="3" t="s">
        <v>54</v>
      </c>
      <c r="I1470" s="4" t="n">
        <v>343</v>
      </c>
      <c r="J1470" s="4" t="n">
        <v>71</v>
      </c>
      <c r="K1470" s="4" t="n">
        <v>20</v>
      </c>
      <c r="L1470" s="4" t="n">
        <f aca="false">IF(O1470="Delivered",I1470-J1470+K1470,0)</f>
        <v>292</v>
      </c>
      <c r="M1470" s="0" t="n">
        <v>32</v>
      </c>
      <c r="O1470" s="3" t="s">
        <v>17</v>
      </c>
    </row>
    <row r="1471" customFormat="false" ht="15" hidden="false" customHeight="false" outlineLevel="0" collapsed="false">
      <c r="A1471" s="0" t="s">
        <v>653</v>
      </c>
      <c r="B1471" s="2" t="n">
        <v>46019</v>
      </c>
      <c r="C1471" s="0" t="str">
        <f aca="false">TEXT(B1471,"mmm")</f>
        <v>Dec</v>
      </c>
      <c r="D1471" s="0" t="str">
        <f aca="false">TEXT(B1471,"ddd")</f>
        <v>Sun</v>
      </c>
      <c r="E1471" s="3" t="s">
        <v>51</v>
      </c>
      <c r="F1471" s="3" t="s">
        <v>25</v>
      </c>
      <c r="G1471" s="3" t="s">
        <v>21</v>
      </c>
      <c r="H1471" s="3" t="s">
        <v>16</v>
      </c>
      <c r="I1471" s="4" t="n">
        <v>422</v>
      </c>
      <c r="J1471" s="4" t="n">
        <v>0</v>
      </c>
      <c r="K1471" s="4" t="n">
        <v>30</v>
      </c>
      <c r="L1471" s="4" t="n">
        <f aca="false">IF(O1471="Delivered",I1471-J1471+K1471,0)</f>
        <v>452</v>
      </c>
      <c r="M1471" s="0" t="n">
        <v>33</v>
      </c>
      <c r="N1471" s="0" t="n">
        <v>4.4</v>
      </c>
      <c r="O1471" s="3" t="s">
        <v>17</v>
      </c>
    </row>
    <row r="1472" customFormat="false" ht="15" hidden="false" customHeight="false" outlineLevel="0" collapsed="false">
      <c r="A1472" s="0" t="s">
        <v>1130</v>
      </c>
      <c r="B1472" s="2" t="n">
        <v>46019</v>
      </c>
      <c r="C1472" s="0" t="str">
        <f aca="false">TEXT(B1472,"mmm")</f>
        <v>Dec</v>
      </c>
      <c r="D1472" s="0" t="str">
        <f aca="false">TEXT(B1472,"ddd")</f>
        <v>Sun</v>
      </c>
      <c r="E1472" s="3" t="s">
        <v>27</v>
      </c>
      <c r="F1472" s="3" t="s">
        <v>31</v>
      </c>
      <c r="G1472" s="3" t="s">
        <v>15</v>
      </c>
      <c r="H1472" s="3" t="s">
        <v>54</v>
      </c>
      <c r="I1472" s="4" t="n">
        <v>687</v>
      </c>
      <c r="J1472" s="4" t="n">
        <v>120</v>
      </c>
      <c r="K1472" s="4" t="n">
        <v>0</v>
      </c>
      <c r="L1472" s="4" t="n">
        <f aca="false">IF(O1472="Delivered",I1472-J1472+K1472,0)</f>
        <v>567</v>
      </c>
      <c r="M1472" s="0" t="n">
        <v>40</v>
      </c>
      <c r="N1472" s="0" t="n">
        <v>4.1</v>
      </c>
      <c r="O1472" s="3" t="s">
        <v>17</v>
      </c>
    </row>
    <row r="1473" customFormat="false" ht="15" hidden="false" customHeight="false" outlineLevel="0" collapsed="false">
      <c r="A1473" s="0" t="s">
        <v>1349</v>
      </c>
      <c r="B1473" s="2" t="n">
        <v>46019</v>
      </c>
      <c r="C1473" s="0" t="str">
        <f aca="false">TEXT(B1473,"mmm")</f>
        <v>Dec</v>
      </c>
      <c r="D1473" s="0" t="str">
        <f aca="false">TEXT(B1473,"ddd")</f>
        <v>Sun</v>
      </c>
      <c r="E1473" s="3" t="s">
        <v>13</v>
      </c>
      <c r="F1473" s="3" t="s">
        <v>31</v>
      </c>
      <c r="G1473" s="3" t="s">
        <v>15</v>
      </c>
      <c r="H1473" s="3" t="s">
        <v>22</v>
      </c>
      <c r="I1473" s="4" t="n">
        <v>726</v>
      </c>
      <c r="J1473" s="4" t="n">
        <v>0</v>
      </c>
      <c r="K1473" s="4" t="n">
        <v>0</v>
      </c>
      <c r="L1473" s="4" t="n">
        <f aca="false">IF(O1473="Delivered",I1473-J1473+K1473,0)</f>
        <v>726</v>
      </c>
      <c r="M1473" s="0" t="n">
        <v>37</v>
      </c>
      <c r="N1473" s="0" t="n">
        <v>4.4</v>
      </c>
      <c r="O1473" s="3" t="s">
        <v>17</v>
      </c>
    </row>
    <row r="1474" customFormat="false" ht="15" hidden="false" customHeight="false" outlineLevel="0" collapsed="false">
      <c r="A1474" s="0" t="s">
        <v>243</v>
      </c>
      <c r="B1474" s="2" t="n">
        <v>46020</v>
      </c>
      <c r="C1474" s="0" t="str">
        <f aca="false">TEXT(B1474,"mmm")</f>
        <v>Dec</v>
      </c>
      <c r="D1474" s="0" t="str">
        <f aca="false">TEXT(B1474,"ddd")</f>
        <v>Mon</v>
      </c>
      <c r="E1474" s="3" t="s">
        <v>27</v>
      </c>
      <c r="F1474" s="3" t="s">
        <v>25</v>
      </c>
      <c r="G1474" s="3" t="s">
        <v>15</v>
      </c>
      <c r="H1474" s="3" t="s">
        <v>22</v>
      </c>
      <c r="I1474" s="4" t="n">
        <v>473</v>
      </c>
      <c r="J1474" s="4" t="n">
        <v>59</v>
      </c>
      <c r="K1474" s="4" t="n">
        <v>40</v>
      </c>
      <c r="L1474" s="4" t="n">
        <f aca="false">IF(O1474="Delivered",I1474-J1474+K1474,0)</f>
        <v>0</v>
      </c>
      <c r="O1474" s="3" t="s">
        <v>68</v>
      </c>
    </row>
    <row r="1475" customFormat="false" ht="15" hidden="false" customHeight="false" outlineLevel="0" collapsed="false">
      <c r="A1475" s="0" t="s">
        <v>944</v>
      </c>
      <c r="B1475" s="2" t="n">
        <v>46020</v>
      </c>
      <c r="C1475" s="0" t="str">
        <f aca="false">TEXT(B1475,"mmm")</f>
        <v>Dec</v>
      </c>
      <c r="D1475" s="0" t="str">
        <f aca="false">TEXT(B1475,"ddd")</f>
        <v>Mon</v>
      </c>
      <c r="E1475" s="3" t="s">
        <v>45</v>
      </c>
      <c r="F1475" s="3" t="s">
        <v>14</v>
      </c>
      <c r="G1475" s="3" t="s">
        <v>15</v>
      </c>
      <c r="H1475" s="3" t="s">
        <v>36</v>
      </c>
      <c r="I1475" s="4" t="n">
        <v>256</v>
      </c>
      <c r="J1475" s="4" t="n">
        <v>0</v>
      </c>
      <c r="K1475" s="4" t="n">
        <v>45</v>
      </c>
      <c r="L1475" s="4" t="n">
        <f aca="false">IF(O1475="Delivered",I1475-J1475+K1475,0)</f>
        <v>301</v>
      </c>
      <c r="M1475" s="0" t="n">
        <v>27</v>
      </c>
      <c r="N1475" s="0" t="n">
        <v>4</v>
      </c>
      <c r="O1475" s="3" t="s">
        <v>17</v>
      </c>
    </row>
    <row r="1476" customFormat="false" ht="15" hidden="false" customHeight="false" outlineLevel="0" collapsed="false">
      <c r="A1476" s="0" t="s">
        <v>947</v>
      </c>
      <c r="B1476" s="2" t="n">
        <v>46020</v>
      </c>
      <c r="C1476" s="0" t="str">
        <f aca="false">TEXT(B1476,"mmm")</f>
        <v>Dec</v>
      </c>
      <c r="D1476" s="0" t="str">
        <f aca="false">TEXT(B1476,"ddd")</f>
        <v>Mon</v>
      </c>
      <c r="E1476" s="3" t="s">
        <v>24</v>
      </c>
      <c r="F1476" s="3" t="s">
        <v>20</v>
      </c>
      <c r="G1476" s="3" t="s">
        <v>15</v>
      </c>
      <c r="H1476" s="3" t="s">
        <v>22</v>
      </c>
      <c r="I1476" s="4" t="n">
        <v>691</v>
      </c>
      <c r="J1476" s="4" t="n">
        <v>0</v>
      </c>
      <c r="K1476" s="4" t="n">
        <v>0</v>
      </c>
      <c r="L1476" s="4" t="n">
        <f aca="false">IF(O1476="Delivered",I1476-J1476+K1476,0)</f>
        <v>691</v>
      </c>
      <c r="M1476" s="0" t="n">
        <v>33</v>
      </c>
      <c r="N1476" s="0" t="n">
        <v>4.6</v>
      </c>
      <c r="O1476" s="3" t="s">
        <v>17</v>
      </c>
    </row>
    <row r="1477" customFormat="false" ht="15" hidden="false" customHeight="false" outlineLevel="0" collapsed="false">
      <c r="A1477" s="0" t="s">
        <v>1174</v>
      </c>
      <c r="B1477" s="2" t="n">
        <v>46020</v>
      </c>
      <c r="C1477" s="0" t="str">
        <f aca="false">TEXT(B1477,"mmm")</f>
        <v>Dec</v>
      </c>
      <c r="D1477" s="0" t="str">
        <f aca="false">TEXT(B1477,"ddd")</f>
        <v>Mon</v>
      </c>
      <c r="E1477" s="3" t="s">
        <v>24</v>
      </c>
      <c r="F1477" s="3" t="s">
        <v>25</v>
      </c>
      <c r="G1477" s="3" t="s">
        <v>21</v>
      </c>
      <c r="H1477" s="3" t="s">
        <v>22</v>
      </c>
      <c r="I1477" s="4" t="n">
        <v>519</v>
      </c>
      <c r="J1477" s="4" t="n">
        <v>0</v>
      </c>
      <c r="K1477" s="4" t="n">
        <v>0</v>
      </c>
      <c r="L1477" s="4" t="n">
        <f aca="false">IF(O1477="Delivered",I1477-J1477+K1477,0)</f>
        <v>519</v>
      </c>
      <c r="M1477" s="0" t="n">
        <v>34</v>
      </c>
      <c r="N1477" s="0" t="n">
        <v>4.6</v>
      </c>
      <c r="O1477" s="3" t="s">
        <v>17</v>
      </c>
    </row>
    <row r="1478" customFormat="false" ht="15" hidden="false" customHeight="false" outlineLevel="0" collapsed="false">
      <c r="A1478" s="0" t="s">
        <v>1287</v>
      </c>
      <c r="B1478" s="2" t="n">
        <v>46020</v>
      </c>
      <c r="C1478" s="0" t="str">
        <f aca="false">TEXT(B1478,"mmm")</f>
        <v>Dec</v>
      </c>
      <c r="D1478" s="0" t="str">
        <f aca="false">TEXT(B1478,"ddd")</f>
        <v>Mon</v>
      </c>
      <c r="E1478" s="3" t="s">
        <v>24</v>
      </c>
      <c r="F1478" s="3" t="s">
        <v>49</v>
      </c>
      <c r="G1478" s="3" t="s">
        <v>15</v>
      </c>
      <c r="H1478" s="3" t="s">
        <v>1690</v>
      </c>
      <c r="I1478" s="4" t="n">
        <v>479</v>
      </c>
      <c r="J1478" s="4" t="n">
        <v>0</v>
      </c>
      <c r="K1478" s="4" t="n">
        <v>20</v>
      </c>
      <c r="L1478" s="4" t="n">
        <f aca="false">IF(O1478="Delivered",I1478-J1478+K1478,0)</f>
        <v>499</v>
      </c>
      <c r="M1478" s="0" t="n">
        <v>36</v>
      </c>
      <c r="N1478" s="0" t="n">
        <v>3.9</v>
      </c>
      <c r="O1478" s="3" t="s">
        <v>17</v>
      </c>
    </row>
    <row r="1479" customFormat="false" ht="15" hidden="false" customHeight="false" outlineLevel="0" collapsed="false">
      <c r="A1479" s="0" t="s">
        <v>1559</v>
      </c>
      <c r="B1479" s="2" t="n">
        <v>46020</v>
      </c>
      <c r="C1479" s="0" t="str">
        <f aca="false">TEXT(B1479,"mmm")</f>
        <v>Dec</v>
      </c>
      <c r="D1479" s="0" t="str">
        <f aca="false">TEXT(B1479,"ddd")</f>
        <v>Mon</v>
      </c>
      <c r="E1479" s="3" t="s">
        <v>24</v>
      </c>
      <c r="F1479" s="3" t="s">
        <v>56</v>
      </c>
      <c r="G1479" s="3" t="s">
        <v>21</v>
      </c>
      <c r="H1479" s="3" t="s">
        <v>22</v>
      </c>
      <c r="I1479" s="4" t="n">
        <v>335</v>
      </c>
      <c r="J1479" s="4" t="n">
        <v>0</v>
      </c>
      <c r="K1479" s="4" t="n">
        <v>20</v>
      </c>
      <c r="L1479" s="4" t="n">
        <f aca="false">IF(O1479="Delivered",I1479-J1479+K1479,0)</f>
        <v>355</v>
      </c>
      <c r="M1479" s="0" t="n">
        <v>33</v>
      </c>
      <c r="N1479" s="0" t="n">
        <v>4.3</v>
      </c>
      <c r="O1479" s="3" t="s">
        <v>17</v>
      </c>
    </row>
    <row r="1480" customFormat="false" ht="15" hidden="false" customHeight="false" outlineLevel="0" collapsed="false">
      <c r="A1480" s="0" t="s">
        <v>498</v>
      </c>
      <c r="B1480" s="2" t="n">
        <v>46021</v>
      </c>
      <c r="C1480" s="0" t="str">
        <f aca="false">TEXT(B1480,"mmm")</f>
        <v>Dec</v>
      </c>
      <c r="D1480" s="0" t="str">
        <f aca="false">TEXT(B1480,"ddd")</f>
        <v>Tue</v>
      </c>
      <c r="E1480" s="3" t="s">
        <v>27</v>
      </c>
      <c r="F1480" s="3" t="s">
        <v>14</v>
      </c>
      <c r="G1480" s="3" t="s">
        <v>21</v>
      </c>
      <c r="H1480" s="3" t="s">
        <v>22</v>
      </c>
      <c r="I1480" s="4" t="n">
        <v>344</v>
      </c>
      <c r="J1480" s="4" t="n">
        <v>0</v>
      </c>
      <c r="K1480" s="4" t="n">
        <v>40</v>
      </c>
      <c r="L1480" s="4" t="n">
        <f aca="false">IF(O1480="Delivered",I1480-J1480+K1480,0)</f>
        <v>384</v>
      </c>
      <c r="M1480" s="0" t="n">
        <v>29</v>
      </c>
      <c r="N1480" s="0" t="n">
        <v>4.4</v>
      </c>
      <c r="O1480" s="3" t="s">
        <v>17</v>
      </c>
    </row>
    <row r="1481" customFormat="false" ht="15" hidden="false" customHeight="false" outlineLevel="0" collapsed="false">
      <c r="A1481" s="0" t="s">
        <v>636</v>
      </c>
      <c r="B1481" s="2" t="n">
        <v>46021</v>
      </c>
      <c r="C1481" s="0" t="str">
        <f aca="false">TEXT(B1481,"mmm")</f>
        <v>Dec</v>
      </c>
      <c r="D1481" s="0" t="str">
        <f aca="false">TEXT(B1481,"ddd")</f>
        <v>Tue</v>
      </c>
      <c r="E1481" s="3" t="s">
        <v>24</v>
      </c>
      <c r="F1481" s="3" t="s">
        <v>31</v>
      </c>
      <c r="G1481" s="3" t="s">
        <v>15</v>
      </c>
      <c r="H1481" s="3" t="s">
        <v>22</v>
      </c>
      <c r="I1481" s="4" t="n">
        <v>673</v>
      </c>
      <c r="J1481" s="4" t="n">
        <v>102</v>
      </c>
      <c r="K1481" s="4" t="n">
        <v>0</v>
      </c>
      <c r="L1481" s="4" t="n">
        <f aca="false">IF(O1481="Delivered",I1481-J1481+K1481,0)</f>
        <v>571</v>
      </c>
      <c r="M1481" s="0" t="n">
        <v>38</v>
      </c>
      <c r="N1481" s="0" t="n">
        <v>2.6</v>
      </c>
      <c r="O1481" s="3" t="s">
        <v>17</v>
      </c>
    </row>
    <row r="1482" customFormat="false" ht="15" hidden="false" customHeight="false" outlineLevel="0" collapsed="false">
      <c r="A1482" s="0" t="s">
        <v>839</v>
      </c>
      <c r="B1482" s="2" t="n">
        <v>46021</v>
      </c>
      <c r="C1482" s="0" t="str">
        <f aca="false">TEXT(B1482,"mmm")</f>
        <v>Dec</v>
      </c>
      <c r="D1482" s="0" t="str">
        <f aca="false">TEXT(B1482,"ddd")</f>
        <v>Tue</v>
      </c>
      <c r="E1482" s="3" t="s">
        <v>19</v>
      </c>
      <c r="F1482" s="3" t="s">
        <v>14</v>
      </c>
      <c r="G1482" s="3" t="s">
        <v>21</v>
      </c>
      <c r="H1482" s="3" t="s">
        <v>22</v>
      </c>
      <c r="I1482" s="4" t="n">
        <v>324</v>
      </c>
      <c r="J1482" s="4" t="n">
        <v>0</v>
      </c>
      <c r="K1482" s="4" t="n">
        <v>40</v>
      </c>
      <c r="L1482" s="4" t="n">
        <f aca="false">IF(O1482="Delivered",I1482-J1482+K1482,0)</f>
        <v>364</v>
      </c>
      <c r="M1482" s="0" t="n">
        <v>26</v>
      </c>
      <c r="N1482" s="0" t="n">
        <v>4.4</v>
      </c>
      <c r="O1482" s="3" t="s">
        <v>17</v>
      </c>
    </row>
    <row r="1483" customFormat="false" ht="15" hidden="false" customHeight="false" outlineLevel="0" collapsed="false">
      <c r="A1483" s="0" t="s">
        <v>1428</v>
      </c>
      <c r="B1483" s="2" t="n">
        <v>46021</v>
      </c>
      <c r="C1483" s="0" t="str">
        <f aca="false">TEXT(B1483,"mmm")</f>
        <v>Dec</v>
      </c>
      <c r="D1483" s="0" t="str">
        <f aca="false">TEXT(B1483,"ddd")</f>
        <v>Tue</v>
      </c>
      <c r="E1483" s="3" t="s">
        <v>27</v>
      </c>
      <c r="F1483" s="3" t="s">
        <v>25</v>
      </c>
      <c r="G1483" s="3" t="s">
        <v>15</v>
      </c>
      <c r="H1483" s="3" t="s">
        <v>22</v>
      </c>
      <c r="I1483" s="4" t="n">
        <v>270</v>
      </c>
      <c r="J1483" s="4" t="n">
        <v>0</v>
      </c>
      <c r="K1483" s="4" t="n">
        <v>45</v>
      </c>
      <c r="L1483" s="4" t="n">
        <f aca="false">IF(O1483="Delivered",I1483-J1483+K1483,0)</f>
        <v>315</v>
      </c>
      <c r="M1483" s="0" t="n">
        <v>30</v>
      </c>
      <c r="N1483" s="0" t="n">
        <v>4.7</v>
      </c>
      <c r="O1483" s="3" t="s">
        <v>17</v>
      </c>
    </row>
    <row r="1484" customFormat="false" ht="15" hidden="false" customHeight="false" outlineLevel="0" collapsed="false">
      <c r="A1484" s="0" t="s">
        <v>1661</v>
      </c>
      <c r="B1484" s="2" t="n">
        <v>46021</v>
      </c>
      <c r="C1484" s="0" t="str">
        <f aca="false">TEXT(B1484,"mmm")</f>
        <v>Dec</v>
      </c>
      <c r="D1484" s="0" t="str">
        <f aca="false">TEXT(B1484,"ddd")</f>
        <v>Tue</v>
      </c>
      <c r="E1484" s="3" t="s">
        <v>13</v>
      </c>
      <c r="F1484" s="3" t="s">
        <v>25</v>
      </c>
      <c r="G1484" s="3" t="s">
        <v>15</v>
      </c>
      <c r="H1484" s="3" t="s">
        <v>22</v>
      </c>
      <c r="I1484" s="4" t="n">
        <v>381</v>
      </c>
      <c r="J1484" s="4" t="n">
        <v>0</v>
      </c>
      <c r="K1484" s="4" t="n">
        <v>40</v>
      </c>
      <c r="L1484" s="4" t="n">
        <f aca="false">IF(O1484="Delivered",I1484-J1484+K1484,0)</f>
        <v>421</v>
      </c>
      <c r="M1484" s="0" t="n">
        <v>31</v>
      </c>
      <c r="N1484" s="0" t="n">
        <v>4.9</v>
      </c>
      <c r="O1484" s="3" t="s">
        <v>17</v>
      </c>
    </row>
    <row r="1485" customFormat="false" ht="15" hidden="false" customHeight="false" outlineLevel="0" collapsed="false">
      <c r="A1485" s="0" t="s">
        <v>503</v>
      </c>
      <c r="B1485" s="2" t="n">
        <v>46022</v>
      </c>
      <c r="C1485" s="0" t="str">
        <f aca="false">TEXT(B1485,"mmm")</f>
        <v>Dec</v>
      </c>
      <c r="D1485" s="0" t="str">
        <f aca="false">TEXT(B1485,"ddd")</f>
        <v>Wed</v>
      </c>
      <c r="E1485" s="3" t="s">
        <v>45</v>
      </c>
      <c r="F1485" s="3" t="s">
        <v>31</v>
      </c>
      <c r="G1485" s="3" t="s">
        <v>15</v>
      </c>
      <c r="H1485" s="3" t="s">
        <v>22</v>
      </c>
      <c r="I1485" s="4" t="n">
        <v>414</v>
      </c>
      <c r="J1485" s="4" t="n">
        <v>0</v>
      </c>
      <c r="K1485" s="4" t="n">
        <v>45</v>
      </c>
      <c r="L1485" s="4" t="n">
        <f aca="false">IF(O1485="Delivered",I1485-J1485+K1485,0)</f>
        <v>459</v>
      </c>
      <c r="M1485" s="0" t="n">
        <v>24</v>
      </c>
      <c r="N1485" s="0" t="n">
        <v>4.8</v>
      </c>
      <c r="O1485" s="3" t="s">
        <v>17</v>
      </c>
    </row>
    <row r="1486" customFormat="false" ht="15" hidden="false" customHeight="false" outlineLevel="0" collapsed="false">
      <c r="A1486" s="0" t="s">
        <v>791</v>
      </c>
      <c r="B1486" s="2" t="n">
        <v>46022</v>
      </c>
      <c r="C1486" s="0" t="str">
        <f aca="false">TEXT(B1486,"mmm")</f>
        <v>Dec</v>
      </c>
      <c r="D1486" s="0" t="str">
        <f aca="false">TEXT(B1486,"ddd")</f>
        <v>Wed</v>
      </c>
      <c r="E1486" s="3" t="s">
        <v>27</v>
      </c>
      <c r="F1486" s="3" t="s">
        <v>31</v>
      </c>
      <c r="G1486" s="3" t="s">
        <v>21</v>
      </c>
      <c r="H1486" s="3" t="s">
        <v>16</v>
      </c>
      <c r="I1486" s="4" t="n">
        <v>539</v>
      </c>
      <c r="J1486" s="4" t="n">
        <v>108</v>
      </c>
      <c r="K1486" s="4" t="n">
        <v>0</v>
      </c>
      <c r="L1486" s="4" t="n">
        <f aca="false">IF(O1486="Delivered",I1486-J1486+K1486,0)</f>
        <v>431</v>
      </c>
      <c r="M1486" s="0" t="n">
        <v>40</v>
      </c>
      <c r="N1486" s="0" t="n">
        <v>4.4</v>
      </c>
      <c r="O1486" s="3" t="s">
        <v>17</v>
      </c>
    </row>
    <row r="1487" customFormat="false" ht="15" hidden="false" customHeight="false" outlineLevel="0" collapsed="false">
      <c r="A1487" s="0" t="s">
        <v>796</v>
      </c>
      <c r="B1487" s="2" t="n">
        <v>46022</v>
      </c>
      <c r="C1487" s="0" t="str">
        <f aca="false">TEXT(B1487,"mmm")</f>
        <v>Dec</v>
      </c>
      <c r="D1487" s="0" t="str">
        <f aca="false">TEXT(B1487,"ddd")</f>
        <v>Wed</v>
      </c>
      <c r="E1487" s="3" t="s">
        <v>27</v>
      </c>
      <c r="F1487" s="3" t="s">
        <v>25</v>
      </c>
      <c r="G1487" s="3" t="s">
        <v>21</v>
      </c>
      <c r="H1487" s="3" t="s">
        <v>16</v>
      </c>
      <c r="I1487" s="4" t="n">
        <v>576</v>
      </c>
      <c r="J1487" s="4" t="n">
        <v>0</v>
      </c>
      <c r="K1487" s="4" t="n">
        <v>0</v>
      </c>
      <c r="L1487" s="4" t="n">
        <f aca="false">IF(O1487="Delivered",I1487-J1487+K1487,0)</f>
        <v>576</v>
      </c>
      <c r="M1487" s="0" t="n">
        <v>45</v>
      </c>
      <c r="N1487" s="0" t="n">
        <v>4</v>
      </c>
      <c r="O1487" s="3" t="s">
        <v>17</v>
      </c>
    </row>
    <row r="1488" customFormat="false" ht="15" hidden="false" customHeight="false" outlineLevel="0" collapsed="false">
      <c r="A1488" s="0" t="s">
        <v>1264</v>
      </c>
      <c r="B1488" s="2" t="n">
        <v>46022</v>
      </c>
      <c r="C1488" s="0" t="str">
        <f aca="false">TEXT(B1488,"mmm")</f>
        <v>Dec</v>
      </c>
      <c r="D1488" s="0" t="str">
        <f aca="false">TEXT(B1488,"ddd")</f>
        <v>Wed</v>
      </c>
      <c r="E1488" s="3" t="s">
        <v>13</v>
      </c>
      <c r="F1488" s="3" t="s">
        <v>49</v>
      </c>
      <c r="G1488" s="3" t="s">
        <v>21</v>
      </c>
      <c r="H1488" s="3" t="s">
        <v>22</v>
      </c>
      <c r="I1488" s="4" t="n">
        <v>664</v>
      </c>
      <c r="J1488" s="4" t="n">
        <v>0</v>
      </c>
      <c r="K1488" s="4" t="n">
        <v>0</v>
      </c>
      <c r="L1488" s="4" t="n">
        <f aca="false">IF(O1488="Delivered",I1488-J1488+K1488,0)</f>
        <v>664</v>
      </c>
      <c r="M1488" s="0" t="n">
        <v>25</v>
      </c>
      <c r="N1488" s="0" t="n">
        <v>4.7</v>
      </c>
      <c r="O1488" s="3" t="s">
        <v>17</v>
      </c>
    </row>
    <row r="1489" customFormat="false" ht="15" hidden="false" customHeight="false" outlineLevel="0" collapsed="false">
      <c r="A1489" s="0" t="s">
        <v>1288</v>
      </c>
      <c r="B1489" s="2" t="n">
        <v>46022</v>
      </c>
      <c r="C1489" s="0" t="str">
        <f aca="false">TEXT(B1489,"mmm")</f>
        <v>Dec</v>
      </c>
      <c r="D1489" s="0" t="str">
        <f aca="false">TEXT(B1489,"ddd")</f>
        <v>Wed</v>
      </c>
      <c r="E1489" s="3" t="s">
        <v>40</v>
      </c>
      <c r="F1489" s="3" t="s">
        <v>28</v>
      </c>
      <c r="G1489" s="3" t="s">
        <v>21</v>
      </c>
      <c r="H1489" s="3" t="s">
        <v>16</v>
      </c>
      <c r="I1489" s="4" t="n">
        <v>291</v>
      </c>
      <c r="J1489" s="4" t="n">
        <v>63</v>
      </c>
      <c r="K1489" s="4" t="n">
        <v>20</v>
      </c>
      <c r="L1489" s="4" t="n">
        <f aca="false">IF(O1489="Delivered",I1489-J1489+K1489,0)</f>
        <v>248</v>
      </c>
      <c r="M1489" s="0" t="n">
        <v>37</v>
      </c>
      <c r="N1489" s="0" t="n">
        <v>3.9</v>
      </c>
      <c r="O1489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F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5" t="s">
        <v>1691</v>
      </c>
    </row>
    <row r="3" customFormat="false" ht="15" hidden="false" customHeight="false" outlineLevel="0" collapsed="false">
      <c r="A3" s="6" t="s">
        <v>1692</v>
      </c>
      <c r="B3" s="7" t="str">
        <f aca="false">IF(Dashboard!$C$4="All","*",Dashboard!$C$4)</f>
        <v>*</v>
      </c>
      <c r="C3" s="8" t="s">
        <v>1693</v>
      </c>
    </row>
    <row r="4" customFormat="false" ht="15" hidden="false" customHeight="false" outlineLevel="0" collapsed="false">
      <c r="A4" s="6" t="s">
        <v>1694</v>
      </c>
      <c r="B4" s="7" t="str">
        <f aca="false">IF(Dashboard!$C$5="All","*",Dashboard!$C$5)</f>
        <v>*</v>
      </c>
    </row>
    <row r="5" customFormat="false" ht="15" hidden="false" customHeight="false" outlineLevel="0" collapsed="false">
      <c r="A5" s="6" t="s">
        <v>1695</v>
      </c>
      <c r="B5" s="7" t="str">
        <f aca="false">IF(Dashboard!$C$6="All","*",Dashboard!$C$6)</f>
        <v>*</v>
      </c>
    </row>
    <row r="7" customFormat="false" ht="15" hidden="false" customHeight="false" outlineLevel="0" collapsed="false">
      <c r="A7" s="9" t="s">
        <v>1696</v>
      </c>
    </row>
    <row r="8" customFormat="false" ht="15" hidden="false" customHeight="false" outlineLevel="0" collapsed="false">
      <c r="A8" s="1" t="s">
        <v>2</v>
      </c>
      <c r="B8" s="1" t="s">
        <v>1697</v>
      </c>
      <c r="C8" s="1" t="s">
        <v>1698</v>
      </c>
      <c r="D8" s="1" t="s">
        <v>1699</v>
      </c>
      <c r="E8" s="1" t="s">
        <v>1700</v>
      </c>
      <c r="F8" s="1" t="s">
        <v>1701</v>
      </c>
    </row>
    <row r="9" customFormat="false" ht="15" hidden="false" customHeight="false" outlineLevel="0" collapsed="false">
      <c r="A9" s="10" t="s">
        <v>40</v>
      </c>
      <c r="B9" s="11" t="n">
        <f aca="false">COUNTIFS('Cleaned Data'!$E$2:$E$1489,$B$3,'Cleaned Data'!$F$2:$F$1489,$B$4,'Cleaned Data'!$G$2:$G$1489,$B$5,'Cleaned Data'!$O$2:$O$1489,"Delivered",'Cleaned Data'!$E$2:$E$1489,$A9)</f>
        <v>276</v>
      </c>
      <c r="C9" s="12" t="n">
        <f aca="false">SUMIFS('Cleaned Data'!$L$2:$L$1489,'Cleaned Data'!$E$2:$E$1489,$B$3,'Cleaned Data'!$F$2:$F$1489,$B$4,'Cleaned Data'!$G$2:$G$1489,$B$5,'Cleaned Data'!$O$2:$O$1489,"Delivered",'Cleaned Data'!$E$2:$E$1489,$A9)</f>
        <v>121927</v>
      </c>
      <c r="D9" s="12" t="n">
        <f aca="false">IFERROR(C9/B9,0)</f>
        <v>441.764492753623</v>
      </c>
      <c r="E9" s="13" t="n">
        <f aca="false">IFERROR(AVERAGEIFS('Cleaned Data'!$M$2:$M$1489,'Cleaned Data'!$E$2:$E$1489,$B$3,'Cleaned Data'!$F$2:$F$1489,$B$4,'Cleaned Data'!$G$2:$G$1489,$B$5,'Cleaned Data'!$O$2:$O$1489,"Delivered",'Cleaned Data'!$E$2:$E$1489,$A9),0)</f>
        <v>37.9855072463768</v>
      </c>
      <c r="F9" s="14" t="n">
        <f aca="false">IFERROR(AVERAGEIFS('Cleaned Data'!$N$2:$N$1489,'Cleaned Data'!$E$2:$E$1489,$B$3,'Cleaned Data'!$F$2:$F$1489,$B$4,'Cleaned Data'!$G$2:$G$1489,$B$5,'Cleaned Data'!$O$2:$O$1489,"Delivered",'Cleaned Data'!$E$2:$E$1489,$A9),0)</f>
        <v>4.28764478764479</v>
      </c>
    </row>
    <row r="10" customFormat="false" ht="15" hidden="false" customHeight="false" outlineLevel="0" collapsed="false">
      <c r="A10" s="10" t="s">
        <v>24</v>
      </c>
      <c r="B10" s="11" t="n">
        <f aca="false">COUNTIFS('Cleaned Data'!$E$2:$E$1489,$B$3,'Cleaned Data'!$F$2:$F$1489,$B$4,'Cleaned Data'!$G$2:$G$1489,$B$5,'Cleaned Data'!$O$2:$O$1489,"Delivered",'Cleaned Data'!$E$2:$E$1489,$A10)</f>
        <v>280</v>
      </c>
      <c r="C10" s="12" t="n">
        <f aca="false">SUMIFS('Cleaned Data'!$L$2:$L$1489,'Cleaned Data'!$E$2:$E$1489,$B$3,'Cleaned Data'!$F$2:$F$1489,$B$4,'Cleaned Data'!$G$2:$G$1489,$B$5,'Cleaned Data'!$O$2:$O$1489,"Delivered",'Cleaned Data'!$E$2:$E$1489,$A10)</f>
        <v>128254</v>
      </c>
      <c r="D10" s="12" t="n">
        <f aca="false">IFERROR(C10/B10,0)</f>
        <v>458.05</v>
      </c>
      <c r="E10" s="13" t="n">
        <f aca="false">IFERROR(AVERAGEIFS('Cleaned Data'!$M$2:$M$1489,'Cleaned Data'!$E$2:$E$1489,$B$3,'Cleaned Data'!$F$2:$F$1489,$B$4,'Cleaned Data'!$G$2:$G$1489,$B$5,'Cleaned Data'!$O$2:$O$1489,"Delivered",'Cleaned Data'!$E$2:$E$1489,$A10),0)</f>
        <v>36.1071428571429</v>
      </c>
      <c r="F10" s="14" t="n">
        <f aca="false">IFERROR(AVERAGEIFS('Cleaned Data'!$N$2:$N$1489,'Cleaned Data'!$E$2:$E$1489,$B$3,'Cleaned Data'!$F$2:$F$1489,$B$4,'Cleaned Data'!$G$2:$G$1489,$B$5,'Cleaned Data'!$O$2:$O$1489,"Delivered",'Cleaned Data'!$E$2:$E$1489,$A10),0)</f>
        <v>4.23509433962264</v>
      </c>
    </row>
    <row r="11" customFormat="false" ht="15" hidden="false" customHeight="false" outlineLevel="0" collapsed="false">
      <c r="A11" s="10" t="s">
        <v>27</v>
      </c>
      <c r="B11" s="11" t="n">
        <f aca="false">COUNTIFS('Cleaned Data'!$E$2:$E$1489,$B$3,'Cleaned Data'!$F$2:$F$1489,$B$4,'Cleaned Data'!$G$2:$G$1489,$B$5,'Cleaned Data'!$O$2:$O$1489,"Delivered",'Cleaned Data'!$E$2:$E$1489,$A11)</f>
        <v>319</v>
      </c>
      <c r="C11" s="12" t="n">
        <f aca="false">SUMIFS('Cleaned Data'!$L$2:$L$1489,'Cleaned Data'!$E$2:$E$1489,$B$3,'Cleaned Data'!$F$2:$F$1489,$B$4,'Cleaned Data'!$G$2:$G$1489,$B$5,'Cleaned Data'!$O$2:$O$1489,"Delivered",'Cleaned Data'!$E$2:$E$1489,$A11)</f>
        <v>141596</v>
      </c>
      <c r="D11" s="12" t="n">
        <f aca="false">IFERROR(C11/B11,0)</f>
        <v>443.87460815047</v>
      </c>
      <c r="E11" s="13" t="n">
        <f aca="false">IFERROR(AVERAGEIFS('Cleaned Data'!$M$2:$M$1489,'Cleaned Data'!$E$2:$E$1489,$B$3,'Cleaned Data'!$F$2:$F$1489,$B$4,'Cleaned Data'!$G$2:$G$1489,$B$5,'Cleaned Data'!$O$2:$O$1489,"Delivered",'Cleaned Data'!$E$2:$E$1489,$A11),0)</f>
        <v>41.9122257053292</v>
      </c>
      <c r="F11" s="14" t="n">
        <f aca="false">IFERROR(AVERAGEIFS('Cleaned Data'!$N$2:$N$1489,'Cleaned Data'!$E$2:$E$1489,$B$3,'Cleaned Data'!$F$2:$F$1489,$B$4,'Cleaned Data'!$G$2:$G$1489,$B$5,'Cleaned Data'!$O$2:$O$1489,"Delivered",'Cleaned Data'!$E$2:$E$1489,$A11),0)</f>
        <v>4.11926910299003</v>
      </c>
    </row>
    <row r="12" customFormat="false" ht="15" hidden="false" customHeight="false" outlineLevel="0" collapsed="false">
      <c r="A12" s="10" t="s">
        <v>13</v>
      </c>
      <c r="B12" s="11" t="n">
        <f aca="false">COUNTIFS('Cleaned Data'!$E$2:$E$1489,$B$3,'Cleaned Data'!$F$2:$F$1489,$B$4,'Cleaned Data'!$G$2:$G$1489,$B$5,'Cleaned Data'!$O$2:$O$1489,"Delivered",'Cleaned Data'!$E$2:$E$1489,$A12)</f>
        <v>185</v>
      </c>
      <c r="C12" s="12" t="n">
        <f aca="false">SUMIFS('Cleaned Data'!$L$2:$L$1489,'Cleaned Data'!$E$2:$E$1489,$B$3,'Cleaned Data'!$F$2:$F$1489,$B$4,'Cleaned Data'!$G$2:$G$1489,$B$5,'Cleaned Data'!$O$2:$O$1489,"Delivered",'Cleaned Data'!$E$2:$E$1489,$A12)</f>
        <v>82386</v>
      </c>
      <c r="D12" s="12" t="n">
        <f aca="false">IFERROR(C12/B12,0)</f>
        <v>445.32972972973</v>
      </c>
      <c r="E12" s="13" t="n">
        <f aca="false">IFERROR(AVERAGEIFS('Cleaned Data'!$M$2:$M$1489,'Cleaned Data'!$E$2:$E$1489,$B$3,'Cleaned Data'!$F$2:$F$1489,$B$4,'Cleaned Data'!$G$2:$G$1489,$B$5,'Cleaned Data'!$O$2:$O$1489,"Delivered",'Cleaned Data'!$E$2:$E$1489,$A12),0)</f>
        <v>32.8810810810811</v>
      </c>
      <c r="F12" s="14" t="n">
        <f aca="false">IFERROR(AVERAGEIFS('Cleaned Data'!$N$2:$N$1489,'Cleaned Data'!$E$2:$E$1489,$B$3,'Cleaned Data'!$F$2:$F$1489,$B$4,'Cleaned Data'!$G$2:$G$1489,$B$5,'Cleaned Data'!$O$2:$O$1489,"Delivered",'Cleaned Data'!$E$2:$E$1489,$A12),0)</f>
        <v>4.30113636363636</v>
      </c>
    </row>
    <row r="13" customFormat="false" ht="15" hidden="false" customHeight="false" outlineLevel="0" collapsed="false">
      <c r="A13" s="10" t="s">
        <v>30</v>
      </c>
      <c r="B13" s="11" t="n">
        <f aca="false">COUNTIFS('Cleaned Data'!$E$2:$E$1489,$B$3,'Cleaned Data'!$F$2:$F$1489,$B$4,'Cleaned Data'!$G$2:$G$1489,$B$5,'Cleaned Data'!$O$2:$O$1489,"Delivered",'Cleaned Data'!$E$2:$E$1489,$A13)</f>
        <v>109</v>
      </c>
      <c r="C13" s="12" t="n">
        <f aca="false">SUMIFS('Cleaned Data'!$L$2:$L$1489,'Cleaned Data'!$E$2:$E$1489,$B$3,'Cleaned Data'!$F$2:$F$1489,$B$4,'Cleaned Data'!$G$2:$G$1489,$B$5,'Cleaned Data'!$O$2:$O$1489,"Delivered",'Cleaned Data'!$E$2:$E$1489,$A13)</f>
        <v>48378</v>
      </c>
      <c r="D13" s="12" t="n">
        <f aca="false">IFERROR(C13/B13,0)</f>
        <v>443.834862385321</v>
      </c>
      <c r="E13" s="13" t="n">
        <f aca="false">IFERROR(AVERAGEIFS('Cleaned Data'!$M$2:$M$1489,'Cleaned Data'!$E$2:$E$1489,$B$3,'Cleaned Data'!$F$2:$F$1489,$B$4,'Cleaned Data'!$G$2:$G$1489,$B$5,'Cleaned Data'!$O$2:$O$1489,"Delivered",'Cleaned Data'!$E$2:$E$1489,$A13),0)</f>
        <v>31.3853211009174</v>
      </c>
      <c r="F13" s="14" t="n">
        <f aca="false">IFERROR(AVERAGEIFS('Cleaned Data'!$N$2:$N$1489,'Cleaned Data'!$E$2:$E$1489,$B$3,'Cleaned Data'!$F$2:$F$1489,$B$4,'Cleaned Data'!$G$2:$G$1489,$B$5,'Cleaned Data'!$O$2:$O$1489,"Delivered",'Cleaned Data'!$E$2:$E$1489,$A13),0)</f>
        <v>4.37731958762887</v>
      </c>
    </row>
    <row r="14" customFormat="false" ht="15" hidden="false" customHeight="false" outlineLevel="0" collapsed="false">
      <c r="A14" s="10" t="s">
        <v>45</v>
      </c>
      <c r="B14" s="11" t="n">
        <f aca="false">COUNTIFS('Cleaned Data'!$E$2:$E$1489,$B$3,'Cleaned Data'!$F$2:$F$1489,$B$4,'Cleaned Data'!$G$2:$G$1489,$B$5,'Cleaned Data'!$O$2:$O$1489,"Delivered",'Cleaned Data'!$E$2:$E$1489,$A14)</f>
        <v>103</v>
      </c>
      <c r="C14" s="12" t="n">
        <f aca="false">SUMIFS('Cleaned Data'!$L$2:$L$1489,'Cleaned Data'!$E$2:$E$1489,$B$3,'Cleaned Data'!$F$2:$F$1489,$B$4,'Cleaned Data'!$G$2:$G$1489,$B$5,'Cleaned Data'!$O$2:$O$1489,"Delivered",'Cleaned Data'!$E$2:$E$1489,$A14)</f>
        <v>44264</v>
      </c>
      <c r="D14" s="12" t="n">
        <f aca="false">IFERROR(C14/B14,0)</f>
        <v>429.747572815534</v>
      </c>
      <c r="E14" s="13" t="n">
        <f aca="false">IFERROR(AVERAGEIFS('Cleaned Data'!$M$2:$M$1489,'Cleaned Data'!$E$2:$E$1489,$B$3,'Cleaned Data'!$F$2:$F$1489,$B$4,'Cleaned Data'!$G$2:$G$1489,$B$5,'Cleaned Data'!$O$2:$O$1489,"Delivered",'Cleaned Data'!$E$2:$E$1489,$A14),0)</f>
        <v>29.6796116504854</v>
      </c>
      <c r="F14" s="14" t="n">
        <f aca="false">IFERROR(AVERAGEIFS('Cleaned Data'!$N$2:$N$1489,'Cleaned Data'!$E$2:$E$1489,$B$3,'Cleaned Data'!$F$2:$F$1489,$B$4,'Cleaned Data'!$G$2:$G$1489,$B$5,'Cleaned Data'!$O$2:$O$1489,"Delivered",'Cleaned Data'!$E$2:$E$1489,$A14),0)</f>
        <v>4.35148514851485</v>
      </c>
    </row>
    <row r="15" customFormat="false" ht="15" hidden="false" customHeight="false" outlineLevel="0" collapsed="false">
      <c r="A15" s="10" t="s">
        <v>51</v>
      </c>
      <c r="B15" s="11" t="n">
        <f aca="false">COUNTIFS('Cleaned Data'!$E$2:$E$1489,$B$3,'Cleaned Data'!$F$2:$F$1489,$B$4,'Cleaned Data'!$G$2:$G$1489,$B$5,'Cleaned Data'!$O$2:$O$1489,"Delivered",'Cleaned Data'!$E$2:$E$1489,$A15)</f>
        <v>75</v>
      </c>
      <c r="C15" s="12" t="n">
        <f aca="false">SUMIFS('Cleaned Data'!$L$2:$L$1489,'Cleaned Data'!$E$2:$E$1489,$B$3,'Cleaned Data'!$F$2:$F$1489,$B$4,'Cleaned Data'!$G$2:$G$1489,$B$5,'Cleaned Data'!$O$2:$O$1489,"Delivered",'Cleaned Data'!$E$2:$E$1489,$A15)</f>
        <v>32648</v>
      </c>
      <c r="D15" s="12" t="n">
        <f aca="false">IFERROR(C15/B15,0)</f>
        <v>435.306666666667</v>
      </c>
      <c r="E15" s="13" t="n">
        <f aca="false">IFERROR(AVERAGEIFS('Cleaned Data'!$M$2:$M$1489,'Cleaned Data'!$E$2:$E$1489,$B$3,'Cleaned Data'!$F$2:$F$1489,$B$4,'Cleaned Data'!$G$2:$G$1489,$B$5,'Cleaned Data'!$O$2:$O$1489,"Delivered",'Cleaned Data'!$E$2:$E$1489,$A15),0)</f>
        <v>34.8266666666667</v>
      </c>
      <c r="F15" s="14" t="n">
        <f aca="false">IFERROR(AVERAGEIFS('Cleaned Data'!$N$2:$N$1489,'Cleaned Data'!$E$2:$E$1489,$B$3,'Cleaned Data'!$F$2:$F$1489,$B$4,'Cleaned Data'!$G$2:$G$1489,$B$5,'Cleaned Data'!$O$2:$O$1489,"Delivered",'Cleaned Data'!$E$2:$E$1489,$A15),0)</f>
        <v>4.26901408450704</v>
      </c>
    </row>
    <row r="16" customFormat="false" ht="15" hidden="false" customHeight="false" outlineLevel="0" collapsed="false">
      <c r="A16" s="10" t="s">
        <v>19</v>
      </c>
      <c r="B16" s="11" t="n">
        <f aca="false">COUNTIFS('Cleaned Data'!$E$2:$E$1489,$B$3,'Cleaned Data'!$F$2:$F$1489,$B$4,'Cleaned Data'!$G$2:$G$1489,$B$5,'Cleaned Data'!$O$2:$O$1489,"Delivered",'Cleaned Data'!$E$2:$E$1489,$A16)</f>
        <v>58</v>
      </c>
      <c r="C16" s="12" t="n">
        <f aca="false">SUMIFS('Cleaned Data'!$L$2:$L$1489,'Cleaned Data'!$E$2:$E$1489,$B$3,'Cleaned Data'!$F$2:$F$1489,$B$4,'Cleaned Data'!$G$2:$G$1489,$B$5,'Cleaned Data'!$O$2:$O$1489,"Delivered",'Cleaned Data'!$E$2:$E$1489,$A16)</f>
        <v>25818</v>
      </c>
      <c r="D16" s="12" t="n">
        <f aca="false">IFERROR(C16/B16,0)</f>
        <v>445.137931034483</v>
      </c>
      <c r="E16" s="13" t="n">
        <f aca="false">IFERROR(AVERAGEIFS('Cleaned Data'!$M$2:$M$1489,'Cleaned Data'!$E$2:$E$1489,$B$3,'Cleaned Data'!$F$2:$F$1489,$B$4,'Cleaned Data'!$G$2:$G$1489,$B$5,'Cleaned Data'!$O$2:$O$1489,"Delivered",'Cleaned Data'!$E$2:$E$1489,$A16),0)</f>
        <v>27.8103448275862</v>
      </c>
      <c r="F16" s="14" t="n">
        <f aca="false">IFERROR(AVERAGEIFS('Cleaned Data'!$N$2:$N$1489,'Cleaned Data'!$E$2:$E$1489,$B$3,'Cleaned Data'!$F$2:$F$1489,$B$4,'Cleaned Data'!$G$2:$G$1489,$B$5,'Cleaned Data'!$O$2:$O$1489,"Delivered",'Cleaned Data'!$E$2:$E$1489,$A16),0)</f>
        <v>4.45438596491228</v>
      </c>
    </row>
    <row r="17" customFormat="false" ht="15" hidden="false" customHeight="false" outlineLevel="0" collapsed="false">
      <c r="A17" s="15" t="s">
        <v>1702</v>
      </c>
      <c r="B17" s="16" t="n">
        <f aca="false">SUM(B9:B16)</f>
        <v>1405</v>
      </c>
      <c r="C17" s="17" t="n">
        <f aca="false">SUM(C9:C16)</f>
        <v>625271</v>
      </c>
      <c r="D17" s="17" t="n">
        <f aca="false">IFERROR(C17/B17,0)</f>
        <v>445.032740213523</v>
      </c>
      <c r="E17" s="18" t="n">
        <f aca="false">IFERROR(AVERAGE(E9:E16),0)</f>
        <v>34.0734876419482</v>
      </c>
      <c r="F17" s="19" t="n">
        <f aca="false">IFERROR(AVERAGE(F9:F16),0)</f>
        <v>4.29941867243211</v>
      </c>
    </row>
    <row r="20" customFormat="false" ht="15" hidden="false" customHeight="false" outlineLevel="0" collapsed="false">
      <c r="A20" s="9" t="s">
        <v>1703</v>
      </c>
    </row>
    <row r="21" customFormat="false" ht="15" hidden="false" customHeight="false" outlineLevel="0" collapsed="false">
      <c r="A21" s="1" t="s">
        <v>3</v>
      </c>
      <c r="B21" s="1" t="s">
        <v>1697</v>
      </c>
      <c r="C21" s="1" t="s">
        <v>1698</v>
      </c>
      <c r="D21" s="1" t="s">
        <v>1699</v>
      </c>
    </row>
    <row r="22" customFormat="false" ht="15" hidden="false" customHeight="false" outlineLevel="0" collapsed="false">
      <c r="A22" s="10" t="s">
        <v>31</v>
      </c>
      <c r="B22" s="11" t="n">
        <f aca="false">COUNTIFS('Cleaned Data'!$E$2:$E$1489,$B$3,'Cleaned Data'!$F$2:$F$1489,$B$4,'Cleaned Data'!$G$2:$G$1489,$B$5,'Cleaned Data'!$O$2:$O$1489,"Delivered",'Cleaned Data'!$F$2:$F$1489,$A22)</f>
        <v>293</v>
      </c>
      <c r="C22" s="12" t="n">
        <f aca="false">SUMIFS('Cleaned Data'!$L$2:$L$1489,'Cleaned Data'!$E$2:$E$1489,$B$3,'Cleaned Data'!$F$2:$F$1489,$B$4,'Cleaned Data'!$G$2:$G$1489,$B$5,'Cleaned Data'!$O$2:$O$1489,"Delivered",'Cleaned Data'!$F$2:$F$1489,$A22)</f>
        <v>139535</v>
      </c>
      <c r="D22" s="12" t="n">
        <f aca="false">IFERROR(C22/B22,0)</f>
        <v>476.22866894198</v>
      </c>
    </row>
    <row r="23" customFormat="false" ht="15" hidden="false" customHeight="false" outlineLevel="0" collapsed="false">
      <c r="A23" s="10" t="s">
        <v>25</v>
      </c>
      <c r="B23" s="11" t="n">
        <f aca="false">COUNTIFS('Cleaned Data'!$E$2:$E$1489,$B$3,'Cleaned Data'!$F$2:$F$1489,$B$4,'Cleaned Data'!$G$2:$G$1489,$B$5,'Cleaned Data'!$O$2:$O$1489,"Delivered",'Cleaned Data'!$F$2:$F$1489,$A23)</f>
        <v>240</v>
      </c>
      <c r="C23" s="12" t="n">
        <f aca="false">SUMIFS('Cleaned Data'!$L$2:$L$1489,'Cleaned Data'!$E$2:$E$1489,$B$3,'Cleaned Data'!$F$2:$F$1489,$B$4,'Cleaned Data'!$G$2:$G$1489,$B$5,'Cleaned Data'!$O$2:$O$1489,"Delivered",'Cleaned Data'!$F$2:$F$1489,$A23)</f>
        <v>107801</v>
      </c>
      <c r="D23" s="12" t="n">
        <f aca="false">IFERROR(C23/B23,0)</f>
        <v>449.170833333333</v>
      </c>
    </row>
    <row r="24" customFormat="false" ht="15" hidden="false" customHeight="false" outlineLevel="0" collapsed="false">
      <c r="A24" s="10" t="s">
        <v>56</v>
      </c>
      <c r="B24" s="11" t="n">
        <f aca="false">COUNTIFS('Cleaned Data'!$E$2:$E$1489,$B$3,'Cleaned Data'!$F$2:$F$1489,$B$4,'Cleaned Data'!$G$2:$G$1489,$B$5,'Cleaned Data'!$O$2:$O$1489,"Delivered",'Cleaned Data'!$F$2:$F$1489,$A24)</f>
        <v>219</v>
      </c>
      <c r="C24" s="12" t="n">
        <f aca="false">SUMIFS('Cleaned Data'!$L$2:$L$1489,'Cleaned Data'!$E$2:$E$1489,$B$3,'Cleaned Data'!$F$2:$F$1489,$B$4,'Cleaned Data'!$G$2:$G$1489,$B$5,'Cleaned Data'!$O$2:$O$1489,"Delivered",'Cleaned Data'!$F$2:$F$1489,$A24)</f>
        <v>83515</v>
      </c>
      <c r="D24" s="12" t="n">
        <f aca="false">IFERROR(C24/B24,0)</f>
        <v>381.34703196347</v>
      </c>
    </row>
    <row r="25" customFormat="false" ht="15" hidden="false" customHeight="false" outlineLevel="0" collapsed="false">
      <c r="A25" s="10" t="s">
        <v>20</v>
      </c>
      <c r="B25" s="11" t="n">
        <f aca="false">COUNTIFS('Cleaned Data'!$E$2:$E$1489,$B$3,'Cleaned Data'!$F$2:$F$1489,$B$4,'Cleaned Data'!$G$2:$G$1489,$B$5,'Cleaned Data'!$O$2:$O$1489,"Delivered",'Cleaned Data'!$F$2:$F$1489,$A25)</f>
        <v>189</v>
      </c>
      <c r="C25" s="12" t="n">
        <f aca="false">SUMIFS('Cleaned Data'!$L$2:$L$1489,'Cleaned Data'!$E$2:$E$1489,$B$3,'Cleaned Data'!$F$2:$F$1489,$B$4,'Cleaned Data'!$G$2:$G$1489,$B$5,'Cleaned Data'!$O$2:$O$1489,"Delivered",'Cleaned Data'!$F$2:$F$1489,$A25)</f>
        <v>109913</v>
      </c>
      <c r="D25" s="12" t="n">
        <f aca="false">IFERROR(C25/B25,0)</f>
        <v>581.550264550265</v>
      </c>
    </row>
    <row r="26" customFormat="false" ht="15" hidden="false" customHeight="false" outlineLevel="0" collapsed="false">
      <c r="A26" s="10" t="s">
        <v>28</v>
      </c>
      <c r="B26" s="11" t="n">
        <f aca="false">COUNTIFS('Cleaned Data'!$E$2:$E$1489,$B$3,'Cleaned Data'!$F$2:$F$1489,$B$4,'Cleaned Data'!$G$2:$G$1489,$B$5,'Cleaned Data'!$O$2:$O$1489,"Delivered",'Cleaned Data'!$F$2:$F$1489,$A26)</f>
        <v>173</v>
      </c>
      <c r="C26" s="12" t="n">
        <f aca="false">SUMIFS('Cleaned Data'!$L$2:$L$1489,'Cleaned Data'!$E$2:$E$1489,$B$3,'Cleaned Data'!$F$2:$F$1489,$B$4,'Cleaned Data'!$G$2:$G$1489,$B$5,'Cleaned Data'!$O$2:$O$1489,"Delivered",'Cleaned Data'!$F$2:$F$1489,$A26)</f>
        <v>74244</v>
      </c>
      <c r="D26" s="12" t="n">
        <f aca="false">IFERROR(C26/B26,0)</f>
        <v>429.156069364162</v>
      </c>
    </row>
    <row r="27" customFormat="false" ht="15" hidden="false" customHeight="false" outlineLevel="0" collapsed="false">
      <c r="A27" s="10" t="s">
        <v>14</v>
      </c>
      <c r="B27" s="11" t="n">
        <f aca="false">COUNTIFS('Cleaned Data'!$E$2:$E$1489,$B$3,'Cleaned Data'!$F$2:$F$1489,$B$4,'Cleaned Data'!$G$2:$G$1489,$B$5,'Cleaned Data'!$O$2:$O$1489,"Delivered",'Cleaned Data'!$F$2:$F$1489,$A27)</f>
        <v>147</v>
      </c>
      <c r="C27" s="12" t="n">
        <f aca="false">SUMIFS('Cleaned Data'!$L$2:$L$1489,'Cleaned Data'!$E$2:$E$1489,$B$3,'Cleaned Data'!$F$2:$F$1489,$B$4,'Cleaned Data'!$G$2:$G$1489,$B$5,'Cleaned Data'!$O$2:$O$1489,"Delivered",'Cleaned Data'!$F$2:$F$1489,$A27)</f>
        <v>47916</v>
      </c>
      <c r="D27" s="12" t="n">
        <f aca="false">IFERROR(C27/B27,0)</f>
        <v>325.959183673469</v>
      </c>
    </row>
    <row r="28" customFormat="false" ht="15" hidden="false" customHeight="false" outlineLevel="0" collapsed="false">
      <c r="A28" s="10" t="s">
        <v>49</v>
      </c>
      <c r="B28" s="11" t="n">
        <f aca="false">COUNTIFS('Cleaned Data'!$E$2:$E$1489,$B$3,'Cleaned Data'!$F$2:$F$1489,$B$4,'Cleaned Data'!$G$2:$G$1489,$B$5,'Cleaned Data'!$O$2:$O$1489,"Delivered",'Cleaned Data'!$F$2:$F$1489,$A28)</f>
        <v>76</v>
      </c>
      <c r="C28" s="12" t="n">
        <f aca="false">SUMIFS('Cleaned Data'!$L$2:$L$1489,'Cleaned Data'!$E$2:$E$1489,$B$3,'Cleaned Data'!$F$2:$F$1489,$B$4,'Cleaned Data'!$G$2:$G$1489,$B$5,'Cleaned Data'!$O$2:$O$1489,"Delivered",'Cleaned Data'!$F$2:$F$1489,$A28)</f>
        <v>36344</v>
      </c>
      <c r="D28" s="12" t="n">
        <f aca="false">IFERROR(C28/B28,0)</f>
        <v>478.21052631579</v>
      </c>
    </row>
    <row r="29" customFormat="false" ht="15" hidden="false" customHeight="false" outlineLevel="0" collapsed="false">
      <c r="A29" s="10" t="s">
        <v>78</v>
      </c>
      <c r="B29" s="11" t="n">
        <f aca="false">COUNTIFS('Cleaned Data'!$E$2:$E$1489,$B$3,'Cleaned Data'!$F$2:$F$1489,$B$4,'Cleaned Data'!$G$2:$G$1489,$B$5,'Cleaned Data'!$O$2:$O$1489,"Delivered",'Cleaned Data'!$F$2:$F$1489,$A29)</f>
        <v>68</v>
      </c>
      <c r="C29" s="12" t="n">
        <f aca="false">SUMIFS('Cleaned Data'!$L$2:$L$1489,'Cleaned Data'!$E$2:$E$1489,$B$3,'Cleaned Data'!$F$2:$F$1489,$B$4,'Cleaned Data'!$G$2:$G$1489,$B$5,'Cleaned Data'!$O$2:$O$1489,"Delivered",'Cleaned Data'!$F$2:$F$1489,$A29)</f>
        <v>26003</v>
      </c>
      <c r="D29" s="12" t="n">
        <f aca="false">IFERROR(C29/B29,0)</f>
        <v>382.397058823529</v>
      </c>
    </row>
    <row r="30" customFormat="false" ht="15" hidden="false" customHeight="false" outlineLevel="0" collapsed="false">
      <c r="A30" s="15" t="s">
        <v>1702</v>
      </c>
      <c r="B30" s="16" t="n">
        <f aca="false">SUM(B22:B29)</f>
        <v>1405</v>
      </c>
      <c r="C30" s="17" t="n">
        <f aca="false">SUM(C22:C29)</f>
        <v>625271</v>
      </c>
      <c r="D30" s="17" t="n">
        <f aca="false">IFERROR(C30/B30,0)</f>
        <v>445.032740213523</v>
      </c>
    </row>
    <row r="33" customFormat="false" ht="15" hidden="false" customHeight="false" outlineLevel="0" collapsed="false">
      <c r="A33" s="9" t="s">
        <v>1704</v>
      </c>
    </row>
    <row r="34" customFormat="false" ht="15" hidden="false" customHeight="false" outlineLevel="0" collapsed="false">
      <c r="A34" s="1" t="s">
        <v>1687</v>
      </c>
      <c r="B34" s="1" t="s">
        <v>1697</v>
      </c>
      <c r="C34" s="1" t="s">
        <v>1698</v>
      </c>
      <c r="D34" s="1" t="s">
        <v>1699</v>
      </c>
    </row>
    <row r="35" customFormat="false" ht="15" hidden="false" customHeight="false" outlineLevel="0" collapsed="false">
      <c r="A35" s="10" t="s">
        <v>1705</v>
      </c>
      <c r="B35" s="11" t="n">
        <f aca="false">COUNTIFS('Cleaned Data'!$E$2:$E$1489,$B$3,'Cleaned Data'!$F$2:$F$1489,$B$4,'Cleaned Data'!$G$2:$G$1489,$B$5,'Cleaned Data'!$O$2:$O$1489,"Delivered",'Cleaned Data'!$C$2:$C$1489,$A35)</f>
        <v>99</v>
      </c>
      <c r="C35" s="12" t="n">
        <f aca="false">SUMIFS('Cleaned Data'!$L$2:$L$1489,'Cleaned Data'!$E$2:$E$1489,$B$3,'Cleaned Data'!$F$2:$F$1489,$B$4,'Cleaned Data'!$G$2:$G$1489,$B$5,'Cleaned Data'!$O$2:$O$1489,"Delivered",'Cleaned Data'!$C$2:$C$1489,$A35)</f>
        <v>43004</v>
      </c>
      <c r="D35" s="12" t="n">
        <f aca="false">IFERROR(C35/B35,0)</f>
        <v>434.383838383838</v>
      </c>
    </row>
    <row r="36" customFormat="false" ht="15" hidden="false" customHeight="false" outlineLevel="0" collapsed="false">
      <c r="A36" s="10" t="s">
        <v>1706</v>
      </c>
      <c r="B36" s="11" t="n">
        <f aca="false">COUNTIFS('Cleaned Data'!$E$2:$E$1489,$B$3,'Cleaned Data'!$F$2:$F$1489,$B$4,'Cleaned Data'!$G$2:$G$1489,$B$5,'Cleaned Data'!$O$2:$O$1489,"Delivered",'Cleaned Data'!$C$2:$C$1489,$A36)</f>
        <v>100</v>
      </c>
      <c r="C36" s="12" t="n">
        <f aca="false">SUMIFS('Cleaned Data'!$L$2:$L$1489,'Cleaned Data'!$E$2:$E$1489,$B$3,'Cleaned Data'!$F$2:$F$1489,$B$4,'Cleaned Data'!$G$2:$G$1489,$B$5,'Cleaned Data'!$O$2:$O$1489,"Delivered",'Cleaned Data'!$C$2:$C$1489,$A36)</f>
        <v>43954</v>
      </c>
      <c r="D36" s="12" t="n">
        <f aca="false">IFERROR(C36/B36,0)</f>
        <v>439.54</v>
      </c>
    </row>
    <row r="37" customFormat="false" ht="15" hidden="false" customHeight="false" outlineLevel="0" collapsed="false">
      <c r="A37" s="10" t="s">
        <v>1707</v>
      </c>
      <c r="B37" s="11" t="n">
        <f aca="false">COUNTIFS('Cleaned Data'!$E$2:$E$1489,$B$3,'Cleaned Data'!$F$2:$F$1489,$B$4,'Cleaned Data'!$G$2:$G$1489,$B$5,'Cleaned Data'!$O$2:$O$1489,"Delivered",'Cleaned Data'!$C$2:$C$1489,$A37)</f>
        <v>118</v>
      </c>
      <c r="C37" s="12" t="n">
        <f aca="false">SUMIFS('Cleaned Data'!$L$2:$L$1489,'Cleaned Data'!$E$2:$E$1489,$B$3,'Cleaned Data'!$F$2:$F$1489,$B$4,'Cleaned Data'!$G$2:$G$1489,$B$5,'Cleaned Data'!$O$2:$O$1489,"Delivered",'Cleaned Data'!$C$2:$C$1489,$A37)</f>
        <v>54175</v>
      </c>
      <c r="D37" s="12" t="n">
        <f aca="false">IFERROR(C37/B37,0)</f>
        <v>459.110169491525</v>
      </c>
    </row>
    <row r="38" customFormat="false" ht="15" hidden="false" customHeight="false" outlineLevel="0" collapsed="false">
      <c r="A38" s="10" t="s">
        <v>1708</v>
      </c>
      <c r="B38" s="11" t="n">
        <f aca="false">COUNTIFS('Cleaned Data'!$E$2:$E$1489,$B$3,'Cleaned Data'!$F$2:$F$1489,$B$4,'Cleaned Data'!$G$2:$G$1489,$B$5,'Cleaned Data'!$O$2:$O$1489,"Delivered",'Cleaned Data'!$C$2:$C$1489,$A38)</f>
        <v>87</v>
      </c>
      <c r="C38" s="12" t="n">
        <f aca="false">SUMIFS('Cleaned Data'!$L$2:$L$1489,'Cleaned Data'!$E$2:$E$1489,$B$3,'Cleaned Data'!$F$2:$F$1489,$B$4,'Cleaned Data'!$G$2:$G$1489,$B$5,'Cleaned Data'!$O$2:$O$1489,"Delivered",'Cleaned Data'!$C$2:$C$1489,$A38)</f>
        <v>39431</v>
      </c>
      <c r="D38" s="12" t="n">
        <f aca="false">IFERROR(C38/B38,0)</f>
        <v>453.229885057471</v>
      </c>
    </row>
    <row r="39" customFormat="false" ht="15" hidden="false" customHeight="false" outlineLevel="0" collapsed="false">
      <c r="A39" s="10" t="s">
        <v>1709</v>
      </c>
      <c r="B39" s="11" t="n">
        <f aca="false">COUNTIFS('Cleaned Data'!$E$2:$E$1489,$B$3,'Cleaned Data'!$F$2:$F$1489,$B$4,'Cleaned Data'!$G$2:$G$1489,$B$5,'Cleaned Data'!$O$2:$O$1489,"Delivered",'Cleaned Data'!$C$2:$C$1489,$A39)</f>
        <v>106</v>
      </c>
      <c r="C39" s="12" t="n">
        <f aca="false">SUMIFS('Cleaned Data'!$L$2:$L$1489,'Cleaned Data'!$E$2:$E$1489,$B$3,'Cleaned Data'!$F$2:$F$1489,$B$4,'Cleaned Data'!$G$2:$G$1489,$B$5,'Cleaned Data'!$O$2:$O$1489,"Delivered",'Cleaned Data'!$C$2:$C$1489,$A39)</f>
        <v>47501</v>
      </c>
      <c r="D39" s="12" t="n">
        <f aca="false">IFERROR(C39/B39,0)</f>
        <v>448.122641509434</v>
      </c>
    </row>
    <row r="40" customFormat="false" ht="15" hidden="false" customHeight="false" outlineLevel="0" collapsed="false">
      <c r="A40" s="10" t="s">
        <v>1710</v>
      </c>
      <c r="B40" s="11" t="n">
        <f aca="false">COUNTIFS('Cleaned Data'!$E$2:$E$1489,$B$3,'Cleaned Data'!$F$2:$F$1489,$B$4,'Cleaned Data'!$G$2:$G$1489,$B$5,'Cleaned Data'!$O$2:$O$1489,"Delivered",'Cleaned Data'!$C$2:$C$1489,$A40)</f>
        <v>122</v>
      </c>
      <c r="C40" s="12" t="n">
        <f aca="false">SUMIFS('Cleaned Data'!$L$2:$L$1489,'Cleaned Data'!$E$2:$E$1489,$B$3,'Cleaned Data'!$F$2:$F$1489,$B$4,'Cleaned Data'!$G$2:$G$1489,$B$5,'Cleaned Data'!$O$2:$O$1489,"Delivered",'Cleaned Data'!$C$2:$C$1489,$A40)</f>
        <v>52426</v>
      </c>
      <c r="D40" s="12" t="n">
        <f aca="false">IFERROR(C40/B40,0)</f>
        <v>429.72131147541</v>
      </c>
    </row>
    <row r="41" customFormat="false" ht="15" hidden="false" customHeight="false" outlineLevel="0" collapsed="false">
      <c r="A41" s="10" t="s">
        <v>1711</v>
      </c>
      <c r="B41" s="11" t="n">
        <f aca="false">COUNTIFS('Cleaned Data'!$E$2:$E$1489,$B$3,'Cleaned Data'!$F$2:$F$1489,$B$4,'Cleaned Data'!$G$2:$G$1489,$B$5,'Cleaned Data'!$O$2:$O$1489,"Delivered",'Cleaned Data'!$C$2:$C$1489,$A41)</f>
        <v>123</v>
      </c>
      <c r="C41" s="12" t="n">
        <f aca="false">SUMIFS('Cleaned Data'!$L$2:$L$1489,'Cleaned Data'!$E$2:$E$1489,$B$3,'Cleaned Data'!$F$2:$F$1489,$B$4,'Cleaned Data'!$G$2:$G$1489,$B$5,'Cleaned Data'!$O$2:$O$1489,"Delivered",'Cleaned Data'!$C$2:$C$1489,$A41)</f>
        <v>55728</v>
      </c>
      <c r="D41" s="12" t="n">
        <f aca="false">IFERROR(C41/B41,0)</f>
        <v>453.073170731707</v>
      </c>
    </row>
    <row r="42" customFormat="false" ht="15" hidden="false" customHeight="false" outlineLevel="0" collapsed="false">
      <c r="A42" s="10" t="s">
        <v>1712</v>
      </c>
      <c r="B42" s="11" t="n">
        <f aca="false">COUNTIFS('Cleaned Data'!$E$2:$E$1489,$B$3,'Cleaned Data'!$F$2:$F$1489,$B$4,'Cleaned Data'!$G$2:$G$1489,$B$5,'Cleaned Data'!$O$2:$O$1489,"Delivered",'Cleaned Data'!$C$2:$C$1489,$A42)</f>
        <v>126</v>
      </c>
      <c r="C42" s="12" t="n">
        <f aca="false">SUMIFS('Cleaned Data'!$L$2:$L$1489,'Cleaned Data'!$E$2:$E$1489,$B$3,'Cleaned Data'!$F$2:$F$1489,$B$4,'Cleaned Data'!$G$2:$G$1489,$B$5,'Cleaned Data'!$O$2:$O$1489,"Delivered",'Cleaned Data'!$C$2:$C$1489,$A42)</f>
        <v>57779</v>
      </c>
      <c r="D42" s="12" t="n">
        <f aca="false">IFERROR(C42/B42,0)</f>
        <v>458.563492063492</v>
      </c>
    </row>
    <row r="43" customFormat="false" ht="15" hidden="false" customHeight="false" outlineLevel="0" collapsed="false">
      <c r="A43" s="10" t="s">
        <v>1713</v>
      </c>
      <c r="B43" s="11" t="n">
        <f aca="false">COUNTIFS('Cleaned Data'!$E$2:$E$1489,$B$3,'Cleaned Data'!$F$2:$F$1489,$B$4,'Cleaned Data'!$G$2:$G$1489,$B$5,'Cleaned Data'!$O$2:$O$1489,"Delivered",'Cleaned Data'!$C$2:$C$1489,$A43)</f>
        <v>124</v>
      </c>
      <c r="C43" s="12" t="n">
        <f aca="false">SUMIFS('Cleaned Data'!$L$2:$L$1489,'Cleaned Data'!$E$2:$E$1489,$B$3,'Cleaned Data'!$F$2:$F$1489,$B$4,'Cleaned Data'!$G$2:$G$1489,$B$5,'Cleaned Data'!$O$2:$O$1489,"Delivered",'Cleaned Data'!$C$2:$C$1489,$A43)</f>
        <v>54456</v>
      </c>
      <c r="D43" s="12" t="n">
        <f aca="false">IFERROR(C43/B43,0)</f>
        <v>439.161290322581</v>
      </c>
    </row>
    <row r="44" customFormat="false" ht="15" hidden="false" customHeight="false" outlineLevel="0" collapsed="false">
      <c r="A44" s="10" t="s">
        <v>1714</v>
      </c>
      <c r="B44" s="11" t="n">
        <f aca="false">COUNTIFS('Cleaned Data'!$E$2:$E$1489,$B$3,'Cleaned Data'!$F$2:$F$1489,$B$4,'Cleaned Data'!$G$2:$G$1489,$B$5,'Cleaned Data'!$O$2:$O$1489,"Delivered",'Cleaned Data'!$C$2:$C$1489,$A44)</f>
        <v>130</v>
      </c>
      <c r="C44" s="12" t="n">
        <f aca="false">SUMIFS('Cleaned Data'!$L$2:$L$1489,'Cleaned Data'!$E$2:$E$1489,$B$3,'Cleaned Data'!$F$2:$F$1489,$B$4,'Cleaned Data'!$G$2:$G$1489,$B$5,'Cleaned Data'!$O$2:$O$1489,"Delivered",'Cleaned Data'!$C$2:$C$1489,$A44)</f>
        <v>58826</v>
      </c>
      <c r="D44" s="12" t="n">
        <f aca="false">IFERROR(C44/B44,0)</f>
        <v>452.507692307692</v>
      </c>
    </row>
    <row r="45" customFormat="false" ht="15" hidden="false" customHeight="false" outlineLevel="0" collapsed="false">
      <c r="A45" s="10" t="s">
        <v>1715</v>
      </c>
      <c r="B45" s="11" t="n">
        <f aca="false">COUNTIFS('Cleaned Data'!$E$2:$E$1489,$B$3,'Cleaned Data'!$F$2:$F$1489,$B$4,'Cleaned Data'!$G$2:$G$1489,$B$5,'Cleaned Data'!$O$2:$O$1489,"Delivered",'Cleaned Data'!$C$2:$C$1489,$A45)</f>
        <v>127</v>
      </c>
      <c r="C45" s="12" t="n">
        <f aca="false">SUMIFS('Cleaned Data'!$L$2:$L$1489,'Cleaned Data'!$E$2:$E$1489,$B$3,'Cleaned Data'!$F$2:$F$1489,$B$4,'Cleaned Data'!$G$2:$G$1489,$B$5,'Cleaned Data'!$O$2:$O$1489,"Delivered",'Cleaned Data'!$C$2:$C$1489,$A45)</f>
        <v>55791</v>
      </c>
      <c r="D45" s="12" t="n">
        <f aca="false">IFERROR(C45/B45,0)</f>
        <v>439.299212598425</v>
      </c>
    </row>
    <row r="46" customFormat="false" ht="15" hidden="false" customHeight="false" outlineLevel="0" collapsed="false">
      <c r="A46" s="10" t="s">
        <v>1716</v>
      </c>
      <c r="B46" s="11" t="n">
        <f aca="false">COUNTIFS('Cleaned Data'!$E$2:$E$1489,$B$3,'Cleaned Data'!$F$2:$F$1489,$B$4,'Cleaned Data'!$G$2:$G$1489,$B$5,'Cleaned Data'!$O$2:$O$1489,"Delivered",'Cleaned Data'!$C$2:$C$1489,$A46)</f>
        <v>143</v>
      </c>
      <c r="C46" s="12" t="n">
        <f aca="false">SUMIFS('Cleaned Data'!$L$2:$L$1489,'Cleaned Data'!$E$2:$E$1489,$B$3,'Cleaned Data'!$F$2:$F$1489,$B$4,'Cleaned Data'!$G$2:$G$1489,$B$5,'Cleaned Data'!$O$2:$O$1489,"Delivered",'Cleaned Data'!$C$2:$C$1489,$A46)</f>
        <v>62200</v>
      </c>
      <c r="D46" s="12" t="n">
        <f aca="false">IFERROR(C46/B46,0)</f>
        <v>434.965034965035</v>
      </c>
    </row>
    <row r="47" customFormat="false" ht="15" hidden="false" customHeight="false" outlineLevel="0" collapsed="false">
      <c r="A47" s="15" t="s">
        <v>1702</v>
      </c>
      <c r="B47" s="16" t="n">
        <f aca="false">SUM(B35:B46)</f>
        <v>1405</v>
      </c>
      <c r="C47" s="17" t="n">
        <f aca="false">SUM(C35:C46)</f>
        <v>625271</v>
      </c>
      <c r="D47" s="17" t="n">
        <f aca="false">IFERROR(C47/B47,0)</f>
        <v>445.032740213523</v>
      </c>
    </row>
    <row r="50" customFormat="false" ht="15" hidden="false" customHeight="false" outlineLevel="0" collapsed="false">
      <c r="A50" s="9" t="s">
        <v>1717</v>
      </c>
    </row>
    <row r="51" customFormat="false" ht="15" hidden="false" customHeight="false" outlineLevel="0" collapsed="false">
      <c r="A51" s="1" t="s">
        <v>1718</v>
      </c>
      <c r="B51" s="1" t="s">
        <v>1697</v>
      </c>
      <c r="C51" s="1" t="s">
        <v>1698</v>
      </c>
      <c r="D51" s="1" t="s">
        <v>1719</v>
      </c>
    </row>
    <row r="52" customFormat="false" ht="15" hidden="false" customHeight="false" outlineLevel="0" collapsed="false">
      <c r="A52" s="10" t="s">
        <v>22</v>
      </c>
      <c r="B52" s="11" t="n">
        <f aca="false">COUNTIFS('Cleaned Data'!$E$2:$E$1489,$B$3,'Cleaned Data'!$F$2:$F$1489,$B$4,'Cleaned Data'!$G$2:$G$1489,$B$5,'Cleaned Data'!$O$2:$O$1489,"Delivered",'Cleaned Data'!$H$2:$H$1489,$A52)</f>
        <v>564</v>
      </c>
      <c r="C52" s="12" t="n">
        <f aca="false">SUMIFS('Cleaned Data'!$L$2:$L$1489,'Cleaned Data'!$E$2:$E$1489,$B$3,'Cleaned Data'!$F$2:$F$1489,$B$4,'Cleaned Data'!$G$2:$G$1489,$B$5,'Cleaned Data'!$O$2:$O$1489,"Delivered",'Cleaned Data'!$H$2:$H$1489,$A52)</f>
        <v>252219</v>
      </c>
      <c r="D52" s="20" t="n">
        <f aca="false">IFERROR(B52/SUM(B$52:B$57),0)</f>
        <v>0.401423487544484</v>
      </c>
    </row>
    <row r="53" customFormat="false" ht="15" hidden="false" customHeight="false" outlineLevel="0" collapsed="false">
      <c r="A53" s="10" t="s">
        <v>16</v>
      </c>
      <c r="B53" s="11" t="n">
        <f aca="false">COUNTIFS('Cleaned Data'!$E$2:$E$1489,$B$3,'Cleaned Data'!$F$2:$F$1489,$B$4,'Cleaned Data'!$G$2:$G$1489,$B$5,'Cleaned Data'!$O$2:$O$1489,"Delivered",'Cleaned Data'!$H$2:$H$1489,$A53)</f>
        <v>224</v>
      </c>
      <c r="C53" s="12" t="n">
        <f aca="false">SUMIFS('Cleaned Data'!$L$2:$L$1489,'Cleaned Data'!$E$2:$E$1489,$B$3,'Cleaned Data'!$F$2:$F$1489,$B$4,'Cleaned Data'!$G$2:$G$1489,$B$5,'Cleaned Data'!$O$2:$O$1489,"Delivered",'Cleaned Data'!$H$2:$H$1489,$A53)</f>
        <v>100392</v>
      </c>
      <c r="D53" s="20" t="n">
        <f aca="false">IFERROR(B53/SUM(B$52:B$57),0)</f>
        <v>0.159430604982206</v>
      </c>
    </row>
    <row r="54" customFormat="false" ht="15" hidden="false" customHeight="false" outlineLevel="0" collapsed="false">
      <c r="A54" s="10" t="s">
        <v>34</v>
      </c>
      <c r="B54" s="11" t="n">
        <f aca="false">COUNTIFS('Cleaned Data'!$E$2:$E$1489,$B$3,'Cleaned Data'!$F$2:$F$1489,$B$4,'Cleaned Data'!$G$2:$G$1489,$B$5,'Cleaned Data'!$O$2:$O$1489,"Delivered",'Cleaned Data'!$H$2:$H$1489,$A54)</f>
        <v>148</v>
      </c>
      <c r="C54" s="12" t="n">
        <f aca="false">SUMIFS('Cleaned Data'!$L$2:$L$1489,'Cleaned Data'!$E$2:$E$1489,$B$3,'Cleaned Data'!$F$2:$F$1489,$B$4,'Cleaned Data'!$G$2:$G$1489,$B$5,'Cleaned Data'!$O$2:$O$1489,"Delivered",'Cleaned Data'!$H$2:$H$1489,$A54)</f>
        <v>64282</v>
      </c>
      <c r="D54" s="20" t="n">
        <f aca="false">IFERROR(B54/SUM(B$52:B$57),0)</f>
        <v>0.105338078291815</v>
      </c>
    </row>
    <row r="55" customFormat="false" ht="15" hidden="false" customHeight="false" outlineLevel="0" collapsed="false">
      <c r="A55" s="10" t="s">
        <v>36</v>
      </c>
      <c r="B55" s="11" t="n">
        <f aca="false">COUNTIFS('Cleaned Data'!$E$2:$E$1489,$B$3,'Cleaned Data'!$F$2:$F$1489,$B$4,'Cleaned Data'!$G$2:$G$1489,$B$5,'Cleaned Data'!$O$2:$O$1489,"Delivered",'Cleaned Data'!$H$2:$H$1489,$A55)</f>
        <v>273</v>
      </c>
      <c r="C55" s="12" t="n">
        <f aca="false">SUMIFS('Cleaned Data'!$L$2:$L$1489,'Cleaned Data'!$E$2:$E$1489,$B$3,'Cleaned Data'!$F$2:$F$1489,$B$4,'Cleaned Data'!$G$2:$G$1489,$B$5,'Cleaned Data'!$O$2:$O$1489,"Delivered",'Cleaned Data'!$H$2:$H$1489,$A55)</f>
        <v>121877</v>
      </c>
      <c r="D55" s="20" t="n">
        <f aca="false">IFERROR(B55/SUM(B$52:B$57),0)</f>
        <v>0.194306049822064</v>
      </c>
    </row>
    <row r="56" customFormat="false" ht="15" hidden="false" customHeight="false" outlineLevel="0" collapsed="false">
      <c r="A56" s="10" t="s">
        <v>54</v>
      </c>
      <c r="B56" s="11" t="n">
        <f aca="false">COUNTIFS('Cleaned Data'!$E$2:$E$1489,$B$3,'Cleaned Data'!$F$2:$F$1489,$B$4,'Cleaned Data'!$G$2:$G$1489,$B$5,'Cleaned Data'!$O$2:$O$1489,"Delivered",'Cleaned Data'!$H$2:$H$1489,$A56)</f>
        <v>178</v>
      </c>
      <c r="C56" s="12" t="n">
        <f aca="false">SUMIFS('Cleaned Data'!$L$2:$L$1489,'Cleaned Data'!$E$2:$E$1489,$B$3,'Cleaned Data'!$F$2:$F$1489,$B$4,'Cleaned Data'!$G$2:$G$1489,$B$5,'Cleaned Data'!$O$2:$O$1489,"Delivered",'Cleaned Data'!$H$2:$H$1489,$A56)</f>
        <v>78624</v>
      </c>
      <c r="D56" s="20" t="n">
        <f aca="false">IFERROR(B56/SUM(B$52:B$57),0)</f>
        <v>0.126690391459075</v>
      </c>
    </row>
    <row r="57" customFormat="false" ht="15" hidden="false" customHeight="false" outlineLevel="0" collapsed="false">
      <c r="A57" s="10" t="s">
        <v>1690</v>
      </c>
      <c r="B57" s="11" t="n">
        <f aca="false">COUNTIFS('Cleaned Data'!$E$2:$E$1489,$B$3,'Cleaned Data'!$F$2:$F$1489,$B$4,'Cleaned Data'!$G$2:$G$1489,$B$5,'Cleaned Data'!$O$2:$O$1489,"Delivered",'Cleaned Data'!$H$2:$H$1489,$A57)</f>
        <v>18</v>
      </c>
      <c r="C57" s="12" t="n">
        <f aca="false">SUMIFS('Cleaned Data'!$L$2:$L$1489,'Cleaned Data'!$E$2:$E$1489,$B$3,'Cleaned Data'!$F$2:$F$1489,$B$4,'Cleaned Data'!$G$2:$G$1489,$B$5,'Cleaned Data'!$O$2:$O$1489,"Delivered",'Cleaned Data'!$H$2:$H$1489,$A57)</f>
        <v>7877</v>
      </c>
      <c r="D57" s="20" t="n">
        <f aca="false">IFERROR(B57/SUM(B$52:B$57),0)</f>
        <v>0.0128113879003559</v>
      </c>
    </row>
    <row r="58" customFormat="false" ht="15" hidden="false" customHeight="false" outlineLevel="0" collapsed="false">
      <c r="A58" s="15" t="s">
        <v>1702</v>
      </c>
      <c r="B58" s="16" t="n">
        <f aca="false">SUM(B52:B57)</f>
        <v>1405</v>
      </c>
      <c r="C58" s="17" t="n">
        <f aca="false">SUM(C52:C57)</f>
        <v>625271</v>
      </c>
      <c r="D58" s="21" t="n">
        <f aca="false">SUM(D52:D57)</f>
        <v>1</v>
      </c>
    </row>
    <row r="61" customFormat="false" ht="15" hidden="false" customHeight="false" outlineLevel="0" collapsed="false">
      <c r="A61" s="9" t="s">
        <v>1720</v>
      </c>
    </row>
    <row r="62" customFormat="false" ht="15" hidden="false" customHeight="false" outlineLevel="0" collapsed="false">
      <c r="A62" s="1" t="s">
        <v>1688</v>
      </c>
      <c r="B62" s="1" t="s">
        <v>1697</v>
      </c>
      <c r="C62" s="1" t="s">
        <v>1698</v>
      </c>
      <c r="D62" s="1" t="s">
        <v>1699</v>
      </c>
    </row>
    <row r="63" customFormat="false" ht="15" hidden="false" customHeight="false" outlineLevel="0" collapsed="false">
      <c r="A63" s="10" t="s">
        <v>1721</v>
      </c>
      <c r="B63" s="11" t="n">
        <f aca="false">COUNTIFS('Cleaned Data'!$E$2:$E$1489,$B$3,'Cleaned Data'!$F$2:$F$1489,$B$4,'Cleaned Data'!$G$2:$G$1489,$B$5,'Cleaned Data'!$O$2:$O$1489,"Delivered",'Cleaned Data'!$D$2:$D$1489,$A63)</f>
        <v>163</v>
      </c>
      <c r="C63" s="12" t="n">
        <f aca="false">SUMIFS('Cleaned Data'!$L$2:$L$1489,'Cleaned Data'!$E$2:$E$1489,$B$3,'Cleaned Data'!$F$2:$F$1489,$B$4,'Cleaned Data'!$G$2:$G$1489,$B$5,'Cleaned Data'!$O$2:$O$1489,"Delivered",'Cleaned Data'!$D$2:$D$1489,$A63)</f>
        <v>72345</v>
      </c>
      <c r="D63" s="12" t="n">
        <f aca="false">IFERROR(C63/B63,0)</f>
        <v>443.834355828221</v>
      </c>
    </row>
    <row r="64" customFormat="false" ht="15" hidden="false" customHeight="false" outlineLevel="0" collapsed="false">
      <c r="A64" s="10" t="s">
        <v>1722</v>
      </c>
      <c r="B64" s="11" t="n">
        <f aca="false">COUNTIFS('Cleaned Data'!$E$2:$E$1489,$B$3,'Cleaned Data'!$F$2:$F$1489,$B$4,'Cleaned Data'!$G$2:$G$1489,$B$5,'Cleaned Data'!$O$2:$O$1489,"Delivered",'Cleaned Data'!$D$2:$D$1489,$A64)</f>
        <v>183</v>
      </c>
      <c r="C64" s="12" t="n">
        <f aca="false">SUMIFS('Cleaned Data'!$L$2:$L$1489,'Cleaned Data'!$E$2:$E$1489,$B$3,'Cleaned Data'!$F$2:$F$1489,$B$4,'Cleaned Data'!$G$2:$G$1489,$B$5,'Cleaned Data'!$O$2:$O$1489,"Delivered",'Cleaned Data'!$D$2:$D$1489,$A64)</f>
        <v>83125</v>
      </c>
      <c r="D64" s="12" t="n">
        <f aca="false">IFERROR(C64/B64,0)</f>
        <v>454.234972677596</v>
      </c>
    </row>
    <row r="65" customFormat="false" ht="15" hidden="false" customHeight="false" outlineLevel="0" collapsed="false">
      <c r="A65" s="10" t="s">
        <v>1723</v>
      </c>
      <c r="B65" s="11" t="n">
        <f aca="false">COUNTIFS('Cleaned Data'!$E$2:$E$1489,$B$3,'Cleaned Data'!$F$2:$F$1489,$B$4,'Cleaned Data'!$G$2:$G$1489,$B$5,'Cleaned Data'!$O$2:$O$1489,"Delivered",'Cleaned Data'!$D$2:$D$1489,$A65)</f>
        <v>180</v>
      </c>
      <c r="C65" s="12" t="n">
        <f aca="false">SUMIFS('Cleaned Data'!$L$2:$L$1489,'Cleaned Data'!$E$2:$E$1489,$B$3,'Cleaned Data'!$F$2:$F$1489,$B$4,'Cleaned Data'!$G$2:$G$1489,$B$5,'Cleaned Data'!$O$2:$O$1489,"Delivered",'Cleaned Data'!$D$2:$D$1489,$A65)</f>
        <v>80862</v>
      </c>
      <c r="D65" s="12" t="n">
        <f aca="false">IFERROR(C65/B65,0)</f>
        <v>449.233333333333</v>
      </c>
    </row>
    <row r="66" customFormat="false" ht="15" hidden="false" customHeight="false" outlineLevel="0" collapsed="false">
      <c r="A66" s="10" t="s">
        <v>1724</v>
      </c>
      <c r="B66" s="11" t="n">
        <f aca="false">COUNTIFS('Cleaned Data'!$E$2:$E$1489,$B$3,'Cleaned Data'!$F$2:$F$1489,$B$4,'Cleaned Data'!$G$2:$G$1489,$B$5,'Cleaned Data'!$O$2:$O$1489,"Delivered",'Cleaned Data'!$D$2:$D$1489,$A66)</f>
        <v>207</v>
      </c>
      <c r="C66" s="12" t="n">
        <f aca="false">SUMIFS('Cleaned Data'!$L$2:$L$1489,'Cleaned Data'!$E$2:$E$1489,$B$3,'Cleaned Data'!$F$2:$F$1489,$B$4,'Cleaned Data'!$G$2:$G$1489,$B$5,'Cleaned Data'!$O$2:$O$1489,"Delivered",'Cleaned Data'!$D$2:$D$1489,$A66)</f>
        <v>91871</v>
      </c>
      <c r="D66" s="12" t="n">
        <f aca="false">IFERROR(C66/B66,0)</f>
        <v>443.821256038647</v>
      </c>
    </row>
    <row r="67" customFormat="false" ht="15" hidden="false" customHeight="false" outlineLevel="0" collapsed="false">
      <c r="A67" s="10" t="s">
        <v>1725</v>
      </c>
      <c r="B67" s="11" t="n">
        <f aca="false">COUNTIFS('Cleaned Data'!$E$2:$E$1489,$B$3,'Cleaned Data'!$F$2:$F$1489,$B$4,'Cleaned Data'!$G$2:$G$1489,$B$5,'Cleaned Data'!$O$2:$O$1489,"Delivered",'Cleaned Data'!$D$2:$D$1489,$A67)</f>
        <v>236</v>
      </c>
      <c r="C67" s="12" t="n">
        <f aca="false">SUMIFS('Cleaned Data'!$L$2:$L$1489,'Cleaned Data'!$E$2:$E$1489,$B$3,'Cleaned Data'!$F$2:$F$1489,$B$4,'Cleaned Data'!$G$2:$G$1489,$B$5,'Cleaned Data'!$O$2:$O$1489,"Delivered",'Cleaned Data'!$D$2:$D$1489,$A67)</f>
        <v>103593</v>
      </c>
      <c r="D67" s="12" t="n">
        <f aca="false">IFERROR(C67/B67,0)</f>
        <v>438.953389830508</v>
      </c>
    </row>
    <row r="68" customFormat="false" ht="15" hidden="false" customHeight="false" outlineLevel="0" collapsed="false">
      <c r="A68" s="10" t="s">
        <v>1726</v>
      </c>
      <c r="B68" s="11" t="n">
        <f aca="false">COUNTIFS('Cleaned Data'!$E$2:$E$1489,$B$3,'Cleaned Data'!$F$2:$F$1489,$B$4,'Cleaned Data'!$G$2:$G$1489,$B$5,'Cleaned Data'!$O$2:$O$1489,"Delivered",'Cleaned Data'!$D$2:$D$1489,$A68)</f>
        <v>228</v>
      </c>
      <c r="C68" s="12" t="n">
        <f aca="false">SUMIFS('Cleaned Data'!$L$2:$L$1489,'Cleaned Data'!$E$2:$E$1489,$B$3,'Cleaned Data'!$F$2:$F$1489,$B$4,'Cleaned Data'!$G$2:$G$1489,$B$5,'Cleaned Data'!$O$2:$O$1489,"Delivered",'Cleaned Data'!$D$2:$D$1489,$A68)</f>
        <v>102043</v>
      </c>
      <c r="D68" s="12" t="n">
        <f aca="false">IFERROR(C68/B68,0)</f>
        <v>447.55701754386</v>
      </c>
    </row>
    <row r="69" customFormat="false" ht="15" hidden="false" customHeight="false" outlineLevel="0" collapsed="false">
      <c r="A69" s="10" t="s">
        <v>1727</v>
      </c>
      <c r="B69" s="11" t="n">
        <f aca="false">COUNTIFS('Cleaned Data'!$E$2:$E$1489,$B$3,'Cleaned Data'!$F$2:$F$1489,$B$4,'Cleaned Data'!$G$2:$G$1489,$B$5,'Cleaned Data'!$O$2:$O$1489,"Delivered",'Cleaned Data'!$D$2:$D$1489,$A69)</f>
        <v>208</v>
      </c>
      <c r="C69" s="12" t="n">
        <f aca="false">SUMIFS('Cleaned Data'!$L$2:$L$1489,'Cleaned Data'!$E$2:$E$1489,$B$3,'Cleaned Data'!$F$2:$F$1489,$B$4,'Cleaned Data'!$G$2:$G$1489,$B$5,'Cleaned Data'!$O$2:$O$1489,"Delivered",'Cleaned Data'!$D$2:$D$1489,$A69)</f>
        <v>91432</v>
      </c>
      <c r="D69" s="12" t="n">
        <f aca="false">IFERROR(C69/B69,0)</f>
        <v>439.576923076923</v>
      </c>
    </row>
    <row r="70" customFormat="false" ht="15" hidden="false" customHeight="false" outlineLevel="0" collapsed="false">
      <c r="A70" s="15" t="s">
        <v>1702</v>
      </c>
      <c r="B70" s="16" t="n">
        <f aca="false">SUM(B63:B69)</f>
        <v>1405</v>
      </c>
      <c r="C70" s="17" t="n">
        <f aca="false">SUM(C63:C69)</f>
        <v>625271</v>
      </c>
      <c r="D70" s="17" t="n">
        <f aca="false">IFERROR(C70/B70,0)</f>
        <v>445.032740213523</v>
      </c>
    </row>
    <row r="73" customFormat="false" ht="15" hidden="false" customHeight="false" outlineLevel="0" collapsed="false">
      <c r="A73" s="9" t="s">
        <v>1728</v>
      </c>
    </row>
    <row r="74" customFormat="false" ht="15" hidden="false" customHeight="false" outlineLevel="0" collapsed="false">
      <c r="A74" s="1" t="s">
        <v>2</v>
      </c>
      <c r="B74" s="1" t="s">
        <v>1729</v>
      </c>
      <c r="C74" s="1" t="s">
        <v>68</v>
      </c>
      <c r="D74" s="1" t="s">
        <v>1730</v>
      </c>
    </row>
    <row r="75" customFormat="false" ht="15" hidden="false" customHeight="false" outlineLevel="0" collapsed="false">
      <c r="A75" s="10" t="s">
        <v>40</v>
      </c>
      <c r="B75" s="11" t="n">
        <f aca="false">COUNTIFS('Cleaned Data'!$E$2:$E$1489,$B$3,'Cleaned Data'!$F$2:$F$1489,$B$4,'Cleaned Data'!$G$2:$G$1489,$B$5,'Cleaned Data'!$E$2:$E$1489,$A75)</f>
        <v>294</v>
      </c>
      <c r="C75" s="11" t="n">
        <f aca="false">COUNTIFS('Cleaned Data'!$E$2:$E$1489,$B$3,'Cleaned Data'!$F$2:$F$1489,$B$4,'Cleaned Data'!$G$2:$G$1489,$B$5,'Cleaned Data'!$O$2:$O$1489,"Cancelled",'Cleaned Data'!$E$2:$E$1489,$A75)</f>
        <v>18</v>
      </c>
      <c r="D75" s="20" t="n">
        <f aca="false">IFERROR(C75/B75,0)</f>
        <v>0.0612244897959184</v>
      </c>
    </row>
    <row r="76" customFormat="false" ht="15" hidden="false" customHeight="false" outlineLevel="0" collapsed="false">
      <c r="A76" s="10" t="s">
        <v>24</v>
      </c>
      <c r="B76" s="11" t="n">
        <f aca="false">COUNTIFS('Cleaned Data'!$E$2:$E$1489,$B$3,'Cleaned Data'!$F$2:$F$1489,$B$4,'Cleaned Data'!$G$2:$G$1489,$B$5,'Cleaned Data'!$E$2:$E$1489,$A76)</f>
        <v>301</v>
      </c>
      <c r="C76" s="11" t="n">
        <f aca="false">COUNTIFS('Cleaned Data'!$E$2:$E$1489,$B$3,'Cleaned Data'!$F$2:$F$1489,$B$4,'Cleaned Data'!$G$2:$G$1489,$B$5,'Cleaned Data'!$O$2:$O$1489,"Cancelled",'Cleaned Data'!$E$2:$E$1489,$A76)</f>
        <v>21</v>
      </c>
      <c r="D76" s="20" t="n">
        <f aca="false">IFERROR(C76/B76,0)</f>
        <v>0.0697674418604651</v>
      </c>
    </row>
    <row r="77" customFormat="false" ht="15" hidden="false" customHeight="false" outlineLevel="0" collapsed="false">
      <c r="A77" s="10" t="s">
        <v>27</v>
      </c>
      <c r="B77" s="11" t="n">
        <f aca="false">COUNTIFS('Cleaned Data'!$E$2:$E$1489,$B$3,'Cleaned Data'!$F$2:$F$1489,$B$4,'Cleaned Data'!$G$2:$G$1489,$B$5,'Cleaned Data'!$E$2:$E$1489,$A77)</f>
        <v>343</v>
      </c>
      <c r="C77" s="11" t="n">
        <f aca="false">COUNTIFS('Cleaned Data'!$E$2:$E$1489,$B$3,'Cleaned Data'!$F$2:$F$1489,$B$4,'Cleaned Data'!$G$2:$G$1489,$B$5,'Cleaned Data'!$O$2:$O$1489,"Cancelled",'Cleaned Data'!$E$2:$E$1489,$A77)</f>
        <v>24</v>
      </c>
      <c r="D77" s="20" t="n">
        <f aca="false">IFERROR(C77/B77,0)</f>
        <v>0.0699708454810496</v>
      </c>
    </row>
    <row r="78" customFormat="false" ht="15" hidden="false" customHeight="false" outlineLevel="0" collapsed="false">
      <c r="A78" s="10" t="s">
        <v>13</v>
      </c>
      <c r="B78" s="11" t="n">
        <f aca="false">COUNTIFS('Cleaned Data'!$E$2:$E$1489,$B$3,'Cleaned Data'!$F$2:$F$1489,$B$4,'Cleaned Data'!$G$2:$G$1489,$B$5,'Cleaned Data'!$E$2:$E$1489,$A78)</f>
        <v>193</v>
      </c>
      <c r="C78" s="11" t="n">
        <f aca="false">COUNTIFS('Cleaned Data'!$E$2:$E$1489,$B$3,'Cleaned Data'!$F$2:$F$1489,$B$4,'Cleaned Data'!$G$2:$G$1489,$B$5,'Cleaned Data'!$O$2:$O$1489,"Cancelled",'Cleaned Data'!$E$2:$E$1489,$A78)</f>
        <v>8</v>
      </c>
      <c r="D78" s="20" t="n">
        <f aca="false">IFERROR(C78/B78,0)</f>
        <v>0.0414507772020725</v>
      </c>
    </row>
    <row r="79" customFormat="false" ht="15" hidden="false" customHeight="false" outlineLevel="0" collapsed="false">
      <c r="A79" s="10" t="s">
        <v>30</v>
      </c>
      <c r="B79" s="11" t="n">
        <f aca="false">COUNTIFS('Cleaned Data'!$E$2:$E$1489,$B$3,'Cleaned Data'!$F$2:$F$1489,$B$4,'Cleaned Data'!$G$2:$G$1489,$B$5,'Cleaned Data'!$E$2:$E$1489,$A79)</f>
        <v>115</v>
      </c>
      <c r="C79" s="11" t="n">
        <f aca="false">COUNTIFS('Cleaned Data'!$E$2:$E$1489,$B$3,'Cleaned Data'!$F$2:$F$1489,$B$4,'Cleaned Data'!$G$2:$G$1489,$B$5,'Cleaned Data'!$O$2:$O$1489,"Cancelled",'Cleaned Data'!$E$2:$E$1489,$A79)</f>
        <v>6</v>
      </c>
      <c r="D79" s="20" t="n">
        <f aca="false">IFERROR(C79/B79,0)</f>
        <v>0.0521739130434783</v>
      </c>
    </row>
    <row r="80" customFormat="false" ht="15" hidden="false" customHeight="false" outlineLevel="0" collapsed="false">
      <c r="A80" s="10" t="s">
        <v>45</v>
      </c>
      <c r="B80" s="11" t="n">
        <f aca="false">COUNTIFS('Cleaned Data'!$E$2:$E$1489,$B$3,'Cleaned Data'!$F$2:$F$1489,$B$4,'Cleaned Data'!$G$2:$G$1489,$B$5,'Cleaned Data'!$E$2:$E$1489,$A80)</f>
        <v>105</v>
      </c>
      <c r="C80" s="11" t="n">
        <f aca="false">COUNTIFS('Cleaned Data'!$E$2:$E$1489,$B$3,'Cleaned Data'!$F$2:$F$1489,$B$4,'Cleaned Data'!$G$2:$G$1489,$B$5,'Cleaned Data'!$O$2:$O$1489,"Cancelled",'Cleaned Data'!$E$2:$E$1489,$A80)</f>
        <v>2</v>
      </c>
      <c r="D80" s="20" t="n">
        <f aca="false">IFERROR(C80/B80,0)</f>
        <v>0.0190476190476191</v>
      </c>
    </row>
    <row r="81" customFormat="false" ht="15" hidden="false" customHeight="false" outlineLevel="0" collapsed="false">
      <c r="A81" s="10" t="s">
        <v>51</v>
      </c>
      <c r="B81" s="11" t="n">
        <f aca="false">COUNTIFS('Cleaned Data'!$E$2:$E$1489,$B$3,'Cleaned Data'!$F$2:$F$1489,$B$4,'Cleaned Data'!$G$2:$G$1489,$B$5,'Cleaned Data'!$E$2:$E$1489,$A81)</f>
        <v>76</v>
      </c>
      <c r="C81" s="11" t="n">
        <f aca="false">COUNTIFS('Cleaned Data'!$E$2:$E$1489,$B$3,'Cleaned Data'!$F$2:$F$1489,$B$4,'Cleaned Data'!$G$2:$G$1489,$B$5,'Cleaned Data'!$O$2:$O$1489,"Cancelled",'Cleaned Data'!$E$2:$E$1489,$A81)</f>
        <v>1</v>
      </c>
      <c r="D81" s="20" t="n">
        <f aca="false">IFERROR(C81/B81,0)</f>
        <v>0.0131578947368421</v>
      </c>
    </row>
    <row r="82" customFormat="false" ht="15" hidden="false" customHeight="false" outlineLevel="0" collapsed="false">
      <c r="A82" s="10" t="s">
        <v>19</v>
      </c>
      <c r="B82" s="11" t="n">
        <f aca="false">COUNTIFS('Cleaned Data'!$E$2:$E$1489,$B$3,'Cleaned Data'!$F$2:$F$1489,$B$4,'Cleaned Data'!$G$2:$G$1489,$B$5,'Cleaned Data'!$E$2:$E$1489,$A82)</f>
        <v>61</v>
      </c>
      <c r="C82" s="11" t="n">
        <f aca="false">COUNTIFS('Cleaned Data'!$E$2:$E$1489,$B$3,'Cleaned Data'!$F$2:$F$1489,$B$4,'Cleaned Data'!$G$2:$G$1489,$B$5,'Cleaned Data'!$O$2:$O$1489,"Cancelled",'Cleaned Data'!$E$2:$E$1489,$A82)</f>
        <v>3</v>
      </c>
      <c r="D82" s="20" t="n">
        <f aca="false">IFERROR(C82/B82,0)</f>
        <v>0.0491803278688525</v>
      </c>
    </row>
    <row r="83" customFormat="false" ht="15" hidden="false" customHeight="false" outlineLevel="0" collapsed="false">
      <c r="A83" s="15" t="s">
        <v>1702</v>
      </c>
      <c r="B83" s="16" t="n">
        <f aca="false">SUM(B75:B82)</f>
        <v>1488</v>
      </c>
      <c r="C83" s="16" t="n">
        <f aca="false">SUM(C75:C82)</f>
        <v>83</v>
      </c>
      <c r="D83" s="21" t="n">
        <f aca="false">IFERROR(C83/B83,0)</f>
        <v>0.0557795698924731</v>
      </c>
    </row>
    <row r="86" customFormat="false" ht="15" hidden="false" customHeight="false" outlineLevel="0" collapsed="false">
      <c r="A86" s="9" t="s">
        <v>1731</v>
      </c>
    </row>
    <row r="87" customFormat="false" ht="15" hidden="false" customHeight="false" outlineLevel="0" collapsed="false">
      <c r="A87" s="1" t="s">
        <v>1732</v>
      </c>
      <c r="B87" s="1" t="s">
        <v>1697</v>
      </c>
      <c r="C87" s="1" t="s">
        <v>1698</v>
      </c>
      <c r="D87" s="1" t="s">
        <v>1699</v>
      </c>
    </row>
    <row r="88" customFormat="false" ht="15" hidden="false" customHeight="false" outlineLevel="0" collapsed="false">
      <c r="A88" s="10" t="s">
        <v>15</v>
      </c>
      <c r="B88" s="11" t="n">
        <f aca="false">COUNTIFS('Cleaned Data'!$E$2:$E$1489,$B$3,'Cleaned Data'!$F$2:$F$1489,$B$4,'Cleaned Data'!$G$2:$G$1489,$B$5,'Cleaned Data'!$O$2:$O$1489,"Delivered",'Cleaned Data'!$G$2:$G$1489,$A88)</f>
        <v>532</v>
      </c>
      <c r="C88" s="12" t="n">
        <f aca="false">SUMIFS('Cleaned Data'!$L$2:$L$1489,'Cleaned Data'!$E$2:$E$1489,$B$3,'Cleaned Data'!$F$2:$F$1489,$B$4,'Cleaned Data'!$G$2:$G$1489,$B$5,'Cleaned Data'!$O$2:$O$1489,"Delivered",'Cleaned Data'!$G$2:$G$1489,$A88)</f>
        <v>226454</v>
      </c>
      <c r="D88" s="12" t="n">
        <f aca="false">IFERROR(C88/B88,0)</f>
        <v>425.665413533835</v>
      </c>
    </row>
    <row r="89" customFormat="false" ht="15" hidden="false" customHeight="false" outlineLevel="0" collapsed="false">
      <c r="A89" s="10" t="s">
        <v>21</v>
      </c>
      <c r="B89" s="11" t="n">
        <f aca="false">COUNTIFS('Cleaned Data'!$E$2:$E$1489,$B$3,'Cleaned Data'!$F$2:$F$1489,$B$4,'Cleaned Data'!$G$2:$G$1489,$B$5,'Cleaned Data'!$O$2:$O$1489,"Delivered",'Cleaned Data'!$G$2:$G$1489,$A89)</f>
        <v>873</v>
      </c>
      <c r="C89" s="12" t="n">
        <f aca="false">SUMIFS('Cleaned Data'!$L$2:$L$1489,'Cleaned Data'!$E$2:$E$1489,$B$3,'Cleaned Data'!$F$2:$F$1489,$B$4,'Cleaned Data'!$G$2:$G$1489,$B$5,'Cleaned Data'!$O$2:$O$1489,"Delivered",'Cleaned Data'!$G$2:$G$1489,$A89)</f>
        <v>398817</v>
      </c>
      <c r="D89" s="12" t="n">
        <f aca="false">IFERROR(C89/B89,0)</f>
        <v>456.835051546392</v>
      </c>
    </row>
    <row r="90" customFormat="false" ht="15" hidden="false" customHeight="false" outlineLevel="0" collapsed="false">
      <c r="A90" s="15" t="s">
        <v>1702</v>
      </c>
      <c r="B90" s="16" t="n">
        <f aca="false">SUM(B88:B89)</f>
        <v>1405</v>
      </c>
      <c r="C90" s="17" t="n">
        <f aca="false">SUM(C88:C89)</f>
        <v>625271</v>
      </c>
      <c r="D90" s="17" t="n">
        <f aca="false">IFERROR(C90/B90,0)</f>
        <v>445.032740213523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5" t="s">
        <v>1733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3744"/>
    <pageSetUpPr fitToPage="false"/>
  </sheetPr>
  <dimension ref="B1:M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7"/>
    <col collapsed="false" customWidth="true" hidden="false" outlineLevel="0" max="13" min="3" style="0" width="14"/>
  </cols>
  <sheetData>
    <row r="1" customFormat="false" ht="15" hidden="false" customHeight="false" outlineLevel="0" collapsed="false">
      <c r="B1" s="22" t="s">
        <v>1734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customFormat="false" ht="15" hidden="false" customHeight="false" outlineLevel="0" collapsed="false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customFormat="false" ht="15" hidden="false" customHeight="false" outlineLevel="0" collapsed="false">
      <c r="B3" s="9" t="s">
        <v>1735</v>
      </c>
    </row>
    <row r="4" customFormat="false" ht="15" hidden="false" customHeight="false" outlineLevel="0" collapsed="false">
      <c r="B4" s="6" t="s">
        <v>2</v>
      </c>
      <c r="C4" s="23" t="s">
        <v>1736</v>
      </c>
      <c r="E4" s="8" t="s">
        <v>1737</v>
      </c>
    </row>
    <row r="5" customFormat="false" ht="15" hidden="false" customHeight="false" outlineLevel="0" collapsed="false">
      <c r="B5" s="6" t="s">
        <v>3</v>
      </c>
      <c r="C5" s="23" t="s">
        <v>1736</v>
      </c>
      <c r="E5" s="8" t="s">
        <v>1738</v>
      </c>
    </row>
    <row r="6" customFormat="false" ht="15" hidden="false" customHeight="false" outlineLevel="0" collapsed="false">
      <c r="B6" s="6" t="s">
        <v>1732</v>
      </c>
      <c r="C6" s="23" t="s">
        <v>1736</v>
      </c>
    </row>
    <row r="8" customFormat="false" ht="19.5" hidden="false" customHeight="true" outlineLevel="0" collapsed="false">
      <c r="B8" s="24" t="s">
        <v>1739</v>
      </c>
      <c r="C8" s="24"/>
      <c r="D8" s="25" t="s">
        <v>1740</v>
      </c>
      <c r="E8" s="25"/>
      <c r="F8" s="26" t="s">
        <v>1741</v>
      </c>
      <c r="G8" s="26"/>
      <c r="H8" s="27" t="s">
        <v>1742</v>
      </c>
      <c r="I8" s="27"/>
      <c r="J8" s="28" t="s">
        <v>1743</v>
      </c>
      <c r="K8" s="28"/>
      <c r="L8" s="29" t="s">
        <v>1744</v>
      </c>
      <c r="M8" s="29"/>
    </row>
    <row r="9" customFormat="false" ht="21.75" hidden="false" customHeight="true" outlineLevel="0" collapsed="false">
      <c r="B9" s="30" t="n">
        <f aca="false">SUMIFS('Cleaned Data'!$L$2:$L$1489,'Cleaned Data'!$E$2:$E$1489,'Pivot Tables'!$B$3,'Cleaned Data'!$F$2:$F$1489,'Pivot Tables'!$B$4,'Cleaned Data'!$G$2:$G$1489,'Pivot Tables'!$B$5)</f>
        <v>625271</v>
      </c>
      <c r="C9" s="30"/>
      <c r="D9" s="31" t="n">
        <f aca="false">COUNTIFS('Cleaned Data'!$E$2:$E$1489,'Pivot Tables'!$B$3,'Cleaned Data'!$F$2:$F$1489,'Pivot Tables'!$B$4,'Cleaned Data'!$G$2:$G$1489,'Pivot Tables'!$B$5,'Cleaned Data'!$O$2:$O$1489,"Delivered")</f>
        <v>1405</v>
      </c>
      <c r="E9" s="31"/>
      <c r="F9" s="30" t="n">
        <f aca="false">IFERROR(B9/D9,0)</f>
        <v>445.032740213523</v>
      </c>
      <c r="G9" s="30"/>
      <c r="H9" s="32" t="n">
        <f aca="false">IFERROR(AVERAGEIFS('Cleaned Data'!$M$2:$M$1489,'Cleaned Data'!$E$2:$E$1489,'Pivot Tables'!$B$3,'Cleaned Data'!$F$2:$F$1489,'Pivot Tables'!$B$4,'Cleaned Data'!$G$2:$G$1489,'Pivot Tables'!$B$5,'Cleaned Data'!$O$2:$O$1489,"Delivered"),0)</f>
        <v>36.1209964412811</v>
      </c>
      <c r="I9" s="32"/>
      <c r="J9" s="33" t="n">
        <f aca="false">IFERROR(AVERAGEIFS('Cleaned Data'!$N$2:$N$1489,'Cleaned Data'!$E$2:$E$1489,'Pivot Tables'!$B$3,'Cleaned Data'!$F$2:$F$1489,'Pivot Tables'!$B$4,'Cleaned Data'!$G$2:$G$1489,'Pivot Tables'!$B$5,'Cleaned Data'!$O$2:$O$1489,"Delivered"),0)</f>
        <v>4.25832705350415</v>
      </c>
      <c r="K9" s="33"/>
      <c r="L9" s="34" t="n">
        <f aca="false">IFERROR(COUNTIFS('Cleaned Data'!$E$2:$E$1489,'Pivot Tables'!$B$3,'Cleaned Data'!$F$2:$F$1489,'Pivot Tables'!$B$4,'Cleaned Data'!$G$2:$G$1489,'Pivot Tables'!$B$5,'Cleaned Data'!$O$2:$O$1489,"Cancelled")/COUNTIFS('Cleaned Data'!$E$2:$E$1489,'Pivot Tables'!$B$3,'Cleaned Data'!$F$2:$F$1489,'Pivot Tables'!$B$4,'Cleaned Data'!$G$2:$G$1489,'Pivot Tables'!$B$5),0)</f>
        <v>0.0557795698924731</v>
      </c>
      <c r="M9" s="34"/>
    </row>
    <row r="10" customFormat="false" ht="21.75" hidden="false" customHeight="true" outlineLevel="0" collapsed="false">
      <c r="B10" s="30"/>
      <c r="C10" s="30"/>
      <c r="D10" s="31"/>
      <c r="E10" s="31"/>
      <c r="F10" s="30"/>
      <c r="G10" s="30"/>
      <c r="H10" s="32"/>
      <c r="I10" s="32"/>
      <c r="J10" s="33"/>
      <c r="K10" s="33"/>
      <c r="L10" s="34"/>
      <c r="M10" s="34"/>
    </row>
    <row r="63" customFormat="false" ht="15" hidden="false" customHeight="false" outlineLevel="0" collapsed="false">
      <c r="B63" s="35" t="s">
        <v>1745</v>
      </c>
    </row>
  </sheetData>
  <mergeCells count="13">
    <mergeCell ref="B1:M2"/>
    <mergeCell ref="B8:C8"/>
    <mergeCell ref="D8:E8"/>
    <mergeCell ref="F8:G8"/>
    <mergeCell ref="H8:I8"/>
    <mergeCell ref="J8:K8"/>
    <mergeCell ref="L8:M8"/>
    <mergeCell ref="B9:C10"/>
    <mergeCell ref="D9:E10"/>
    <mergeCell ref="F9:G10"/>
    <mergeCell ref="H9:I10"/>
    <mergeCell ref="J9:K10"/>
    <mergeCell ref="L9:M10"/>
  </mergeCells>
  <dataValidations count="3">
    <dataValidation allowBlank="false" errorStyle="stop" operator="between" showDropDown="false" showErrorMessage="false" showInputMessage="false" sqref="C4" type="list">
      <formula1>"All,Mumbai,Delhi,Bengaluru,Hyderabad,Chennai,Pune,Kolkata,Ahmedabad"</formula1>
      <formula2>0</formula2>
    </dataValidation>
    <dataValidation allowBlank="false" errorStyle="stop" operator="between" showDropDown="false" showErrorMessage="false" showInputMessage="false" sqref="C5" type="list">
      <formula1>"All,North Indian,Biryani,Fast Food,Pizza,Chinese,South Indian,Healthy,Desserts"</formula1>
      <formula2>0</formula2>
    </dataValidation>
    <dataValidation allowBlank="false" errorStyle="stop" operator="between" showDropDown="false" showErrorMessage="false" showInputMessage="false" sqref="C6" type="list">
      <formula1>"All,New,Returning"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36" t="s">
        <v>1746</v>
      </c>
    </row>
    <row r="2" customFormat="false" ht="15" hidden="false" customHeight="false" outlineLevel="0" collapsed="false">
      <c r="A2" s="8" t="s">
        <v>1747</v>
      </c>
    </row>
    <row r="4" customFormat="false" ht="48" hidden="false" customHeight="true" outlineLevel="0" collapsed="false">
      <c r="A4" s="37" t="n">
        <v>1</v>
      </c>
      <c r="B4" s="38" t="s">
        <v>1748</v>
      </c>
    </row>
    <row r="5" customFormat="false" ht="48" hidden="false" customHeight="true" outlineLevel="0" collapsed="false">
      <c r="A5" s="37" t="n">
        <v>2</v>
      </c>
      <c r="B5" s="38" t="s">
        <v>1749</v>
      </c>
    </row>
    <row r="6" customFormat="false" ht="48" hidden="false" customHeight="true" outlineLevel="0" collapsed="false">
      <c r="A6" s="37" t="n">
        <v>3</v>
      </c>
      <c r="B6" s="38" t="s">
        <v>1750</v>
      </c>
    </row>
    <row r="7" customFormat="false" ht="48" hidden="false" customHeight="true" outlineLevel="0" collapsed="false">
      <c r="A7" s="37" t="n">
        <v>4</v>
      </c>
      <c r="B7" s="38" t="s">
        <v>1751</v>
      </c>
    </row>
    <row r="8" customFormat="false" ht="48" hidden="false" customHeight="true" outlineLevel="0" collapsed="false">
      <c r="A8" s="37" t="n">
        <v>5</v>
      </c>
      <c r="B8" s="38" t="s">
        <v>1752</v>
      </c>
    </row>
    <row r="9" customFormat="false" ht="48" hidden="false" customHeight="true" outlineLevel="0" collapsed="false">
      <c r="A9" s="37" t="n">
        <v>6</v>
      </c>
      <c r="B9" s="38" t="s">
        <v>1753</v>
      </c>
    </row>
    <row r="10" customFormat="false" ht="48" hidden="false" customHeight="true" outlineLevel="0" collapsed="false">
      <c r="A10" s="37" t="n">
        <v>7</v>
      </c>
      <c r="B10" s="38" t="s">
        <v>1754</v>
      </c>
    </row>
    <row r="11" customFormat="false" ht="48" hidden="false" customHeight="true" outlineLevel="0" collapsed="false">
      <c r="A11" s="37" t="n">
        <v>8</v>
      </c>
      <c r="B11" s="38" t="s">
        <v>1755</v>
      </c>
    </row>
    <row r="13" customFormat="false" ht="16.15" hidden="false" customHeight="false" outlineLevel="0" collapsed="false">
      <c r="A13" s="5" t="s">
        <v>1756</v>
      </c>
    </row>
    <row r="14" customFormat="false" ht="30" hidden="false" customHeight="true" outlineLevel="0" collapsed="false">
      <c r="A14" s="39" t="s">
        <v>1757</v>
      </c>
      <c r="B14" s="38" t="s">
        <v>1758</v>
      </c>
    </row>
    <row r="15" customFormat="false" ht="30" hidden="false" customHeight="true" outlineLevel="0" collapsed="false">
      <c r="A15" s="39" t="s">
        <v>1757</v>
      </c>
      <c r="B15" s="38" t="s">
        <v>1759</v>
      </c>
    </row>
    <row r="16" customFormat="false" ht="30" hidden="false" customHeight="true" outlineLevel="0" collapsed="false">
      <c r="A16" s="39" t="s">
        <v>1757</v>
      </c>
      <c r="B16" s="38" t="s">
        <v>1760</v>
      </c>
    </row>
    <row r="17" customFormat="false" ht="30" hidden="false" customHeight="true" outlineLevel="0" collapsed="false">
      <c r="A17" s="39" t="s">
        <v>1757</v>
      </c>
      <c r="B17" s="38" t="s">
        <v>1761</v>
      </c>
    </row>
    <row r="19" customFormat="false" ht="16.15" hidden="false" customHeight="false" outlineLevel="0" collapsed="false">
      <c r="A19" s="5" t="s">
        <v>1762</v>
      </c>
    </row>
    <row r="20" customFormat="false" ht="15" hidden="false" customHeight="false" outlineLevel="0" collapsed="false">
      <c r="A20" s="39" t="s">
        <v>1763</v>
      </c>
      <c r="B20" s="40" t="s">
        <v>1764</v>
      </c>
    </row>
    <row r="21" customFormat="false" ht="15" hidden="false" customHeight="false" outlineLevel="0" collapsed="false">
      <c r="A21" s="39" t="s">
        <v>1763</v>
      </c>
      <c r="B21" s="40" t="s">
        <v>1765</v>
      </c>
    </row>
    <row r="22" customFormat="false" ht="15" hidden="false" customHeight="false" outlineLevel="0" collapsed="false">
      <c r="A22" s="39" t="s">
        <v>1763</v>
      </c>
      <c r="B22" s="40" t="s">
        <v>1766</v>
      </c>
    </row>
    <row r="23" customFormat="false" ht="15" hidden="false" customHeight="false" outlineLevel="0" collapsed="false">
      <c r="A23" s="39" t="s">
        <v>1763</v>
      </c>
      <c r="B23" s="40" t="s">
        <v>1767</v>
      </c>
    </row>
    <row r="24" customFormat="false" ht="15" hidden="false" customHeight="false" outlineLevel="0" collapsed="false">
      <c r="A24" s="39" t="s">
        <v>1763</v>
      </c>
      <c r="B24" s="40" t="s">
        <v>1768</v>
      </c>
    </row>
    <row r="25" customFormat="false" ht="15" hidden="false" customHeight="false" outlineLevel="0" collapsed="false">
      <c r="A25" s="39" t="s">
        <v>1763</v>
      </c>
      <c r="B25" s="40" t="s">
        <v>1769</v>
      </c>
    </row>
    <row r="26" customFormat="false" ht="15" hidden="false" customHeight="false" outlineLevel="0" collapsed="false">
      <c r="A26" s="39" t="s">
        <v>1763</v>
      </c>
      <c r="B26" s="40" t="s">
        <v>1770</v>
      </c>
    </row>
    <row r="27" customFormat="false" ht="15" hidden="false" customHeight="false" outlineLevel="0" collapsed="false">
      <c r="A27" s="39" t="s">
        <v>1763</v>
      </c>
      <c r="B27" s="40" t="s">
        <v>1771</v>
      </c>
    </row>
    <row r="28" customFormat="false" ht="15" hidden="false" customHeight="false" outlineLevel="0" collapsed="false">
      <c r="A28" s="39" t="s">
        <v>1763</v>
      </c>
      <c r="B28" s="40" t="s">
        <v>1772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2026-10-08T18:42:49Z</dcterms:created>
  <dc:creator>openpyxl</dc:creator>
  <dc:description/>
  <dc:language>en-US</dc:language>
  <cp:lastModifiedBy/>
  <dcterms:modified xsi:type="dcterms:W3CDTF">2026-10-08T18:42:51Z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